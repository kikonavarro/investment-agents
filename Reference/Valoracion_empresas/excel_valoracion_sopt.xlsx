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G:\.shortcut-targets-by-id\1bbnPzi39EfhB9DhelxsQBZKC0kJUuwU1\LOCOS DE WALL STREET\Cursos de formación\012-Modelización de Empresas\01 Excel clases\"/>
    </mc:Choice>
  </mc:AlternateContent>
  <xr:revisionPtr revIDLastSave="0" documentId="13_ncr:1_{CD5C69BA-B2F6-4EE0-9BEC-E809B09E67AE}" xr6:coauthVersionLast="47" xr6:coauthVersionMax="47" xr10:uidLastSave="{00000000-0000-0000-0000-000000000000}"/>
  <bookViews>
    <workbookView xWindow="-110" yWindow="-110" windowWidth="19420" windowHeight="10300" activeTab="1" xr2:uid="{5940D093-8939-47B9-AB63-3556BC49C148}"/>
  </bookViews>
  <sheets>
    <sheet name="Consolidated Statments" sheetId="1" r:id="rId1"/>
    <sheet name="SOPT" sheetId="2" r:id="rId2"/>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85" i="2" l="1"/>
  <c r="E85" i="2"/>
  <c r="I74" i="2"/>
  <c r="I69" i="2" a="1"/>
  <c r="I69" i="2" s="1"/>
  <c r="I67" i="2" a="1"/>
  <c r="I67" i="2" s="1"/>
  <c r="I78" i="2" s="1"/>
  <c r="I64" i="2"/>
  <c r="I63" i="2"/>
  <c r="I62" i="2"/>
  <c r="I61" i="2"/>
  <c r="H57" i="2"/>
  <c r="G57" i="2"/>
  <c r="F57" i="2"/>
  <c r="E57" i="2"/>
  <c r="I54" i="2"/>
  <c r="I53" i="2"/>
  <c r="I52" i="2"/>
  <c r="I49" i="2"/>
  <c r="I51" i="2" s="1"/>
  <c r="I48" i="2"/>
  <c r="I45" i="2"/>
  <c r="I47" i="2" s="1"/>
  <c r="I44" i="2"/>
  <c r="I43" i="2"/>
  <c r="I41" i="2"/>
  <c r="I40" i="2"/>
  <c r="I39" i="2"/>
  <c r="H38" i="2"/>
  <c r="H42" i="2" s="1"/>
  <c r="G38" i="2"/>
  <c r="G42" i="2" s="1"/>
  <c r="F38" i="2"/>
  <c r="F42" i="2" s="1"/>
  <c r="E38" i="2"/>
  <c r="E42" i="2" s="1"/>
  <c r="I37" i="2"/>
  <c r="I36" i="2"/>
  <c r="I35" i="2"/>
  <c r="I34" i="2"/>
  <c r="I33" i="2"/>
  <c r="I32" i="2"/>
  <c r="I28" i="2"/>
  <c r="I27" i="2"/>
  <c r="I26" i="2"/>
  <c r="I25" i="2"/>
  <c r="I23" i="2"/>
  <c r="I21" i="2"/>
  <c r="I17" i="2"/>
  <c r="I20" i="2" s="1"/>
  <c r="I16" i="2"/>
  <c r="I15" i="2"/>
  <c r="E14" i="2"/>
  <c r="I12" i="2"/>
  <c r="I11" i="2"/>
  <c r="I10" i="2"/>
  <c r="H9" i="2"/>
  <c r="H14" i="2" s="1"/>
  <c r="H58" i="2" s="1"/>
  <c r="H60" i="2" s="1"/>
  <c r="G9" i="2"/>
  <c r="G14" i="2" s="1"/>
  <c r="G58" i="2" s="1"/>
  <c r="G60" i="2" s="1"/>
  <c r="F9" i="2"/>
  <c r="F14" i="2" s="1"/>
  <c r="F58" i="2" s="1"/>
  <c r="F60" i="2" s="1"/>
  <c r="E9" i="2"/>
  <c r="I8" i="2"/>
  <c r="I7" i="2"/>
  <c r="I6" i="2"/>
  <c r="I5" i="2"/>
  <c r="I4" i="2"/>
  <c r="I3" i="2"/>
  <c r="I57" i="2" s="1"/>
  <c r="F90" i="1"/>
  <c r="K28" i="1"/>
  <c r="S18" i="1"/>
  <c r="R18" i="1"/>
  <c r="Q18" i="1"/>
  <c r="P18" i="1"/>
  <c r="O18" i="1"/>
  <c r="N18" i="1"/>
  <c r="M18" i="1"/>
  <c r="L18" i="1"/>
  <c r="S5" i="1"/>
  <c r="S12" i="1" s="1"/>
  <c r="S21" i="1" s="1"/>
  <c r="S24" i="1" s="1"/>
  <c r="R5" i="1"/>
  <c r="R12" i="1" s="1"/>
  <c r="Q5" i="1"/>
  <c r="Q12" i="1" s="1"/>
  <c r="P5" i="1"/>
  <c r="P12" i="1" s="1"/>
  <c r="O5" i="1"/>
  <c r="O12" i="1" s="1"/>
  <c r="N5" i="1"/>
  <c r="N12" i="1" s="1"/>
  <c r="M5" i="1"/>
  <c r="M12" i="1" s="1"/>
  <c r="L5" i="1"/>
  <c r="L12" i="1" s="1"/>
  <c r="K5" i="1"/>
  <c r="K12" i="1" s="1"/>
  <c r="J5" i="1"/>
  <c r="I5" i="1"/>
  <c r="I12" i="1" s="1"/>
  <c r="H5" i="1"/>
  <c r="H12" i="1" s="1"/>
  <c r="G5" i="1"/>
  <c r="G12" i="1" s="1"/>
  <c r="F5" i="1"/>
  <c r="F12" i="1" s="1"/>
  <c r="K100" i="1"/>
  <c r="K105" i="1" s="1"/>
  <c r="K90" i="1"/>
  <c r="S77" i="1"/>
  <c r="S83" i="1" s="1"/>
  <c r="R77" i="1"/>
  <c r="R83" i="1" s="1"/>
  <c r="Q77" i="1"/>
  <c r="Q83" i="1" s="1"/>
  <c r="P77" i="1"/>
  <c r="P83" i="1" s="1"/>
  <c r="O77" i="1"/>
  <c r="O83" i="1" s="1"/>
  <c r="N77" i="1"/>
  <c r="N83" i="1" s="1"/>
  <c r="M77" i="1"/>
  <c r="M83" i="1" s="1"/>
  <c r="L77" i="1"/>
  <c r="L83" i="1" s="1"/>
  <c r="K77" i="1"/>
  <c r="K83" i="1" s="1"/>
  <c r="J77" i="1"/>
  <c r="J83" i="1" s="1"/>
  <c r="I77" i="1"/>
  <c r="I83" i="1" s="1"/>
  <c r="H77" i="1"/>
  <c r="H83" i="1" s="1"/>
  <c r="G77" i="1"/>
  <c r="G83" i="1" s="1"/>
  <c r="F77" i="1"/>
  <c r="F83" i="1" s="1"/>
  <c r="E77" i="1"/>
  <c r="E83" i="1" s="1"/>
  <c r="S64" i="1"/>
  <c r="S69" i="1" s="1"/>
  <c r="R64" i="1"/>
  <c r="R69" i="1" s="1"/>
  <c r="Q64" i="1"/>
  <c r="Q69" i="1" s="1"/>
  <c r="P64" i="1"/>
  <c r="P69" i="1" s="1"/>
  <c r="O64" i="1"/>
  <c r="O69" i="1" s="1"/>
  <c r="N64" i="1"/>
  <c r="N69" i="1" s="1"/>
  <c r="M64" i="1"/>
  <c r="M69" i="1" s="1"/>
  <c r="L64" i="1"/>
  <c r="L69" i="1" s="1"/>
  <c r="K64" i="1"/>
  <c r="K69" i="1" s="1"/>
  <c r="J64" i="1"/>
  <c r="J69" i="1" s="1"/>
  <c r="I64" i="1"/>
  <c r="I69" i="1" s="1"/>
  <c r="H64" i="1"/>
  <c r="H69" i="1" s="1"/>
  <c r="G64" i="1"/>
  <c r="G69" i="1" s="1"/>
  <c r="F64" i="1"/>
  <c r="F69" i="1" s="1"/>
  <c r="E64" i="1"/>
  <c r="E69" i="1" s="1"/>
  <c r="S49" i="1"/>
  <c r="S54" i="1" s="1"/>
  <c r="S56" i="1" s="1"/>
  <c r="R49" i="1"/>
  <c r="R54" i="1" s="1"/>
  <c r="R56" i="1" s="1"/>
  <c r="Q49" i="1"/>
  <c r="Q54" i="1" s="1"/>
  <c r="Q56" i="1" s="1"/>
  <c r="P49" i="1"/>
  <c r="P54" i="1" s="1"/>
  <c r="P56" i="1" s="1"/>
  <c r="O49" i="1"/>
  <c r="O54" i="1" s="1"/>
  <c r="O56" i="1" s="1"/>
  <c r="N49" i="1"/>
  <c r="N54" i="1" s="1"/>
  <c r="N56" i="1" s="1"/>
  <c r="M49" i="1"/>
  <c r="M54" i="1" s="1"/>
  <c r="M56" i="1" s="1"/>
  <c r="L49" i="1"/>
  <c r="L54" i="1" s="1"/>
  <c r="L56" i="1" s="1"/>
  <c r="K49" i="1"/>
  <c r="K54" i="1" s="1"/>
  <c r="J49" i="1"/>
  <c r="J54" i="1" s="1"/>
  <c r="I49" i="1"/>
  <c r="I54" i="1" s="1"/>
  <c r="H49" i="1"/>
  <c r="H54" i="1" s="1"/>
  <c r="G49" i="1"/>
  <c r="G54" i="1" s="1"/>
  <c r="F49" i="1"/>
  <c r="F54" i="1" s="1"/>
  <c r="E49" i="1"/>
  <c r="E54" i="1" s="1"/>
  <c r="S124" i="1"/>
  <c r="R124" i="1"/>
  <c r="Q124" i="1"/>
  <c r="P124" i="1"/>
  <c r="O124" i="1"/>
  <c r="N124" i="1"/>
  <c r="M124" i="1"/>
  <c r="L124" i="1"/>
  <c r="K124" i="1"/>
  <c r="J124" i="1"/>
  <c r="I124" i="1"/>
  <c r="H124" i="1"/>
  <c r="G124" i="1"/>
  <c r="F124" i="1"/>
  <c r="E124" i="1"/>
  <c r="S114" i="1"/>
  <c r="R114" i="1"/>
  <c r="Q114" i="1"/>
  <c r="P114" i="1"/>
  <c r="O114" i="1"/>
  <c r="N114" i="1"/>
  <c r="M114" i="1"/>
  <c r="L114" i="1"/>
  <c r="K114" i="1"/>
  <c r="J114" i="1"/>
  <c r="I114" i="1"/>
  <c r="H114" i="1"/>
  <c r="G114" i="1"/>
  <c r="F114" i="1"/>
  <c r="E114" i="1"/>
  <c r="S100" i="1"/>
  <c r="S105" i="1" s="1"/>
  <c r="R100" i="1"/>
  <c r="R105" i="1" s="1"/>
  <c r="Q100" i="1"/>
  <c r="Q105" i="1" s="1"/>
  <c r="P100" i="1"/>
  <c r="P105" i="1" s="1"/>
  <c r="O100" i="1"/>
  <c r="O105" i="1" s="1"/>
  <c r="N100" i="1"/>
  <c r="N105" i="1" s="1"/>
  <c r="M100" i="1"/>
  <c r="M105" i="1" s="1"/>
  <c r="L100" i="1"/>
  <c r="L105" i="1" s="1"/>
  <c r="I100" i="1"/>
  <c r="I105" i="1" s="1"/>
  <c r="H100" i="1"/>
  <c r="H105" i="1" s="1"/>
  <c r="G100" i="1"/>
  <c r="G105" i="1" s="1"/>
  <c r="K40" i="1"/>
  <c r="I40" i="1"/>
  <c r="H40" i="1"/>
  <c r="G40" i="1"/>
  <c r="F40" i="1"/>
  <c r="E40" i="1"/>
  <c r="J40" i="1"/>
  <c r="K37" i="1"/>
  <c r="I37" i="1"/>
  <c r="H37" i="1"/>
  <c r="G37" i="1"/>
  <c r="F37" i="1"/>
  <c r="E37" i="1"/>
  <c r="J37" i="1"/>
  <c r="I18" i="1"/>
  <c r="H18" i="1"/>
  <c r="G18" i="1"/>
  <c r="F18" i="1"/>
  <c r="E18" i="1"/>
  <c r="K18" i="1"/>
  <c r="J18" i="1"/>
  <c r="I14" i="2" l="1"/>
  <c r="I58" i="2" s="1"/>
  <c r="I75" i="2"/>
  <c r="I42" i="2"/>
  <c r="I77" i="2"/>
  <c r="I79" i="2" s="1"/>
  <c r="I80" i="2" s="1"/>
  <c r="I9" i="2"/>
  <c r="I38" i="2"/>
  <c r="E58" i="2"/>
  <c r="E60" i="2" s="1"/>
  <c r="I60" i="2" s="1"/>
  <c r="L21" i="1"/>
  <c r="L24" i="1" s="1"/>
  <c r="P21" i="1"/>
  <c r="P24" i="1" s="1"/>
  <c r="I85" i="1"/>
  <c r="N21" i="1"/>
  <c r="N24" i="1" s="1"/>
  <c r="O21" i="1"/>
  <c r="O24" i="1" s="1"/>
  <c r="Q21" i="1"/>
  <c r="Q24" i="1" s="1"/>
  <c r="R21" i="1"/>
  <c r="R24" i="1" s="1"/>
  <c r="G128" i="1"/>
  <c r="M21" i="1"/>
  <c r="M24" i="1" s="1"/>
  <c r="R85" i="1"/>
  <c r="F85" i="1"/>
  <c r="P116" i="1"/>
  <c r="H85" i="1"/>
  <c r="I128" i="1"/>
  <c r="H128" i="1"/>
  <c r="L128" i="1"/>
  <c r="N116" i="1"/>
  <c r="K128" i="1"/>
  <c r="K131" i="1" s="1"/>
  <c r="K132" i="1" s="1"/>
  <c r="O116" i="1"/>
  <c r="S128" i="1"/>
  <c r="P85" i="1"/>
  <c r="Q85" i="1"/>
  <c r="R128" i="1"/>
  <c r="G85" i="1"/>
  <c r="S85" i="1"/>
  <c r="O128" i="1"/>
  <c r="P128" i="1"/>
  <c r="M116" i="1"/>
  <c r="M128" i="1"/>
  <c r="Q116" i="1"/>
  <c r="Q128" i="1"/>
  <c r="N128" i="1"/>
  <c r="J85" i="1"/>
  <c r="K85" i="1"/>
  <c r="S116" i="1"/>
  <c r="R116" i="1"/>
  <c r="L85" i="1"/>
  <c r="G116" i="1"/>
  <c r="H116" i="1"/>
  <c r="I116" i="1"/>
  <c r="L116" i="1"/>
  <c r="K116" i="1"/>
  <c r="M85" i="1"/>
  <c r="N85" i="1"/>
  <c r="O85" i="1"/>
  <c r="K21" i="1"/>
  <c r="H21" i="1"/>
  <c r="H24" i="1" s="1"/>
  <c r="F21" i="1"/>
  <c r="E43" i="1"/>
  <c r="G21" i="1"/>
  <c r="G24" i="1" s="1"/>
  <c r="F43" i="1"/>
  <c r="F56" i="1" s="1"/>
  <c r="G43" i="1"/>
  <c r="G56" i="1" s="1"/>
  <c r="I21" i="1"/>
  <c r="I24" i="1" s="1"/>
  <c r="H43" i="1"/>
  <c r="H56" i="1" s="1"/>
  <c r="I43" i="1"/>
  <c r="I56" i="1" s="1"/>
  <c r="K43" i="1"/>
  <c r="K56" i="1" s="1"/>
  <c r="I66" i="2" l="1"/>
  <c r="I68" i="2" s="1"/>
  <c r="I70" i="2" s="1"/>
  <c r="I59" i="2"/>
  <c r="F86" i="1"/>
  <c r="K27" i="1"/>
  <c r="K24" i="1"/>
  <c r="K29" i="1" s="1"/>
  <c r="F24" i="1"/>
  <c r="F89" i="1" s="1"/>
  <c r="F91" i="1"/>
  <c r="F100" i="1" s="1"/>
  <c r="F105" i="1" s="1"/>
  <c r="K86" i="1"/>
  <c r="J90" i="1"/>
  <c r="J130" i="1"/>
  <c r="E90" i="1"/>
  <c r="J28" i="1"/>
  <c r="E28" i="1"/>
  <c r="E5" i="1"/>
  <c r="E12" i="1" s="1"/>
  <c r="E21" i="1" s="1"/>
  <c r="J12" i="1"/>
  <c r="F128" i="1" l="1"/>
  <c r="F131" i="1" s="1"/>
  <c r="F132" i="1" s="1"/>
  <c r="F116" i="1"/>
  <c r="E85" i="1"/>
  <c r="J43" i="1"/>
  <c r="J56" i="1" s="1"/>
  <c r="J86" i="1" s="1"/>
  <c r="E56" i="1"/>
  <c r="J21" i="1"/>
  <c r="J24" i="1" s="1"/>
  <c r="E86" i="1" l="1"/>
  <c r="J91" i="1"/>
  <c r="J27" i="1"/>
  <c r="E27" i="1"/>
  <c r="E91" i="1"/>
  <c r="E24" i="1"/>
  <c r="J100" i="1" l="1"/>
  <c r="E100" i="1"/>
  <c r="J29" i="1"/>
  <c r="J89" i="1"/>
  <c r="E29" i="1"/>
  <c r="E89" i="1"/>
  <c r="E105" i="1" l="1"/>
  <c r="E128" i="1" s="1"/>
  <c r="E131" i="1" s="1"/>
  <c r="J105" i="1"/>
  <c r="J128" i="1" s="1"/>
  <c r="J131" i="1" l="1"/>
  <c r="J116" i="1"/>
  <c r="E116"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2"/>
        </ext>
      </extLst>
    </bk>
  </futureMetadata>
  <cellMetadata count="1">
    <bk>
      <rc t="1" v="0"/>
    </bk>
  </cellMetadata>
  <valueMetadata count="1">
    <bk>
      <rc t="2" v="0"/>
    </bk>
  </valueMetadata>
</metadata>
</file>

<file path=xl/sharedStrings.xml><?xml version="1.0" encoding="utf-8"?>
<sst xmlns="http://schemas.openxmlformats.org/spreadsheetml/2006/main" count="224" uniqueCount="166">
  <si>
    <t>Revenue</t>
  </si>
  <si>
    <t>Cost of Sales</t>
  </si>
  <si>
    <t>Gross Profit</t>
  </si>
  <si>
    <t>Selling &amp; Administrative Expenses</t>
  </si>
  <si>
    <t>Reserch &amp; Development Expenses</t>
  </si>
  <si>
    <t>Restructuring Costs</t>
  </si>
  <si>
    <t>Net impairment losses on non-current operating assets</t>
  </si>
  <si>
    <t>Other Income</t>
  </si>
  <si>
    <t>EBIT</t>
  </si>
  <si>
    <t>Interest Income</t>
  </si>
  <si>
    <t>Interest Expense</t>
  </si>
  <si>
    <t>Net gain on financial restructuring</t>
  </si>
  <si>
    <t>Other financial expenses</t>
  </si>
  <si>
    <t>Income tax expense</t>
  </si>
  <si>
    <t>Loss from continuing operations</t>
  </si>
  <si>
    <t>Net loss from discontinued operations</t>
  </si>
  <si>
    <t>Net loss for the year</t>
  </si>
  <si>
    <t>Weighted average shares</t>
  </si>
  <si>
    <t>EPS from continuing operations</t>
  </si>
  <si>
    <t>EPS from discontinued operations</t>
  </si>
  <si>
    <t>P&amp;L (in milion euros)</t>
  </si>
  <si>
    <t>Balance Sheet (in milion euros)</t>
  </si>
  <si>
    <t>Goodwill</t>
  </si>
  <si>
    <t>Intangble assets</t>
  </si>
  <si>
    <t>Property, plant and equipment</t>
  </si>
  <si>
    <t>Right-of-use assets</t>
  </si>
  <si>
    <t>Other operating non-current assets</t>
  </si>
  <si>
    <t>Total operating non-current assets</t>
  </si>
  <si>
    <t>Non-consolidated investments</t>
  </si>
  <si>
    <t>Other financial non-current assets</t>
  </si>
  <si>
    <t>Total non-current assets</t>
  </si>
  <si>
    <t>Inventories</t>
  </si>
  <si>
    <t>Trade accounts and notes receivable</t>
  </si>
  <si>
    <t>Contract assets</t>
  </si>
  <si>
    <t>Total operating current assets</t>
  </si>
  <si>
    <t>Other operating current assets</t>
  </si>
  <si>
    <t>Income tax recivable</t>
  </si>
  <si>
    <t>Other financial current assets</t>
  </si>
  <si>
    <t>Cash and cash equivalents</t>
  </si>
  <si>
    <t>Assets classified as held for sale</t>
  </si>
  <si>
    <t>Total current assets</t>
  </si>
  <si>
    <t>Total financial non-current assets</t>
  </si>
  <si>
    <t>Investments in associates and joint ventures</t>
  </si>
  <si>
    <t>Deferred tax assets</t>
  </si>
  <si>
    <t>Retirement benefits obligations</t>
  </si>
  <si>
    <t>Provisions</t>
  </si>
  <si>
    <t>Contract liabilities</t>
  </si>
  <si>
    <t>Other operating non-current liabilities</t>
  </si>
  <si>
    <t>Total operating non-current liabilities</t>
  </si>
  <si>
    <t>Borrowings</t>
  </si>
  <si>
    <t>Lease liabilities</t>
  </si>
  <si>
    <t>Other non-current liabilities</t>
  </si>
  <si>
    <t>Deferred tax liabilities</t>
  </si>
  <si>
    <t>Total non-current liabilities</t>
  </si>
  <si>
    <t xml:space="preserve">Trade accounts and notes payable </t>
  </si>
  <si>
    <t>Accrued employee expenses</t>
  </si>
  <si>
    <t>Other operating current liabilities</t>
  </si>
  <si>
    <t>Total operating current liabilities</t>
  </si>
  <si>
    <t>Income tax payable</t>
  </si>
  <si>
    <t>Other financial current liabilities</t>
  </si>
  <si>
    <t>Liabilities classified as held for sale</t>
  </si>
  <si>
    <t xml:space="preserve">Total current liabilities </t>
  </si>
  <si>
    <t>Cash Flow Statments (in milion euros)</t>
  </si>
  <si>
    <t>Net loss</t>
  </si>
  <si>
    <t>Loss from discontinuing activities</t>
  </si>
  <si>
    <t>Loss from continuing activities</t>
  </si>
  <si>
    <t>Depreciation and amortization</t>
  </si>
  <si>
    <t>Impairment of assets</t>
  </si>
  <si>
    <t>Net changes in provisions</t>
  </si>
  <si>
    <t>Loss on asset disposals</t>
  </si>
  <si>
    <t>Interest (income) and expense</t>
  </si>
  <si>
    <t>Other items (including tax)</t>
  </si>
  <si>
    <t>Changes in working capital and other assets and liabilities</t>
  </si>
  <si>
    <t>Cash generated from (used in) continuing activities</t>
  </si>
  <si>
    <t>Interest paid on lease debt</t>
  </si>
  <si>
    <t>Interest paid</t>
  </si>
  <si>
    <t>Interest received</t>
  </si>
  <si>
    <t>Income tax paid</t>
  </si>
  <si>
    <t>Acquisition of subsidiaries, associates and investments, net of cash acquired</t>
  </si>
  <si>
    <t>Proceeds from sale of investments, net of cash</t>
  </si>
  <si>
    <t>Purchases of property, plant and equipment (PPE)</t>
  </si>
  <si>
    <t>Proceeds from sale of PPE and intangible assets</t>
  </si>
  <si>
    <t>Purchases of intangible assets including capitalization of development costs</t>
  </si>
  <si>
    <t>Cash collateral and security deposits granted to third parties</t>
  </si>
  <si>
    <t>Cash collateral and security deposits reimbursed by third parties</t>
  </si>
  <si>
    <t>Increase of Capital</t>
  </si>
  <si>
    <t>Proceeds from borrowings</t>
  </si>
  <si>
    <t>Repayments of lease debt</t>
  </si>
  <si>
    <t>Repayments of borrowings</t>
  </si>
  <si>
    <t>Fees paid in relation to financing operations</t>
  </si>
  <si>
    <t>Other</t>
  </si>
  <si>
    <t>Net increase (decrease) in cash and cash equivalents</t>
  </si>
  <si>
    <t>Exchange gains / (losses) on cash and cash equivalents</t>
  </si>
  <si>
    <t>Technicolor Creative Studios</t>
  </si>
  <si>
    <t>Connected Home</t>
  </si>
  <si>
    <t>DVD Services</t>
  </si>
  <si>
    <t>Corporate &amp; Other</t>
  </si>
  <si>
    <t>TOTAL</t>
  </si>
  <si>
    <t>Amortization of purchase accounting items</t>
  </si>
  <si>
    <t>Restructuring costs</t>
  </si>
  <si>
    <t>Other income (expenses)</t>
  </si>
  <si>
    <t>Adjusted EBITA</t>
  </si>
  <si>
    <t>Depreciation &amp; amortization (excl PPA items)</t>
  </si>
  <si>
    <t>IT capacity use for rendering in Technicolor Creative Studios</t>
  </si>
  <si>
    <t>Other non-cash items</t>
  </si>
  <si>
    <t>Adjusted EBITDA</t>
  </si>
  <si>
    <t>Statements of financial position</t>
  </si>
  <si>
    <t>Segment assets</t>
  </si>
  <si>
    <t>Unallocated assets</t>
  </si>
  <si>
    <t>Total consolidated assets</t>
  </si>
  <si>
    <t>Segment liabilities</t>
  </si>
  <si>
    <t>Unallocated liabilities</t>
  </si>
  <si>
    <t>Total consolidated liabilities</t>
  </si>
  <si>
    <t>Net capital expenditures</t>
  </si>
  <si>
    <t>Capital employed</t>
  </si>
  <si>
    <t>Statment of operations by segment 2021</t>
  </si>
  <si>
    <t>Statment of operations by segment 2020</t>
  </si>
  <si>
    <t>Adjutsted EBITDA</t>
  </si>
  <si>
    <t>Multiple</t>
  </si>
  <si>
    <t>Multiple over EBITDA</t>
  </si>
  <si>
    <t>EV</t>
  </si>
  <si>
    <t>EqV</t>
  </si>
  <si>
    <t>Outstanding Shares (m)</t>
  </si>
  <si>
    <t>EqV per Share</t>
  </si>
  <si>
    <t>Potential</t>
  </si>
  <si>
    <t>(+) Cash &amp; Cash Equivalents</t>
  </si>
  <si>
    <t>(-) Financial Debt</t>
  </si>
  <si>
    <t>(-) Provissions</t>
  </si>
  <si>
    <t>(-) Retirement benefits obligations</t>
  </si>
  <si>
    <t>Guidance Adjusted EBITDA 2022</t>
  </si>
  <si>
    <t xml:space="preserve">EV </t>
  </si>
  <si>
    <t>Total Adjustments</t>
  </si>
  <si>
    <t>Q1-2022</t>
  </si>
  <si>
    <t>Q2-2022</t>
  </si>
  <si>
    <t>Q3-2022</t>
  </si>
  <si>
    <t>Q4-2022</t>
  </si>
  <si>
    <t>Low Range</t>
  </si>
  <si>
    <t>High Range</t>
  </si>
  <si>
    <t>Debt ex-TCS</t>
  </si>
  <si>
    <t>Debt TCS</t>
  </si>
  <si>
    <t>Proposed Debt Extructure Post-Spin-Off (USD m)</t>
  </si>
  <si>
    <t>Total Gross Debt</t>
  </si>
  <si>
    <t>Sale of Trademark Licensing</t>
  </si>
  <si>
    <t>Q1-2021</t>
  </si>
  <si>
    <t>Q2-2021</t>
  </si>
  <si>
    <t>Q3-2021</t>
  </si>
  <si>
    <t>Q4-2021</t>
  </si>
  <si>
    <t>Total EPS</t>
  </si>
  <si>
    <t>FY 2020</t>
  </si>
  <si>
    <t>FY 2021</t>
  </si>
  <si>
    <t>Total Assets</t>
  </si>
  <si>
    <t>Total Equity</t>
  </si>
  <si>
    <t>Total Equity and Liabilities</t>
  </si>
  <si>
    <t>Operating Cash Flow</t>
  </si>
  <si>
    <t>Investing Cash Flow</t>
  </si>
  <si>
    <t>Free Cash Flow (including leases payments)</t>
  </si>
  <si>
    <t>Financing Cash Flow</t>
  </si>
  <si>
    <t>Net Cash Used in Discontinued Activities</t>
  </si>
  <si>
    <t>Cash BoP</t>
  </si>
  <si>
    <t>Cash EoP</t>
  </si>
  <si>
    <t>Check</t>
  </si>
  <si>
    <t>Financial Result</t>
  </si>
  <si>
    <t>(+) Sale of Trademark Licensing</t>
  </si>
  <si>
    <t>x</t>
  </si>
  <si>
    <t>SOTP</t>
  </si>
  <si>
    <t>dneg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</si>
</sst>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quot;-&quot;"/>
    <numFmt numFmtId="165" formatCode="#,##0.0;\(#,##0.0\);&quot;-&quot;"/>
    <numFmt numFmtId="166" formatCode="#,##0.00;\(#,##0.00\);&quot;-&quot;"/>
    <numFmt numFmtId="167" formatCode="0.0%"/>
  </numFmts>
  <fonts count="6" x14ac:knownFonts="1">
    <font>
      <sz val="11"/>
      <color theme="1"/>
      <name val="Calibri"/>
      <family val="2"/>
      <scheme val="minor"/>
    </font>
    <font>
      <sz val="10"/>
      <color theme="1"/>
      <name val="Arial Narrow"/>
      <family val="2"/>
    </font>
    <font>
      <b/>
      <sz val="10"/>
      <color theme="0"/>
      <name val="Arial Narrow"/>
      <family val="2"/>
    </font>
    <font>
      <b/>
      <sz val="10"/>
      <color theme="1"/>
      <name val="Arial Narrow"/>
      <family val="2"/>
    </font>
    <font>
      <sz val="11"/>
      <color theme="1"/>
      <name val="Calibri"/>
      <family val="2"/>
      <scheme val="minor"/>
    </font>
    <font>
      <sz val="10"/>
      <color rgb="FF0000FF"/>
      <name val="Arial Narrow"/>
      <family val="2"/>
    </font>
  </fonts>
  <fills count="6">
    <fill>
      <patternFill patternType="none"/>
    </fill>
    <fill>
      <patternFill patternType="gray125"/>
    </fill>
    <fill>
      <patternFill patternType="solid">
        <fgColor theme="4"/>
        <bgColor theme="4"/>
      </patternFill>
    </fill>
    <fill>
      <patternFill patternType="solid">
        <fgColor theme="8"/>
        <bgColor theme="4"/>
      </patternFill>
    </fill>
    <fill>
      <patternFill patternType="solid">
        <fgColor theme="4"/>
        <bgColor indexed="64"/>
      </patternFill>
    </fill>
    <fill>
      <patternFill patternType="solid">
        <fgColor rgb="FFFFFF00"/>
        <bgColor indexed="64"/>
      </patternFill>
    </fill>
  </fills>
  <borders count="1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right/>
      <top style="thin">
        <color indexed="64"/>
      </top>
      <bottom style="thin">
        <color indexed="64"/>
      </bottom>
      <diagonal/>
    </border>
  </borders>
  <cellStyleXfs count="2">
    <xf numFmtId="0" fontId="0" fillId="0" borderId="0"/>
    <xf numFmtId="9" fontId="4" fillId="0" borderId="0" applyFont="0" applyFill="0" applyBorder="0" applyAlignment="0" applyProtection="0"/>
  </cellStyleXfs>
  <cellXfs count="44">
    <xf numFmtId="0" fontId="0" fillId="0" borderId="0" xfId="0"/>
    <xf numFmtId="164" fontId="1" fillId="0" borderId="0" xfId="0" applyNumberFormat="1" applyFont="1" applyAlignment="1">
      <alignment horizontal="right" vertical="center"/>
    </xf>
    <xf numFmtId="164" fontId="1" fillId="0" borderId="0" xfId="0" applyNumberFormat="1" applyFont="1" applyAlignment="1">
      <alignment horizontal="left" vertical="center"/>
    </xf>
    <xf numFmtId="164" fontId="3" fillId="0" borderId="0" xfId="0" applyNumberFormat="1" applyFont="1" applyAlignment="1">
      <alignment horizontal="left" vertical="center"/>
    </xf>
    <xf numFmtId="164" fontId="3" fillId="0" borderId="0" xfId="0" applyNumberFormat="1" applyFont="1" applyAlignment="1">
      <alignment horizontal="right" vertical="center"/>
    </xf>
    <xf numFmtId="164" fontId="1" fillId="0" borderId="4" xfId="0" applyNumberFormat="1" applyFont="1" applyBorder="1" applyAlignment="1">
      <alignment horizontal="left" vertical="center"/>
    </xf>
    <xf numFmtId="164" fontId="1" fillId="0" borderId="5" xfId="0" applyNumberFormat="1" applyFont="1" applyBorder="1" applyAlignment="1">
      <alignment horizontal="right" vertical="center"/>
    </xf>
    <xf numFmtId="165" fontId="5" fillId="0" borderId="0" xfId="0" applyNumberFormat="1" applyFont="1" applyAlignment="1">
      <alignment horizontal="right" vertical="center"/>
    </xf>
    <xf numFmtId="165" fontId="1" fillId="0" borderId="5" xfId="0" applyNumberFormat="1" applyFont="1" applyBorder="1" applyAlignment="1">
      <alignment horizontal="right" vertical="center"/>
    </xf>
    <xf numFmtId="164" fontId="3" fillId="0" borderId="4" xfId="0" applyNumberFormat="1" applyFont="1" applyBorder="1" applyAlignment="1">
      <alignment horizontal="left" vertical="center"/>
    </xf>
    <xf numFmtId="164" fontId="3" fillId="0" borderId="5" xfId="0" applyNumberFormat="1" applyFont="1" applyBorder="1" applyAlignment="1">
      <alignment horizontal="right" vertical="center"/>
    </xf>
    <xf numFmtId="166" fontId="3" fillId="0" borderId="5" xfId="0" applyNumberFormat="1" applyFont="1" applyBorder="1" applyAlignment="1">
      <alignment horizontal="right" vertical="center"/>
    </xf>
    <xf numFmtId="166" fontId="1" fillId="0" borderId="5" xfId="0" applyNumberFormat="1" applyFont="1" applyBorder="1" applyAlignment="1">
      <alignment horizontal="right" vertical="center"/>
    </xf>
    <xf numFmtId="167" fontId="3" fillId="0" borderId="5" xfId="1" applyNumberFormat="1" applyFont="1" applyBorder="1" applyAlignment="1">
      <alignment horizontal="right" vertical="center"/>
    </xf>
    <xf numFmtId="164" fontId="3" fillId="0" borderId="6" xfId="0" applyNumberFormat="1" applyFont="1" applyBorder="1" applyAlignment="1">
      <alignment horizontal="left" vertical="center"/>
    </xf>
    <xf numFmtId="164" fontId="1" fillId="0" borderId="7" xfId="0" applyNumberFormat="1" applyFont="1" applyBorder="1" applyAlignment="1">
      <alignment horizontal="right" vertical="center"/>
    </xf>
    <xf numFmtId="167" fontId="3" fillId="0" borderId="8" xfId="1" applyNumberFormat="1" applyFont="1" applyBorder="1" applyAlignment="1">
      <alignment horizontal="right" vertical="center"/>
    </xf>
    <xf numFmtId="165" fontId="5" fillId="0" borderId="5" xfId="0" applyNumberFormat="1" applyFont="1" applyBorder="1" applyAlignment="1">
      <alignment horizontal="right" vertical="center"/>
    </xf>
    <xf numFmtId="164" fontId="2" fillId="4" borderId="0" xfId="0" applyNumberFormat="1" applyFont="1" applyFill="1" applyAlignment="1">
      <alignment horizontal="left" vertical="center"/>
    </xf>
    <xf numFmtId="164" fontId="2" fillId="4" borderId="0" xfId="0" applyNumberFormat="1" applyFont="1" applyFill="1" applyAlignment="1">
      <alignment horizontal="right" vertical="center"/>
    </xf>
    <xf numFmtId="164" fontId="2" fillId="4" borderId="1" xfId="0" applyNumberFormat="1" applyFont="1" applyFill="1" applyBorder="1" applyAlignment="1">
      <alignment horizontal="left" vertical="center"/>
    </xf>
    <xf numFmtId="164" fontId="2" fillId="4" borderId="2" xfId="0" applyNumberFormat="1" applyFont="1" applyFill="1" applyBorder="1" applyAlignment="1">
      <alignment horizontal="left" vertical="center"/>
    </xf>
    <xf numFmtId="164" fontId="2" fillId="4" borderId="2" xfId="0" applyNumberFormat="1" applyFont="1" applyFill="1" applyBorder="1" applyAlignment="1">
      <alignment horizontal="right" vertical="center"/>
    </xf>
    <xf numFmtId="164" fontId="2" fillId="4" borderId="3" xfId="0" applyNumberFormat="1" applyFont="1" applyFill="1" applyBorder="1" applyAlignment="1">
      <alignment horizontal="right" vertical="center"/>
    </xf>
    <xf numFmtId="0" fontId="2" fillId="2" borderId="0" xfId="0" applyFont="1" applyFill="1" applyAlignment="1">
      <alignment vertical="center"/>
    </xf>
    <xf numFmtId="0" fontId="2" fillId="2" borderId="0" xfId="0" applyFont="1" applyFill="1" applyAlignment="1">
      <alignment horizontal="right" vertical="center"/>
    </xf>
    <xf numFmtId="0" fontId="2" fillId="3" borderId="0" xfId="0" applyFont="1" applyFill="1" applyAlignment="1">
      <alignment horizontal="right" vertical="center"/>
    </xf>
    <xf numFmtId="164" fontId="3" fillId="0" borderId="7" xfId="0" applyNumberFormat="1" applyFont="1" applyBorder="1" applyAlignment="1">
      <alignment horizontal="right" vertical="center"/>
    </xf>
    <xf numFmtId="164" fontId="3" fillId="0" borderId="8" xfId="0" applyNumberFormat="1" applyFont="1" applyBorder="1" applyAlignment="1">
      <alignment horizontal="right" vertical="center"/>
    </xf>
    <xf numFmtId="164" fontId="3" fillId="0" borderId="9" xfId="0" applyNumberFormat="1" applyFont="1" applyBorder="1" applyAlignment="1">
      <alignment horizontal="left" vertical="center"/>
    </xf>
    <xf numFmtId="164" fontId="3" fillId="0" borderId="9" xfId="0" applyNumberFormat="1" applyFont="1" applyBorder="1" applyAlignment="1">
      <alignment horizontal="right" vertical="center"/>
    </xf>
    <xf numFmtId="164" fontId="3" fillId="0" borderId="10" xfId="0" applyNumberFormat="1" applyFont="1" applyBorder="1" applyAlignment="1">
      <alignment horizontal="left" vertical="center"/>
    </xf>
    <xf numFmtId="164" fontId="3" fillId="0" borderId="10" xfId="0" applyNumberFormat="1" applyFont="1" applyBorder="1" applyAlignment="1">
      <alignment horizontal="right" vertical="center"/>
    </xf>
    <xf numFmtId="0" fontId="1" fillId="0" borderId="0" xfId="0" applyFont="1" applyAlignment="1">
      <alignment vertical="center"/>
    </xf>
    <xf numFmtId="0" fontId="3" fillId="0" borderId="0" xfId="0" applyFont="1" applyAlignment="1">
      <alignment vertical="center"/>
    </xf>
    <xf numFmtId="0" fontId="1" fillId="0" borderId="0" xfId="0" applyFont="1" applyAlignment="1">
      <alignment horizontal="right" vertical="center"/>
    </xf>
    <xf numFmtId="0" fontId="3" fillId="0" borderId="10" xfId="0" applyFont="1" applyBorder="1" applyAlignment="1">
      <alignment vertical="center"/>
    </xf>
    <xf numFmtId="164" fontId="3" fillId="0" borderId="10" xfId="0" applyNumberFormat="1" applyFont="1" applyBorder="1" applyAlignment="1">
      <alignment vertical="center"/>
    </xf>
    <xf numFmtId="0" fontId="1" fillId="0" borderId="10" xfId="0" applyFont="1" applyBorder="1" applyAlignment="1">
      <alignment vertical="center"/>
    </xf>
    <xf numFmtId="164" fontId="1" fillId="5" borderId="0" xfId="0" applyNumberFormat="1" applyFont="1" applyFill="1" applyAlignment="1">
      <alignment horizontal="right" vertical="center"/>
    </xf>
    <xf numFmtId="164" fontId="3" fillId="5" borderId="0" xfId="0" applyNumberFormat="1" applyFont="1" applyFill="1" applyAlignment="1">
      <alignment horizontal="right" vertical="center"/>
    </xf>
    <xf numFmtId="166" fontId="3" fillId="0" borderId="10" xfId="0" applyNumberFormat="1" applyFont="1" applyBorder="1" applyAlignment="1">
      <alignment horizontal="right" vertical="center"/>
    </xf>
    <xf numFmtId="166" fontId="1" fillId="0" borderId="0" xfId="0" applyNumberFormat="1" applyFont="1" applyAlignment="1">
      <alignment horizontal="right" vertical="center"/>
    </xf>
    <xf numFmtId="164" fontId="1" fillId="0" borderId="0" xfId="0" applyNumberFormat="1" applyFont="1" applyAlignment="1">
      <alignment vertical="center"/>
    </xf>
  </cellXfs>
  <cellStyles count="2">
    <cellStyle name="Normal" xfId="0" builtinId="0"/>
    <cellStyle name="Percent" xfId="1" builtinId="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13" Type="http://schemas.openxmlformats.org/officeDocument/2006/relationships/calcChain" Target="calcChain.xml"/><Relationship Id="rId3" Type="http://schemas.openxmlformats.org/officeDocument/2006/relationships/theme" Target="theme/theme1.xml"/><Relationship Id="rId7" Type="http://schemas.microsoft.com/office/2017/06/relationships/rdRichValue" Target="richData/rdrichvalue.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microsoft.com/office/2017/06/relationships/rdSupportingPropertyBag" Target="richData/rdsupportingpropertybag.xml"/><Relationship Id="rId5" Type="http://schemas.openxmlformats.org/officeDocument/2006/relationships/sharedStrings" Target="sharedStrings.xml"/><Relationship Id="rId10" Type="http://schemas.microsoft.com/office/2017/06/relationships/rdSupportingPropertyBagStructure" Target="richData/rdsupportingpropertybagstructure.xml"/><Relationship Id="rId4" Type="http://schemas.openxmlformats.org/officeDocument/2006/relationships/styles" Target="styles.xml"/><Relationship Id="rId9" Type="http://schemas.microsoft.com/office/2017/06/relationships/richStyles" Target="richData/richStyles.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3">
  <rv s="0">
    <v>https://www.bing.com/financeapi/forcetrigger?t=aea6xm&amp;q=XPAR%3aTCH&amp;form=skydnc</v>
    <v>Learn more on Bing</v>
  </rv>
  <rv s="1">
    <v>es-ES</v>
    <v>aea6xm</v>
    <v>268435456</v>
    <v>1</v>
    <v>Con tecnología de Refinitiv</v>
    <v>0</v>
    <v>1</v>
    <v>Vantiva (XPAR:VANTI)</v>
    <v>3</v>
    <v>4</v>
    <v>Finance</v>
    <v>5</v>
    <v>XPAR</v>
    <v>355343300</v>
    <v>1988</v>
    <v>1.238</v>
    <v>1.4381999999999999</v>
    <v>6.0000000000000001E-3</v>
    <v>5.7140000000000003E-3</v>
    <v>373110400</v>
    <v>1.05</v>
    <v xml:space="preserve">Technicolor SA is engaged in the development of technologies, and the supply of digital production (visual effects and animation), video and sound postproduction and distribution solutions and services for a range of content creators, pay-television operators, and over-the-top (OTT) and network service providers. The Company operates in the media and entertainment industry. The Company's activities are organized in three operating segments: Connected Home, Entertainment Services and Technology. The Connected Home segment includes design and supply of solutions enabling the delivery of digital video entertainment, data, as well as voice and Smart Home services to pay-television operators and network service providers. The Entertainment Services segment includes Production Services and DVD Services divisions. The Technology segment includes Patent Licensing, and Trademark and Technology Licensing divisions. </v>
    <v>16676</v>
    <v>XPAR</v>
    <v>44833.602785103903</v>
    <v>Euronext Paris</v>
    <v>0</v>
    <v>1.238</v>
    <v>1.25</v>
    <v>1.0349999999999999</v>
    <v>0.72</v>
    <v>EUR</v>
    <v>Vantiva</v>
    <v>Vantiva</v>
    <v>0</v>
    <v>1.056</v>
    <v>Media &amp; Publishing</v>
    <v>8-10 Rue du Renard, PARIS, ILE-DE-FRANCE, 75004 FR</v>
    <v>VANTI</v>
    <v>Acciones</v>
    <v>Vantiva (XPAR:VANTI)</v>
    <v>291396</v>
    <v>65740</v>
  </rv>
  <rv s="2">
    <v>1</v>
  </rv>
</rvData>
</file>

<file path=xl/richData/rdrichvaluestructure.xml><?xml version="1.0" encoding="utf-8"?>
<rvStructures xmlns="http://schemas.microsoft.com/office/spreadsheetml/2017/richdata" count="3">
  <s t="_hyperlink">
    <k n="Address" t="s"/>
    <k n="Text" t="s"/>
  </s>
  <s t="_linkedentitycore">
    <k n="%EntityCulture" t="s"/>
    <k n="%EntityId" t="s"/>
    <k n="%EntityServiceId"/>
    <k n="%IsRefreshable" t="b"/>
    <k n="%ProviderInfo" t="s"/>
    <k n="_CanonicalPropertyNames" t="spb"/>
    <k n="_Display" t="spb"/>
    <k n="_DisplayString" t="s"/>
    <k n="_Flags" t="spb"/>
    <k n="_Format" t="spb"/>
    <k n="_Icon" t="s"/>
    <k n="_SubLabel" t="spb"/>
    <k n="Abreviatura de intercambio" t="s"/>
    <k n="Acciones en circulación"/>
    <k n="Año de constitución"/>
    <k n="Apertura"/>
    <k n="Beta"/>
    <k n="Cambio"/>
    <k n="Cambio (%)"/>
    <k n="Capitalización de mercado"/>
    <k n="Cierre anterior"/>
    <k n="Descripción" t="s"/>
    <k n="Empleados"/>
    <k n="ExchangeID" t="s"/>
    <k n="Hora de la última operación"/>
    <k n="Intercambio" t="s"/>
    <k n="LearnMoreOnLink" t="r"/>
    <k n="Máximo"/>
    <k n="Máximo en 52 semanas"/>
    <k n="Mínimo"/>
    <k n="Mínimo en 52 semanas"/>
    <k n="Moneda" t="s"/>
    <k n="Nombre" t="s"/>
    <k n="Nombre oficial" t="s"/>
    <k n="P/I"/>
    <k n="Precio"/>
    <k n="Sector" t="s"/>
    <k n="Sede central" t="s"/>
    <k n="Símbolo bursátil" t="s"/>
    <k n="Tipo de instrumento" t="s"/>
    <k n="UniqueName" t="s"/>
    <k n="Volumen"/>
    <k n="Volumen promedio"/>
  </s>
  <s t="_linkedentity">
    <k n="%cvi" t="r"/>
  </s>
</rvStructures>
</file>

<file path=xl/richData/rdsupportingpropertybag.xml><?xml version="1.0" encoding="utf-8"?>
<supportingPropertyBags xmlns="http://schemas.microsoft.com/office/spreadsheetml/2017/richdata2">
  <spbArrays count="1">
    <a count="43">
      <v t="s">%EntityServiceId</v>
      <v t="s">_Format</v>
      <v t="s">%IsRefreshable</v>
      <v t="s">_CanonicalPropertyNames</v>
      <v t="s">%EntityCulture</v>
      <v t="s">%EntityId</v>
      <v t="s">_Icon</v>
      <v t="s">_Display</v>
      <v t="s">Nombre</v>
      <v t="s">_SubLabel</v>
      <v t="s">Precio</v>
      <v t="s">Intercambio</v>
      <v t="s">Nombre oficial</v>
      <v t="s">Hora de la última operación</v>
      <v t="s">Símbolo bursátil</v>
      <v t="s">Abreviatura de intercambio</v>
      <v t="s">Cambio</v>
      <v t="s">Cambio (%)</v>
      <v t="s">Moneda</v>
      <v t="s">Cierre anterior</v>
      <v t="s">Apertura</v>
      <v t="s">Máximo</v>
      <v t="s">Mínimo</v>
      <v t="s">Máximo en 52 semanas</v>
      <v t="s">Mínimo en 52 semanas</v>
      <v t="s">Volumen</v>
      <v t="s">Volumen promedio</v>
      <v t="s">Capitalización de mercado</v>
      <v t="s">Beta</v>
      <v t="s">P/I</v>
      <v t="s">Acciones en circulación</v>
      <v t="s">Descripción</v>
      <v t="s">Empleados</v>
      <v t="s">Sede central</v>
      <v t="s">Sector</v>
      <v t="s">Tipo de instrumento</v>
      <v t="s">Año de constitución</v>
      <v t="s">_Flags</v>
      <v t="s">UniqueName</v>
      <v t="s">_DisplayString</v>
      <v t="s">LearnMoreOnLink</v>
      <v t="s">ExchangeID</v>
      <v t="s">%ProviderInfo</v>
    </a>
  </spbArrays>
  <spbData count="6">
    <spb s="0">
      <v>P/E</v>
      <v>Beta</v>
      <v>Change</v>
      <v>Currency</v>
      <v>High</v>
      <v>Low</v>
      <v>Name</v>
      <v>Price</v>
      <v>Industry</v>
      <v>Volume</v>
      <v>Open</v>
      <v>Employees</v>
      <v>Change (%)</v>
      <v>ExchangeID</v>
      <v>UniqueName</v>
      <v>Description</v>
      <v>Exchange</v>
      <v>Headquarters</v>
      <v>%ProviderInfo</v>
      <v>Official name</v>
      <v>Previous close</v>
      <v>LearnMoreOnLink</v>
      <v>Ticker symbol</v>
      <v>Volume average</v>
      <v>Year incorporated</v>
      <v>Instrument type</v>
      <v>52 week high</v>
      <v>52 week low</v>
      <v>Shares outstanding</v>
      <v>Market cap</v>
      <v>Exchange abbreviation</v>
      <v>Last trade time</v>
    </spb>
    <spb s="1">
      <v>0</v>
      <v>Name</v>
      <v>LearnMoreOnLink</v>
    </spb>
    <spb s="2">
      <v>0</v>
      <v>0</v>
      <v>0</v>
    </spb>
    <spb s="3">
      <v>2</v>
      <v>2</v>
      <v>2</v>
      <v>2</v>
    </spb>
    <spb s="4">
      <v>1</v>
      <v>1</v>
      <v>2</v>
      <v>2</v>
      <v>2</v>
      <v>3</v>
      <v>2</v>
      <v>4</v>
      <v>2</v>
      <v>4</v>
      <v>5</v>
      <v>2</v>
      <v>4</v>
      <v>6</v>
      <v>7</v>
      <v>2</v>
      <v>2</v>
      <v>4</v>
      <v>8</v>
      <v>9</v>
    </spb>
    <spb s="5">
      <v xml:space="preserve">desde el cierre anterior </v>
      <v>Retrasado 15 minutos</v>
      <v xml:space="preserve">desde el cierre anterior </v>
      <v>GMT</v>
    </spb>
  </spbData>
</supportingPropertyBags>
</file>

<file path=xl/richData/rdsupportingpropertybagstructure.xml><?xml version="1.0" encoding="utf-8"?>
<spbStructures xmlns="http://schemas.microsoft.com/office/spreadsheetml/2017/richdata2" count="6">
  <s>
    <k n="P/I" t="s"/>
    <k n="Beta" t="s"/>
    <k n="Cambio" t="s"/>
    <k n="Moneda" t="s"/>
    <k n="Máximo" t="s"/>
    <k n="Mínimo" t="s"/>
    <k n="Nombre" t="s"/>
    <k n="Precio" t="s"/>
    <k n="Sector" t="s"/>
    <k n="Volumen" t="s"/>
    <k n="Apertura" t="s"/>
    <k n="Empleados" t="s"/>
    <k n="Cambio (%)" t="s"/>
    <k n="ExchangeID" t="s"/>
    <k n="UniqueName" t="s"/>
    <k n="Descripción" t="s"/>
    <k n="Intercambio" t="s"/>
    <k n="Sede central" t="s"/>
    <k n="%ProviderInfo" t="s"/>
    <k n="Nombre oficial" t="s"/>
    <k n="Cierre anterior" t="s"/>
    <k n="LearnMoreOnLink" t="s"/>
    <k n="Símbolo bursátil" t="s"/>
    <k n="Volumen promedio" t="s"/>
    <k n="Año de constitución" t="s"/>
    <k n="Tipo de instrumento" t="s"/>
    <k n="Máximo en 52 semanas" t="s"/>
    <k n="Mínimo en 52 semanas" t="s"/>
    <k n="Acciones en circulación" t="s"/>
    <k n="Capitalización de mercado" t="s"/>
    <k n="Abreviatura de intercambio" t="s"/>
    <k n="Hora de la última operación" t="s"/>
  </s>
  <s>
    <k n="^Order" t="spba"/>
    <k n="TitleProperty" t="s"/>
    <k n="SubTitleProperty" t="s"/>
  </s>
  <s>
    <k n="ShowInCardView" t="b"/>
    <k n="ShowInDotNotation" t="b"/>
    <k n="ShowInAutoComplete" t="b"/>
  </s>
  <s>
    <k n="ExchangeID" t="spb"/>
    <k n="UniqueName" t="spb"/>
    <k n="`%ProviderInfo" t="spb"/>
    <k n="LearnMoreOnLink" t="spb"/>
  </s>
  <s>
    <k n="P/I" t="i"/>
    <k n="Beta" t="i"/>
    <k n="Cambio" t="i"/>
    <k n="Máximo" t="i"/>
    <k n="Mínimo" t="i"/>
    <k n="Nombre" t="i"/>
    <k n="Precio" t="i"/>
    <k n="Volumen" t="i"/>
    <k n="Apertura" t="i"/>
    <k n="Empleados" t="i"/>
    <k n="Cambio (%)" t="i"/>
    <k n="Cierre anterior" t="i"/>
    <k n="Volumen promedio" t="i"/>
    <k n="`%EntityServiceId" t="i"/>
    <k n="Año de constitución" t="i"/>
    <k n="Máximo en 52 semanas" t="i"/>
    <k n="Mínimo en 52 semanas" t="i"/>
    <k n="Acciones en circulación" t="i"/>
    <k n="Capitalización de mercado" t="i"/>
    <k n="Hora de la última operación" t="i"/>
  </s>
  <s>
    <k n="Cambio" t="s"/>
    <k n="Precio" t="s"/>
    <k n="Cambio (%)" t="s"/>
    <k n="Hora de la última operación"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dd/mm/yyyy\ hh:mm"/>
    </x:dxf>
    <x:dxf>
      <x:numFmt numFmtId="14" formatCode="0.00%"/>
    </x:dxf>
    <x:dxf>
      <x:numFmt numFmtId="3" formatCode="#,##0"/>
    </x:dxf>
    <x:dxf>
      <x:numFmt numFmtId="4" formatCode="#,##0.00"/>
    </x:dxf>
    <x:dxf>
      <x:numFmt numFmtId="1" formatCode="0"/>
    </x:dxf>
  </dxfs>
  <richProperties>
    <rPr n="NumberFormat" t="s"/>
    <rPr n="IsTitleField" t="b"/>
  </richProperties>
  <richStyles>
    <rSty dxfid="5">
      <rpv i="0">#,##0.00</rpv>
    </rSty>
    <rSty dxfid="1">
      <rpv i="0">_([$€-x-euro2] * #,##0.00_);_([$€-x-euro2] * (#,##0.00);_([$€-x-euro2] * "-"??_);_(@_)</rpv>
    </rSty>
    <rSty>
      <rpv i="1">1</rpv>
    </rSty>
    <rSty dxfid="4">
      <rpv i="0">#,##0</rpv>
    </rSty>
    <rSty dxfid="3"/>
    <rSty dxfid="0">
      <rpv i="0">0.00</rpv>
    </rSty>
    <rSty dxfid="6">
      <rpv i="0">0</rpv>
    </rSty>
    <rSty dxfid="1">
      <rpv i="0">_([$€-x-euro2] * #,##0_);_([$€-x-euro2] * (#,##0);_([$€-x-euro2] * "-"_);_(@_)</rpv>
    </rSty>
    <rSty dxfid="2"/>
  </richStyles>
</richStyleSheet>
</file>

<file path=xl/theme/theme1.xml><?xml version="1.0" encoding="utf-8"?>
<a:theme xmlns:a="http://schemas.openxmlformats.org/drawingml/2006/main" name="Office Theme">
  <a:themeElements>
    <a:clrScheme name="Custom 1">
      <a:dk1>
        <a:sysClr val="windowText" lastClr="000000"/>
      </a:dk1>
      <a:lt1>
        <a:srgbClr val="FFFFFF"/>
      </a:lt1>
      <a:dk2>
        <a:srgbClr val="FFFFFF"/>
      </a:dk2>
      <a:lt2>
        <a:srgbClr val="FFFFFF"/>
      </a:lt2>
      <a:accent1>
        <a:srgbClr val="004976"/>
      </a:accent1>
      <a:accent2>
        <a:srgbClr val="B1CEBC"/>
      </a:accent2>
      <a:accent3>
        <a:srgbClr val="71697A"/>
      </a:accent3>
      <a:accent4>
        <a:srgbClr val="D9D2B6"/>
      </a:accent4>
      <a:accent5>
        <a:srgbClr val="7F9C90"/>
      </a:accent5>
      <a:accent6>
        <a:srgbClr val="E4BE9E"/>
      </a:accent6>
      <a:hlink>
        <a:srgbClr val="0079BF"/>
      </a:hlink>
      <a:folHlink>
        <a:srgbClr val="FF33CC"/>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958DC-580E-414A-BFB1-C36690FA1323}">
  <dimension ref="B2:AF141"/>
  <sheetViews>
    <sheetView showGridLines="0" topLeftCell="B1" zoomScale="115" zoomScaleNormal="115" workbookViewId="0">
      <pane xSplit="2" ySplit="2" topLeftCell="J3" activePane="bottomRight" state="frozen"/>
      <selection activeCell="B1" sqref="B1"/>
      <selection pane="topRight" activeCell="D1" sqref="D1"/>
      <selection pane="bottomLeft" activeCell="B3" sqref="B3"/>
      <selection pane="bottomRight" activeCell="B1" sqref="B1"/>
    </sheetView>
  </sheetViews>
  <sheetFormatPr defaultColWidth="9.1796875" defaultRowHeight="13" outlineLevelCol="1" x14ac:dyDescent="0.35"/>
  <cols>
    <col min="1" max="1" width="9.1796875" style="33"/>
    <col min="2" max="2" width="2.7265625" style="33" customWidth="1"/>
    <col min="3" max="3" width="88.81640625" style="33" customWidth="1"/>
    <col min="4" max="4" width="2.7265625" style="33" customWidth="1"/>
    <col min="5" max="5" width="9.1796875" style="35"/>
    <col min="6" max="9" width="0" style="35" hidden="1" customWidth="1" outlineLevel="1"/>
    <col min="10" max="10" width="9.1796875" style="35" collapsed="1"/>
    <col min="11" max="14" width="9.1796875" style="35" customWidth="1" outlineLevel="1"/>
    <col min="15" max="19" width="9.1796875" style="35"/>
    <col min="20" max="21" width="2.7265625" style="33" customWidth="1"/>
    <col min="22" max="22" width="53.453125" style="33" customWidth="1"/>
    <col min="23" max="23" width="2.7265625" style="33" customWidth="1"/>
    <col min="24" max="24" width="23.1796875" style="33" customWidth="1"/>
    <col min="25" max="28" width="20.54296875" style="33" customWidth="1"/>
    <col min="29" max="16384" width="9.1796875" style="33"/>
  </cols>
  <sheetData>
    <row r="2" spans="2:32" x14ac:dyDescent="0.35">
      <c r="B2" s="33" t="s">
        <v>163</v>
      </c>
      <c r="C2" s="24" t="s">
        <v>20</v>
      </c>
      <c r="D2" s="24"/>
      <c r="E2" s="25">
        <v>2020</v>
      </c>
      <c r="F2" s="25" t="s">
        <v>143</v>
      </c>
      <c r="G2" s="25" t="s">
        <v>144</v>
      </c>
      <c r="H2" s="25" t="s">
        <v>145</v>
      </c>
      <c r="I2" s="25" t="s">
        <v>146</v>
      </c>
      <c r="J2" s="25">
        <v>2021</v>
      </c>
      <c r="K2" s="25" t="s">
        <v>132</v>
      </c>
      <c r="L2" s="26" t="s">
        <v>133</v>
      </c>
      <c r="M2" s="26" t="s">
        <v>134</v>
      </c>
      <c r="N2" s="26" t="s">
        <v>135</v>
      </c>
      <c r="O2" s="26">
        <v>2022</v>
      </c>
      <c r="P2" s="26">
        <v>2023</v>
      </c>
      <c r="Q2" s="26">
        <v>2024</v>
      </c>
      <c r="R2" s="26">
        <v>2025</v>
      </c>
      <c r="S2" s="26">
        <v>2026</v>
      </c>
      <c r="T2" s="1"/>
      <c r="U2" s="1"/>
      <c r="AC2" s="1"/>
      <c r="AD2" s="1"/>
      <c r="AE2" s="1"/>
      <c r="AF2" s="1"/>
    </row>
    <row r="3" spans="2:32" s="34" customFormat="1" x14ac:dyDescent="0.35">
      <c r="C3" s="2" t="s">
        <v>0</v>
      </c>
      <c r="D3" s="2"/>
      <c r="E3" s="1">
        <v>3006</v>
      </c>
      <c r="F3" s="1">
        <v>709</v>
      </c>
      <c r="G3" s="1"/>
      <c r="H3" s="1"/>
      <c r="I3" s="1"/>
      <c r="J3" s="1">
        <v>2898</v>
      </c>
      <c r="K3" s="1">
        <v>756</v>
      </c>
      <c r="L3" s="4"/>
      <c r="M3" s="4"/>
      <c r="N3" s="4"/>
      <c r="O3" s="4"/>
      <c r="P3" s="4"/>
      <c r="Q3" s="4"/>
      <c r="R3" s="4"/>
      <c r="S3" s="4"/>
      <c r="T3" s="4"/>
      <c r="U3" s="4"/>
      <c r="AC3" s="4"/>
      <c r="AD3" s="4"/>
      <c r="AE3" s="4"/>
      <c r="AF3" s="4"/>
    </row>
    <row r="4" spans="2:32" x14ac:dyDescent="0.35">
      <c r="C4" s="2" t="s">
        <v>1</v>
      </c>
      <c r="D4" s="2"/>
      <c r="E4" s="1">
        <v>-2729</v>
      </c>
      <c r="F4" s="1">
        <v>-637</v>
      </c>
      <c r="G4" s="1"/>
      <c r="H4" s="1"/>
      <c r="I4" s="1"/>
      <c r="J4" s="1">
        <v>-2494</v>
      </c>
      <c r="K4" s="1">
        <v>-665</v>
      </c>
      <c r="L4" s="1"/>
      <c r="M4" s="1"/>
      <c r="N4" s="1"/>
      <c r="O4" s="1"/>
      <c r="P4" s="1"/>
      <c r="Q4" s="1"/>
      <c r="R4" s="1"/>
      <c r="S4" s="1"/>
      <c r="T4" s="1"/>
      <c r="U4" s="1"/>
      <c r="AC4" s="1"/>
      <c r="AD4" s="1"/>
      <c r="AE4" s="1"/>
      <c r="AF4" s="1"/>
    </row>
    <row r="5" spans="2:32" x14ac:dyDescent="0.35">
      <c r="C5" s="29" t="s">
        <v>2</v>
      </c>
      <c r="D5" s="29"/>
      <c r="E5" s="30">
        <f>+E3+E4</f>
        <v>277</v>
      </c>
      <c r="F5" s="30">
        <f t="shared" ref="F5:S5" si="0">+F3+F4</f>
        <v>72</v>
      </c>
      <c r="G5" s="30">
        <f t="shared" si="0"/>
        <v>0</v>
      </c>
      <c r="H5" s="30">
        <f t="shared" si="0"/>
        <v>0</v>
      </c>
      <c r="I5" s="30">
        <f t="shared" si="0"/>
        <v>0</v>
      </c>
      <c r="J5" s="30">
        <f t="shared" si="0"/>
        <v>404</v>
      </c>
      <c r="K5" s="30">
        <f t="shared" si="0"/>
        <v>91</v>
      </c>
      <c r="L5" s="30">
        <f t="shared" si="0"/>
        <v>0</v>
      </c>
      <c r="M5" s="30">
        <f t="shared" si="0"/>
        <v>0</v>
      </c>
      <c r="N5" s="30">
        <f t="shared" si="0"/>
        <v>0</v>
      </c>
      <c r="O5" s="30">
        <f t="shared" si="0"/>
        <v>0</v>
      </c>
      <c r="P5" s="30">
        <f t="shared" si="0"/>
        <v>0</v>
      </c>
      <c r="Q5" s="30">
        <f t="shared" si="0"/>
        <v>0</v>
      </c>
      <c r="R5" s="30">
        <f t="shared" si="0"/>
        <v>0</v>
      </c>
      <c r="S5" s="30">
        <f t="shared" si="0"/>
        <v>0</v>
      </c>
      <c r="T5" s="1"/>
      <c r="U5" s="1"/>
      <c r="AC5" s="1"/>
      <c r="AD5" s="1"/>
      <c r="AE5" s="1"/>
      <c r="AF5" s="1"/>
    </row>
    <row r="6" spans="2:32" x14ac:dyDescent="0.35">
      <c r="E6" s="33"/>
      <c r="F6" s="33"/>
      <c r="G6" s="33"/>
      <c r="H6" s="33"/>
      <c r="I6" s="33"/>
      <c r="J6" s="33"/>
      <c r="K6" s="33"/>
      <c r="L6" s="4"/>
      <c r="M6" s="4"/>
      <c r="N6" s="4"/>
      <c r="O6" s="4"/>
      <c r="P6" s="4"/>
      <c r="Q6" s="4"/>
      <c r="R6" s="4"/>
      <c r="S6" s="4"/>
      <c r="T6" s="1"/>
      <c r="U6" s="1"/>
      <c r="AC6" s="1"/>
      <c r="AD6" s="1"/>
      <c r="AE6" s="1"/>
      <c r="AF6" s="1"/>
    </row>
    <row r="7" spans="2:32" x14ac:dyDescent="0.35">
      <c r="C7" s="2" t="s">
        <v>3</v>
      </c>
      <c r="D7" s="2"/>
      <c r="E7" s="1">
        <v>-283</v>
      </c>
      <c r="F7" s="1">
        <v>-63</v>
      </c>
      <c r="G7" s="1"/>
      <c r="H7" s="1"/>
      <c r="I7" s="1"/>
      <c r="J7" s="1">
        <v>-263</v>
      </c>
      <c r="K7" s="1">
        <v>-65</v>
      </c>
      <c r="L7" s="1"/>
      <c r="M7" s="1"/>
      <c r="N7" s="1"/>
      <c r="O7" s="1"/>
      <c r="P7" s="1"/>
      <c r="Q7" s="1"/>
      <c r="R7" s="1"/>
      <c r="S7" s="1"/>
      <c r="T7" s="1"/>
      <c r="U7" s="1"/>
      <c r="AC7" s="1"/>
      <c r="AD7" s="1"/>
      <c r="AE7" s="1"/>
      <c r="AF7" s="1"/>
    </row>
    <row r="8" spans="2:32" x14ac:dyDescent="0.35">
      <c r="C8" s="2" t="s">
        <v>4</v>
      </c>
      <c r="D8" s="2"/>
      <c r="E8" s="1">
        <v>-94</v>
      </c>
      <c r="F8" s="1">
        <v>-23</v>
      </c>
      <c r="G8" s="1"/>
      <c r="H8" s="1"/>
      <c r="I8" s="1"/>
      <c r="J8" s="1">
        <v>-84</v>
      </c>
      <c r="K8" s="1">
        <v>-22</v>
      </c>
      <c r="L8" s="1"/>
      <c r="M8" s="1"/>
      <c r="N8" s="1"/>
      <c r="O8" s="1"/>
      <c r="P8" s="1"/>
      <c r="Q8" s="1"/>
      <c r="R8" s="1"/>
      <c r="S8" s="1"/>
      <c r="T8" s="1"/>
      <c r="U8" s="1"/>
      <c r="AC8" s="1"/>
      <c r="AD8" s="1"/>
      <c r="AE8" s="1"/>
      <c r="AF8" s="1"/>
    </row>
    <row r="9" spans="2:32" x14ac:dyDescent="0.35">
      <c r="C9" s="2" t="s">
        <v>5</v>
      </c>
      <c r="D9" s="2"/>
      <c r="E9" s="1">
        <v>-100</v>
      </c>
      <c r="F9" s="1">
        <v>-14</v>
      </c>
      <c r="G9" s="1"/>
      <c r="H9" s="1"/>
      <c r="I9" s="1"/>
      <c r="J9" s="1">
        <v>-37</v>
      </c>
      <c r="K9" s="1">
        <v>-2</v>
      </c>
      <c r="L9" s="1"/>
      <c r="M9" s="1"/>
      <c r="N9" s="1"/>
      <c r="O9" s="1"/>
      <c r="P9" s="1"/>
      <c r="Q9" s="1"/>
      <c r="R9" s="1"/>
      <c r="S9" s="1"/>
      <c r="T9" s="1"/>
      <c r="U9" s="1"/>
      <c r="AC9" s="1"/>
      <c r="AD9" s="1"/>
      <c r="AE9" s="1"/>
      <c r="AF9" s="1"/>
    </row>
    <row r="10" spans="2:32" x14ac:dyDescent="0.35">
      <c r="C10" s="2" t="s">
        <v>6</v>
      </c>
      <c r="D10" s="2"/>
      <c r="E10" s="1">
        <v>-75</v>
      </c>
      <c r="F10" s="1">
        <v>-1</v>
      </c>
      <c r="G10" s="1"/>
      <c r="H10" s="1"/>
      <c r="I10" s="1"/>
      <c r="J10" s="1">
        <v>-5</v>
      </c>
      <c r="K10" s="1">
        <v>-1</v>
      </c>
      <c r="L10" s="1"/>
      <c r="M10" s="1"/>
      <c r="N10" s="1"/>
      <c r="O10" s="1"/>
      <c r="P10" s="1"/>
      <c r="Q10" s="1"/>
      <c r="R10" s="1"/>
      <c r="S10" s="1"/>
      <c r="T10" s="1"/>
      <c r="U10" s="1"/>
      <c r="AC10" s="1"/>
      <c r="AD10" s="1"/>
      <c r="AE10" s="1"/>
      <c r="AF10" s="1"/>
    </row>
    <row r="11" spans="2:32" x14ac:dyDescent="0.35">
      <c r="C11" s="2" t="s">
        <v>7</v>
      </c>
      <c r="D11" s="2"/>
      <c r="E11" s="1">
        <v>8</v>
      </c>
      <c r="F11" s="1">
        <v>0</v>
      </c>
      <c r="G11" s="1"/>
      <c r="H11" s="1"/>
      <c r="I11" s="1"/>
      <c r="J11" s="1">
        <v>14</v>
      </c>
      <c r="K11" s="1">
        <v>-2</v>
      </c>
      <c r="L11" s="1"/>
      <c r="M11" s="1"/>
      <c r="N11" s="1"/>
      <c r="O11" s="1"/>
      <c r="P11" s="1"/>
      <c r="Q11" s="1"/>
      <c r="R11" s="1"/>
      <c r="S11" s="1"/>
      <c r="T11" s="1"/>
      <c r="U11" s="1"/>
      <c r="AC11" s="1"/>
      <c r="AD11" s="1"/>
      <c r="AE11" s="1"/>
      <c r="AF11" s="1"/>
    </row>
    <row r="12" spans="2:32" s="34" customFormat="1" x14ac:dyDescent="0.35">
      <c r="C12" s="29" t="s">
        <v>8</v>
      </c>
      <c r="D12" s="29"/>
      <c r="E12" s="30">
        <f t="shared" ref="E12:K12" si="1">SUM(E5:E11)</f>
        <v>-267</v>
      </c>
      <c r="F12" s="30">
        <f t="shared" si="1"/>
        <v>-29</v>
      </c>
      <c r="G12" s="30">
        <f t="shared" si="1"/>
        <v>0</v>
      </c>
      <c r="H12" s="30">
        <f t="shared" si="1"/>
        <v>0</v>
      </c>
      <c r="I12" s="30">
        <f t="shared" si="1"/>
        <v>0</v>
      </c>
      <c r="J12" s="30">
        <f t="shared" si="1"/>
        <v>29</v>
      </c>
      <c r="K12" s="30">
        <f t="shared" si="1"/>
        <v>-1</v>
      </c>
      <c r="L12" s="30">
        <f t="shared" ref="L12:S12" si="2">SUM(L5:L11)</f>
        <v>0</v>
      </c>
      <c r="M12" s="30">
        <f t="shared" si="2"/>
        <v>0</v>
      </c>
      <c r="N12" s="30">
        <f t="shared" si="2"/>
        <v>0</v>
      </c>
      <c r="O12" s="30">
        <f t="shared" si="2"/>
        <v>0</v>
      </c>
      <c r="P12" s="30">
        <f t="shared" si="2"/>
        <v>0</v>
      </c>
      <c r="Q12" s="30">
        <f t="shared" si="2"/>
        <v>0</v>
      </c>
      <c r="R12" s="30">
        <f t="shared" si="2"/>
        <v>0</v>
      </c>
      <c r="S12" s="30">
        <f t="shared" si="2"/>
        <v>0</v>
      </c>
      <c r="T12" s="4"/>
      <c r="U12" s="4"/>
      <c r="AC12" s="4"/>
      <c r="AD12" s="4"/>
      <c r="AE12" s="4"/>
      <c r="AF12" s="4"/>
    </row>
    <row r="13" spans="2:32" s="34" customFormat="1" x14ac:dyDescent="0.35">
      <c r="C13" s="3"/>
      <c r="D13" s="3"/>
      <c r="E13" s="4"/>
      <c r="F13" s="4"/>
      <c r="G13" s="4"/>
      <c r="H13" s="4"/>
      <c r="I13" s="4"/>
      <c r="J13" s="4"/>
      <c r="K13" s="4"/>
      <c r="L13" s="4"/>
      <c r="M13" s="4"/>
      <c r="N13" s="4"/>
      <c r="O13" s="4"/>
      <c r="P13" s="4"/>
      <c r="Q13" s="4"/>
      <c r="R13" s="4"/>
      <c r="S13" s="4"/>
      <c r="T13" s="4"/>
      <c r="U13" s="4"/>
      <c r="AC13" s="4"/>
      <c r="AD13" s="4"/>
      <c r="AE13" s="4"/>
      <c r="AF13" s="4"/>
    </row>
    <row r="14" spans="2:32" x14ac:dyDescent="0.35">
      <c r="C14" s="2" t="s">
        <v>9</v>
      </c>
      <c r="D14" s="2"/>
      <c r="E14" s="1">
        <v>4</v>
      </c>
      <c r="F14" s="1">
        <v>0</v>
      </c>
      <c r="G14" s="1"/>
      <c r="H14" s="1"/>
      <c r="I14" s="1"/>
      <c r="J14" s="1">
        <v>0</v>
      </c>
      <c r="K14" s="1">
        <v>0</v>
      </c>
      <c r="L14" s="1"/>
      <c r="M14" s="1"/>
      <c r="N14" s="1"/>
      <c r="O14" s="1"/>
      <c r="P14" s="1"/>
      <c r="Q14" s="1"/>
      <c r="R14" s="1"/>
      <c r="S14" s="1"/>
      <c r="T14" s="1"/>
      <c r="U14" s="1"/>
      <c r="AC14" s="1"/>
      <c r="AD14" s="1"/>
      <c r="AE14" s="1"/>
      <c r="AF14" s="1"/>
    </row>
    <row r="15" spans="2:32" x14ac:dyDescent="0.35">
      <c r="C15" s="2" t="s">
        <v>10</v>
      </c>
      <c r="D15" s="2"/>
      <c r="E15" s="1">
        <v>-82</v>
      </c>
      <c r="F15" s="1">
        <v>-31</v>
      </c>
      <c r="G15" s="1"/>
      <c r="H15" s="1"/>
      <c r="I15" s="1"/>
      <c r="J15" s="1">
        <v>-126</v>
      </c>
      <c r="K15" s="1">
        <v>-34</v>
      </c>
      <c r="L15" s="1"/>
      <c r="M15" s="1"/>
      <c r="N15" s="1"/>
      <c r="O15" s="1"/>
      <c r="P15" s="1"/>
      <c r="Q15" s="1"/>
      <c r="R15" s="1"/>
      <c r="S15" s="1"/>
      <c r="T15" s="1"/>
      <c r="U15" s="1"/>
      <c r="AC15" s="1"/>
      <c r="AD15" s="1"/>
      <c r="AE15" s="1"/>
      <c r="AF15" s="1"/>
    </row>
    <row r="16" spans="2:32" x14ac:dyDescent="0.35">
      <c r="C16" s="2" t="s">
        <v>11</v>
      </c>
      <c r="D16" s="2"/>
      <c r="E16" s="1">
        <v>158</v>
      </c>
      <c r="F16" s="1">
        <v>0</v>
      </c>
      <c r="G16" s="1"/>
      <c r="H16" s="1"/>
      <c r="I16" s="1"/>
      <c r="J16" s="1">
        <v>0</v>
      </c>
      <c r="K16" s="1">
        <v>0</v>
      </c>
      <c r="L16" s="1"/>
      <c r="M16" s="1"/>
      <c r="N16" s="1"/>
      <c r="O16" s="1"/>
      <c r="P16" s="1"/>
      <c r="Q16" s="1"/>
      <c r="R16" s="1"/>
      <c r="S16" s="1"/>
      <c r="T16" s="1"/>
      <c r="U16" s="1"/>
      <c r="AC16" s="1"/>
      <c r="AD16" s="1"/>
      <c r="AE16" s="1"/>
      <c r="AF16" s="1"/>
    </row>
    <row r="17" spans="2:32" x14ac:dyDescent="0.35">
      <c r="C17" s="2" t="s">
        <v>12</v>
      </c>
      <c r="D17" s="2"/>
      <c r="E17" s="1">
        <v>-3</v>
      </c>
      <c r="F17" s="1">
        <v>-1</v>
      </c>
      <c r="G17" s="1"/>
      <c r="H17" s="1"/>
      <c r="I17" s="1"/>
      <c r="J17" s="1">
        <v>0</v>
      </c>
      <c r="K17" s="1">
        <v>0</v>
      </c>
      <c r="L17" s="1"/>
      <c r="M17" s="1"/>
      <c r="N17" s="1"/>
      <c r="O17" s="1"/>
      <c r="P17" s="1"/>
      <c r="Q17" s="1"/>
      <c r="R17" s="1"/>
      <c r="S17" s="1"/>
      <c r="T17" s="1"/>
      <c r="U17" s="1"/>
      <c r="AC17" s="1"/>
      <c r="AD17" s="1"/>
      <c r="AE17" s="1"/>
      <c r="AF17" s="1"/>
    </row>
    <row r="18" spans="2:32" s="34" customFormat="1" x14ac:dyDescent="0.35">
      <c r="C18" s="29" t="s">
        <v>161</v>
      </c>
      <c r="D18" s="29"/>
      <c r="E18" s="30">
        <f t="shared" ref="E18:I18" si="3">SUM(E14:E17)</f>
        <v>77</v>
      </c>
      <c r="F18" s="30">
        <f t="shared" si="3"/>
        <v>-32</v>
      </c>
      <c r="G18" s="30">
        <f t="shared" si="3"/>
        <v>0</v>
      </c>
      <c r="H18" s="30">
        <f t="shared" si="3"/>
        <v>0</v>
      </c>
      <c r="I18" s="30">
        <f t="shared" si="3"/>
        <v>0</v>
      </c>
      <c r="J18" s="30">
        <f>SUM(J14:J17)</f>
        <v>-126</v>
      </c>
      <c r="K18" s="30">
        <f>SUM(K14:K17)</f>
        <v>-34</v>
      </c>
      <c r="L18" s="30">
        <f t="shared" ref="L18:S18" si="4">SUM(L14:L17)</f>
        <v>0</v>
      </c>
      <c r="M18" s="30">
        <f t="shared" si="4"/>
        <v>0</v>
      </c>
      <c r="N18" s="30">
        <f t="shared" si="4"/>
        <v>0</v>
      </c>
      <c r="O18" s="30">
        <f t="shared" si="4"/>
        <v>0</v>
      </c>
      <c r="P18" s="30">
        <f t="shared" si="4"/>
        <v>0</v>
      </c>
      <c r="Q18" s="30">
        <f t="shared" si="4"/>
        <v>0</v>
      </c>
      <c r="R18" s="30">
        <f t="shared" si="4"/>
        <v>0</v>
      </c>
      <c r="S18" s="30">
        <f t="shared" si="4"/>
        <v>0</v>
      </c>
      <c r="T18" s="4"/>
      <c r="U18" s="4"/>
      <c r="AC18" s="4"/>
      <c r="AD18" s="4"/>
      <c r="AE18" s="4"/>
      <c r="AF18" s="4"/>
    </row>
    <row r="19" spans="2:32" s="34" customFormat="1" x14ac:dyDescent="0.35">
      <c r="C19" s="3"/>
      <c r="D19" s="3"/>
      <c r="E19" s="4"/>
      <c r="F19" s="4"/>
      <c r="G19" s="4"/>
      <c r="H19" s="4"/>
      <c r="I19" s="4"/>
      <c r="J19" s="4"/>
      <c r="K19" s="4"/>
      <c r="L19" s="4"/>
      <c r="M19" s="4"/>
      <c r="N19" s="4"/>
      <c r="O19" s="4"/>
      <c r="P19" s="4"/>
      <c r="Q19" s="4"/>
      <c r="R19" s="4"/>
      <c r="S19" s="4"/>
      <c r="T19" s="4"/>
      <c r="U19" s="4"/>
      <c r="AC19" s="4"/>
      <c r="AD19" s="4"/>
      <c r="AE19" s="4"/>
      <c r="AF19" s="4"/>
    </row>
    <row r="20" spans="2:32" x14ac:dyDescent="0.35">
      <c r="C20" s="2" t="s">
        <v>13</v>
      </c>
      <c r="D20" s="2"/>
      <c r="E20" s="1">
        <v>-5</v>
      </c>
      <c r="F20" s="1">
        <v>-1</v>
      </c>
      <c r="G20" s="1"/>
      <c r="H20" s="1"/>
      <c r="I20" s="1"/>
      <c r="J20" s="1">
        <v>-24</v>
      </c>
      <c r="K20" s="1">
        <v>-7</v>
      </c>
      <c r="L20" s="1"/>
      <c r="M20" s="1"/>
      <c r="N20" s="1"/>
      <c r="O20" s="1"/>
      <c r="P20" s="1"/>
      <c r="Q20" s="1"/>
      <c r="R20" s="1"/>
      <c r="S20" s="1"/>
      <c r="T20" s="1"/>
      <c r="U20" s="1"/>
      <c r="AC20" s="1"/>
      <c r="AD20" s="1"/>
      <c r="AE20" s="1"/>
      <c r="AF20" s="1"/>
    </row>
    <row r="21" spans="2:32" s="34" customFormat="1" x14ac:dyDescent="0.35">
      <c r="C21" s="29" t="s">
        <v>14</v>
      </c>
      <c r="D21" s="29"/>
      <c r="E21" s="30">
        <f t="shared" ref="E21:I21" si="5">+E12+E18+E20</f>
        <v>-195</v>
      </c>
      <c r="F21" s="30">
        <f t="shared" si="5"/>
        <v>-62</v>
      </c>
      <c r="G21" s="30">
        <f t="shared" si="5"/>
        <v>0</v>
      </c>
      <c r="H21" s="30">
        <f t="shared" si="5"/>
        <v>0</v>
      </c>
      <c r="I21" s="30">
        <f t="shared" si="5"/>
        <v>0</v>
      </c>
      <c r="J21" s="30">
        <f>+J12+J18+J20</f>
        <v>-121</v>
      </c>
      <c r="K21" s="30">
        <f>+K12+K18+K20</f>
        <v>-42</v>
      </c>
      <c r="L21" s="30">
        <f t="shared" ref="L21:S21" si="6">+L12+L18+L20</f>
        <v>0</v>
      </c>
      <c r="M21" s="30">
        <f t="shared" si="6"/>
        <v>0</v>
      </c>
      <c r="N21" s="30">
        <f t="shared" si="6"/>
        <v>0</v>
      </c>
      <c r="O21" s="30">
        <f t="shared" si="6"/>
        <v>0</v>
      </c>
      <c r="P21" s="30">
        <f t="shared" si="6"/>
        <v>0</v>
      </c>
      <c r="Q21" s="30">
        <f t="shared" si="6"/>
        <v>0</v>
      </c>
      <c r="R21" s="30">
        <f t="shared" si="6"/>
        <v>0</v>
      </c>
      <c r="S21" s="30">
        <f t="shared" si="6"/>
        <v>0</v>
      </c>
      <c r="T21" s="4"/>
      <c r="U21" s="4"/>
      <c r="AC21" s="4"/>
      <c r="AD21" s="4"/>
      <c r="AE21" s="4"/>
      <c r="AF21" s="4"/>
    </row>
    <row r="22" spans="2:32" s="34" customFormat="1" x14ac:dyDescent="0.35">
      <c r="C22" s="3"/>
      <c r="D22" s="3"/>
      <c r="E22" s="4"/>
      <c r="F22" s="4"/>
      <c r="G22" s="4"/>
      <c r="H22" s="4"/>
      <c r="I22" s="4"/>
      <c r="J22" s="4"/>
      <c r="K22" s="4"/>
      <c r="L22" s="4"/>
      <c r="M22" s="4"/>
      <c r="N22" s="4"/>
      <c r="O22" s="4"/>
      <c r="P22" s="4"/>
      <c r="Q22" s="4"/>
      <c r="R22" s="4"/>
      <c r="S22" s="4"/>
      <c r="T22" s="4"/>
      <c r="U22" s="4"/>
      <c r="AC22" s="4"/>
      <c r="AD22" s="4"/>
      <c r="AE22" s="4"/>
      <c r="AF22" s="4"/>
    </row>
    <row r="23" spans="2:32" s="34" customFormat="1" x14ac:dyDescent="0.35">
      <c r="C23" s="2" t="s">
        <v>15</v>
      </c>
      <c r="D23" s="2"/>
      <c r="E23" s="1">
        <v>-15</v>
      </c>
      <c r="F23" s="1">
        <v>1</v>
      </c>
      <c r="G23" s="1"/>
      <c r="H23" s="1"/>
      <c r="I23" s="1"/>
      <c r="J23" s="1">
        <v>-19</v>
      </c>
      <c r="K23" s="1">
        <v>2</v>
      </c>
      <c r="L23" s="4"/>
      <c r="M23" s="4"/>
      <c r="N23" s="4"/>
      <c r="O23" s="4"/>
      <c r="P23" s="4"/>
      <c r="Q23" s="4"/>
      <c r="R23" s="4"/>
      <c r="S23" s="4"/>
      <c r="T23" s="4"/>
      <c r="U23" s="4"/>
      <c r="AC23" s="4"/>
      <c r="AD23" s="4"/>
      <c r="AE23" s="4"/>
      <c r="AF23" s="4"/>
    </row>
    <row r="24" spans="2:32" x14ac:dyDescent="0.35">
      <c r="C24" s="29" t="s">
        <v>16</v>
      </c>
      <c r="D24" s="29"/>
      <c r="E24" s="30">
        <f>+E21+E23</f>
        <v>-210</v>
      </c>
      <c r="F24" s="30">
        <f t="shared" ref="F24:S24" si="7">+F21+F23</f>
        <v>-61</v>
      </c>
      <c r="G24" s="30">
        <f t="shared" si="7"/>
        <v>0</v>
      </c>
      <c r="H24" s="30">
        <f t="shared" si="7"/>
        <v>0</v>
      </c>
      <c r="I24" s="30">
        <f t="shared" si="7"/>
        <v>0</v>
      </c>
      <c r="J24" s="30">
        <f t="shared" si="7"/>
        <v>-140</v>
      </c>
      <c r="K24" s="30">
        <f t="shared" si="7"/>
        <v>-40</v>
      </c>
      <c r="L24" s="30">
        <f t="shared" si="7"/>
        <v>0</v>
      </c>
      <c r="M24" s="30">
        <f t="shared" si="7"/>
        <v>0</v>
      </c>
      <c r="N24" s="30">
        <f t="shared" si="7"/>
        <v>0</v>
      </c>
      <c r="O24" s="30">
        <f t="shared" si="7"/>
        <v>0</v>
      </c>
      <c r="P24" s="30">
        <f t="shared" si="7"/>
        <v>0</v>
      </c>
      <c r="Q24" s="30">
        <f t="shared" si="7"/>
        <v>0</v>
      </c>
      <c r="R24" s="30">
        <f t="shared" si="7"/>
        <v>0</v>
      </c>
      <c r="S24" s="30">
        <f t="shared" si="7"/>
        <v>0</v>
      </c>
      <c r="T24" s="1"/>
      <c r="U24" s="1"/>
      <c r="AC24" s="1"/>
      <c r="AD24" s="1"/>
      <c r="AE24" s="1"/>
      <c r="AF24" s="1"/>
    </row>
    <row r="25" spans="2:32" s="34" customFormat="1" x14ac:dyDescent="0.35">
      <c r="L25" s="4"/>
      <c r="M25" s="4"/>
      <c r="N25" s="4"/>
      <c r="O25" s="4"/>
      <c r="P25" s="4"/>
      <c r="Q25" s="4"/>
      <c r="R25" s="4"/>
      <c r="S25" s="4"/>
      <c r="T25" s="4"/>
      <c r="U25" s="4"/>
      <c r="AC25" s="4"/>
      <c r="AD25" s="4"/>
      <c r="AE25" s="4"/>
      <c r="AF25" s="4"/>
    </row>
    <row r="26" spans="2:32" x14ac:dyDescent="0.35">
      <c r="C26" s="2" t="s">
        <v>17</v>
      </c>
      <c r="D26" s="2"/>
      <c r="E26" s="1">
        <v>73.681646999999998</v>
      </c>
      <c r="F26" s="39"/>
      <c r="G26" s="1"/>
      <c r="H26" s="1"/>
      <c r="I26" s="1"/>
      <c r="J26" s="1">
        <v>235.81402800000001</v>
      </c>
      <c r="K26" s="1">
        <v>235.82835700000001</v>
      </c>
      <c r="L26" s="1"/>
      <c r="M26" s="1"/>
      <c r="N26" s="1"/>
      <c r="O26" s="1"/>
      <c r="P26" s="1"/>
      <c r="Q26" s="1"/>
      <c r="R26" s="1"/>
      <c r="S26" s="1"/>
      <c r="T26" s="1"/>
      <c r="U26" s="1"/>
      <c r="AC26" s="1"/>
      <c r="AD26" s="1"/>
      <c r="AE26" s="1"/>
      <c r="AF26" s="1"/>
    </row>
    <row r="27" spans="2:32" x14ac:dyDescent="0.35">
      <c r="C27" s="2" t="s">
        <v>18</v>
      </c>
      <c r="D27" s="2"/>
      <c r="E27" s="42">
        <f>+E21/E26</f>
        <v>-2.6465206457722097</v>
      </c>
      <c r="F27" s="42"/>
      <c r="G27" s="42"/>
      <c r="H27" s="42"/>
      <c r="I27" s="42"/>
      <c r="J27" s="42">
        <f>+J21/J26</f>
        <v>-0.5131162086761013</v>
      </c>
      <c r="K27" s="42">
        <f>+K21/K26</f>
        <v>-0.17809563079812321</v>
      </c>
      <c r="L27" s="42"/>
      <c r="M27" s="42"/>
      <c r="N27" s="42"/>
      <c r="O27" s="42"/>
      <c r="P27" s="42"/>
      <c r="Q27" s="42"/>
      <c r="R27" s="42"/>
      <c r="S27" s="42"/>
      <c r="T27" s="1"/>
      <c r="U27" s="1"/>
      <c r="AC27" s="1"/>
      <c r="AD27" s="1"/>
      <c r="AE27" s="1"/>
      <c r="AF27" s="1"/>
    </row>
    <row r="28" spans="2:32" x14ac:dyDescent="0.35">
      <c r="C28" s="2" t="s">
        <v>19</v>
      </c>
      <c r="D28" s="2"/>
      <c r="E28" s="42">
        <f>+E23/E26</f>
        <v>-0.20357851121324691</v>
      </c>
      <c r="F28" s="42"/>
      <c r="G28" s="42"/>
      <c r="H28" s="42"/>
      <c r="I28" s="42"/>
      <c r="J28" s="42">
        <f>+J23/J26</f>
        <v>-8.0571966651619212E-2</v>
      </c>
      <c r="K28" s="42">
        <f>+K23/K26</f>
        <v>8.4807443237201532E-3</v>
      </c>
      <c r="L28" s="42"/>
      <c r="M28" s="42"/>
      <c r="N28" s="42"/>
      <c r="O28" s="42"/>
      <c r="P28" s="42"/>
      <c r="Q28" s="42"/>
      <c r="R28" s="42"/>
      <c r="S28" s="42"/>
      <c r="T28" s="1"/>
      <c r="U28" s="1"/>
      <c r="AC28" s="1"/>
      <c r="AD28" s="1"/>
      <c r="AE28" s="1"/>
      <c r="AF28" s="1"/>
    </row>
    <row r="29" spans="2:32" s="34" customFormat="1" x14ac:dyDescent="0.35">
      <c r="C29" s="31" t="s">
        <v>147</v>
      </c>
      <c r="D29" s="31"/>
      <c r="E29" s="41">
        <f>+E24/E26</f>
        <v>-2.8500991569854568</v>
      </c>
      <c r="F29" s="41"/>
      <c r="G29" s="41"/>
      <c r="H29" s="41"/>
      <c r="I29" s="41"/>
      <c r="J29" s="41">
        <f>+J24/J26</f>
        <v>-0.59368817532772056</v>
      </c>
      <c r="K29" s="41">
        <f>+K24/K26</f>
        <v>-0.16961488647440306</v>
      </c>
      <c r="L29" s="41"/>
      <c r="M29" s="41"/>
      <c r="N29" s="41"/>
      <c r="O29" s="41"/>
      <c r="P29" s="41"/>
      <c r="Q29" s="41"/>
      <c r="R29" s="41"/>
      <c r="S29" s="41"/>
      <c r="T29" s="4"/>
      <c r="U29" s="4"/>
      <c r="AC29" s="4"/>
      <c r="AD29" s="4"/>
      <c r="AE29" s="4"/>
      <c r="AF29" s="4"/>
    </row>
    <row r="30" spans="2:32" x14ac:dyDescent="0.35">
      <c r="C30" s="2"/>
      <c r="D30" s="2"/>
      <c r="E30" s="1"/>
      <c r="F30" s="1"/>
      <c r="G30" s="1"/>
      <c r="H30" s="1"/>
      <c r="I30" s="1"/>
      <c r="J30" s="1"/>
      <c r="K30" s="1"/>
      <c r="L30" s="1"/>
      <c r="M30" s="1"/>
      <c r="N30" s="1"/>
      <c r="O30" s="1"/>
      <c r="P30" s="1"/>
      <c r="Q30" s="1"/>
      <c r="R30" s="1"/>
      <c r="S30" s="1"/>
      <c r="T30" s="1"/>
      <c r="U30" s="1"/>
      <c r="AC30" s="1"/>
      <c r="AD30" s="1"/>
      <c r="AE30" s="1"/>
      <c r="AF30" s="1"/>
    </row>
    <row r="31" spans="2:32" x14ac:dyDescent="0.35">
      <c r="B31" s="33" t="s">
        <v>163</v>
      </c>
      <c r="C31" s="24" t="s">
        <v>21</v>
      </c>
      <c r="D31" s="24"/>
      <c r="E31" s="25" t="s">
        <v>148</v>
      </c>
      <c r="F31" s="25"/>
      <c r="G31" s="25"/>
      <c r="H31" s="25"/>
      <c r="I31" s="25"/>
      <c r="J31" s="25" t="s">
        <v>149</v>
      </c>
      <c r="K31" s="25" t="s">
        <v>132</v>
      </c>
      <c r="L31" s="26" t="s">
        <v>133</v>
      </c>
      <c r="M31" s="26" t="s">
        <v>134</v>
      </c>
      <c r="N31" s="26" t="s">
        <v>135</v>
      </c>
      <c r="O31" s="26">
        <v>2022</v>
      </c>
      <c r="P31" s="26">
        <v>2023</v>
      </c>
      <c r="Q31" s="26">
        <v>2024</v>
      </c>
      <c r="R31" s="26">
        <v>2025</v>
      </c>
      <c r="S31" s="26">
        <v>2026</v>
      </c>
      <c r="T31" s="1"/>
      <c r="U31" s="1"/>
      <c r="AC31" s="1"/>
      <c r="AD31" s="1"/>
      <c r="AE31" s="1"/>
      <c r="AF31" s="1"/>
    </row>
    <row r="32" spans="2:32" x14ac:dyDescent="0.35">
      <c r="C32" s="2" t="s">
        <v>22</v>
      </c>
      <c r="D32" s="2"/>
      <c r="E32" s="1">
        <v>716</v>
      </c>
      <c r="F32" s="1">
        <v>773</v>
      </c>
      <c r="G32" s="1"/>
      <c r="H32" s="1"/>
      <c r="I32" s="1"/>
      <c r="J32" s="1">
        <v>773</v>
      </c>
      <c r="K32" s="1">
        <v>787</v>
      </c>
      <c r="L32" s="1"/>
      <c r="M32" s="1"/>
      <c r="N32" s="1"/>
      <c r="O32" s="1"/>
      <c r="P32" s="1"/>
      <c r="Q32" s="1"/>
      <c r="R32" s="1"/>
      <c r="S32" s="1"/>
      <c r="T32" s="1"/>
      <c r="U32" s="1"/>
      <c r="AC32" s="1"/>
      <c r="AD32" s="1"/>
      <c r="AE32" s="1"/>
      <c r="AF32" s="1"/>
    </row>
    <row r="33" spans="3:32" x14ac:dyDescent="0.35">
      <c r="C33" s="2" t="s">
        <v>23</v>
      </c>
      <c r="D33" s="2"/>
      <c r="E33" s="1">
        <v>526</v>
      </c>
      <c r="F33" s="1">
        <v>510</v>
      </c>
      <c r="G33" s="1"/>
      <c r="H33" s="1"/>
      <c r="I33" s="1"/>
      <c r="J33" s="1">
        <v>510</v>
      </c>
      <c r="K33" s="1">
        <v>484</v>
      </c>
      <c r="L33" s="1"/>
      <c r="M33" s="1"/>
      <c r="N33" s="1"/>
      <c r="O33" s="1"/>
      <c r="P33" s="1"/>
      <c r="Q33" s="1"/>
      <c r="R33" s="1"/>
      <c r="S33" s="1"/>
      <c r="T33" s="1"/>
      <c r="U33" s="1"/>
      <c r="AC33" s="1"/>
      <c r="AD33" s="1"/>
      <c r="AE33" s="1"/>
      <c r="AF33" s="1"/>
    </row>
    <row r="34" spans="3:32" x14ac:dyDescent="0.35">
      <c r="C34" s="2" t="s">
        <v>24</v>
      </c>
      <c r="D34" s="2"/>
      <c r="E34" s="1">
        <v>140</v>
      </c>
      <c r="F34" s="1">
        <v>162</v>
      </c>
      <c r="G34" s="1"/>
      <c r="H34" s="1"/>
      <c r="I34" s="1"/>
      <c r="J34" s="1">
        <v>162</v>
      </c>
      <c r="K34" s="1">
        <v>162</v>
      </c>
      <c r="L34" s="1"/>
      <c r="M34" s="1"/>
      <c r="N34" s="1"/>
      <c r="O34" s="1"/>
      <c r="P34" s="1"/>
      <c r="Q34" s="1"/>
      <c r="R34" s="1"/>
      <c r="S34" s="1"/>
      <c r="T34" s="1"/>
      <c r="U34" s="1"/>
      <c r="AC34" s="1"/>
      <c r="AD34" s="1"/>
      <c r="AE34" s="1"/>
      <c r="AF34" s="1"/>
    </row>
    <row r="35" spans="3:32" x14ac:dyDescent="0.35">
      <c r="C35" s="2" t="s">
        <v>25</v>
      </c>
      <c r="D35" s="2"/>
      <c r="E35" s="1">
        <v>148</v>
      </c>
      <c r="F35" s="1">
        <v>143</v>
      </c>
      <c r="G35" s="1"/>
      <c r="H35" s="1"/>
      <c r="I35" s="1"/>
      <c r="J35" s="1">
        <v>143</v>
      </c>
      <c r="K35" s="1">
        <v>141</v>
      </c>
      <c r="L35" s="1"/>
      <c r="M35" s="1"/>
      <c r="N35" s="1"/>
      <c r="O35" s="1"/>
      <c r="P35" s="1"/>
      <c r="Q35" s="1"/>
      <c r="R35" s="1"/>
      <c r="S35" s="1"/>
      <c r="T35" s="1"/>
      <c r="U35" s="1"/>
      <c r="AC35" s="1"/>
      <c r="AD35" s="1"/>
      <c r="AE35" s="1"/>
      <c r="AF35" s="1"/>
    </row>
    <row r="36" spans="3:32" x14ac:dyDescent="0.35">
      <c r="C36" s="2" t="s">
        <v>26</v>
      </c>
      <c r="D36" s="2"/>
      <c r="E36" s="1">
        <v>27</v>
      </c>
      <c r="F36" s="1">
        <v>35</v>
      </c>
      <c r="G36" s="1"/>
      <c r="H36" s="1"/>
      <c r="I36" s="1"/>
      <c r="J36" s="1">
        <v>35</v>
      </c>
      <c r="K36" s="1">
        <v>34</v>
      </c>
      <c r="L36" s="1"/>
      <c r="M36" s="1"/>
      <c r="N36" s="1"/>
      <c r="O36" s="1"/>
      <c r="P36" s="1"/>
      <c r="Q36" s="1"/>
      <c r="R36" s="1"/>
      <c r="S36" s="1"/>
      <c r="T36" s="1"/>
      <c r="U36" s="1"/>
      <c r="AC36" s="1"/>
      <c r="AD36" s="1"/>
      <c r="AE36" s="1"/>
      <c r="AF36" s="1"/>
    </row>
    <row r="37" spans="3:32" s="34" customFormat="1" x14ac:dyDescent="0.35">
      <c r="C37" s="3" t="s">
        <v>27</v>
      </c>
      <c r="D37" s="3"/>
      <c r="E37" s="4">
        <f t="shared" ref="E37:I37" si="8">SUM(E32:E36)</f>
        <v>1557</v>
      </c>
      <c r="F37" s="4">
        <f t="shared" si="8"/>
        <v>1623</v>
      </c>
      <c r="G37" s="4">
        <f t="shared" si="8"/>
        <v>0</v>
      </c>
      <c r="H37" s="4">
        <f t="shared" si="8"/>
        <v>0</v>
      </c>
      <c r="I37" s="4">
        <f t="shared" si="8"/>
        <v>0</v>
      </c>
      <c r="J37" s="4">
        <f>SUM(J32:J36)</f>
        <v>1623</v>
      </c>
      <c r="K37" s="4">
        <f t="shared" ref="K37" si="9">SUM(K32:K36)</f>
        <v>1608</v>
      </c>
      <c r="L37" s="4"/>
      <c r="M37" s="4"/>
      <c r="N37" s="4"/>
      <c r="O37" s="4"/>
      <c r="P37" s="4"/>
      <c r="Q37" s="4"/>
      <c r="R37" s="4"/>
      <c r="S37" s="4"/>
      <c r="T37" s="4"/>
      <c r="U37" s="4"/>
      <c r="AC37" s="4"/>
      <c r="AD37" s="4"/>
      <c r="AE37" s="4"/>
      <c r="AF37" s="4"/>
    </row>
    <row r="38" spans="3:32" x14ac:dyDescent="0.35">
      <c r="C38" s="2" t="s">
        <v>28</v>
      </c>
      <c r="D38" s="2"/>
      <c r="E38" s="1">
        <v>14</v>
      </c>
      <c r="F38" s="1">
        <v>20</v>
      </c>
      <c r="G38" s="1"/>
      <c r="H38" s="1"/>
      <c r="I38" s="1"/>
      <c r="J38" s="1">
        <v>20</v>
      </c>
      <c r="K38" s="1">
        <v>17</v>
      </c>
      <c r="L38" s="1"/>
      <c r="M38" s="1"/>
      <c r="N38" s="1"/>
      <c r="O38" s="1"/>
      <c r="P38" s="1"/>
      <c r="Q38" s="1"/>
      <c r="R38" s="1"/>
      <c r="S38" s="1"/>
      <c r="T38" s="1"/>
      <c r="U38" s="1"/>
      <c r="AC38" s="1"/>
      <c r="AD38" s="1"/>
      <c r="AE38" s="1"/>
      <c r="AF38" s="1"/>
    </row>
    <row r="39" spans="3:32" x14ac:dyDescent="0.35">
      <c r="C39" s="2" t="s">
        <v>29</v>
      </c>
      <c r="D39" s="2"/>
      <c r="E39" s="1">
        <v>47</v>
      </c>
      <c r="F39" s="1">
        <v>38</v>
      </c>
      <c r="G39" s="1"/>
      <c r="H39" s="1"/>
      <c r="I39" s="1"/>
      <c r="J39" s="1">
        <v>38</v>
      </c>
      <c r="K39" s="1">
        <v>38</v>
      </c>
      <c r="L39" s="1"/>
      <c r="M39" s="1"/>
      <c r="N39" s="1"/>
      <c r="O39" s="1"/>
      <c r="P39" s="1"/>
      <c r="Q39" s="1"/>
      <c r="R39" s="1"/>
      <c r="S39" s="1"/>
      <c r="T39" s="1"/>
      <c r="U39" s="1"/>
      <c r="AC39" s="1"/>
      <c r="AD39" s="1"/>
      <c r="AE39" s="1"/>
      <c r="AF39" s="1"/>
    </row>
    <row r="40" spans="3:32" s="34" customFormat="1" x14ac:dyDescent="0.35">
      <c r="C40" s="3" t="s">
        <v>41</v>
      </c>
      <c r="D40" s="3"/>
      <c r="E40" s="4">
        <f t="shared" ref="E40:I40" si="10">SUM(E38:E39)</f>
        <v>61</v>
      </c>
      <c r="F40" s="4">
        <f t="shared" si="10"/>
        <v>58</v>
      </c>
      <c r="G40" s="4">
        <f t="shared" si="10"/>
        <v>0</v>
      </c>
      <c r="H40" s="4">
        <f t="shared" si="10"/>
        <v>0</v>
      </c>
      <c r="I40" s="4">
        <f t="shared" si="10"/>
        <v>0</v>
      </c>
      <c r="J40" s="4">
        <f>SUM(J38:J39)</f>
        <v>58</v>
      </c>
      <c r="K40" s="4">
        <f t="shared" ref="K40" si="11">SUM(K38:K39)</f>
        <v>55</v>
      </c>
      <c r="L40" s="4"/>
      <c r="M40" s="4"/>
      <c r="N40" s="4"/>
      <c r="O40" s="4"/>
      <c r="P40" s="4"/>
      <c r="Q40" s="4"/>
      <c r="R40" s="4"/>
      <c r="S40" s="4"/>
      <c r="T40" s="4"/>
      <c r="U40" s="4"/>
      <c r="AC40" s="4"/>
      <c r="AD40" s="4"/>
      <c r="AE40" s="4"/>
      <c r="AF40" s="4"/>
    </row>
    <row r="41" spans="3:32" x14ac:dyDescent="0.35">
      <c r="C41" s="2" t="s">
        <v>42</v>
      </c>
      <c r="D41" s="2"/>
      <c r="E41" s="1">
        <v>1</v>
      </c>
      <c r="F41" s="1">
        <v>1</v>
      </c>
      <c r="G41" s="1"/>
      <c r="H41" s="1"/>
      <c r="I41" s="1"/>
      <c r="J41" s="1">
        <v>1</v>
      </c>
      <c r="K41" s="1">
        <v>2</v>
      </c>
      <c r="L41" s="1"/>
      <c r="M41" s="1"/>
      <c r="N41" s="1"/>
      <c r="O41" s="1"/>
      <c r="P41" s="1"/>
      <c r="Q41" s="1"/>
      <c r="R41" s="1"/>
      <c r="S41" s="1"/>
      <c r="T41" s="1"/>
      <c r="U41" s="1"/>
      <c r="AC41" s="1"/>
      <c r="AD41" s="1"/>
      <c r="AE41" s="1"/>
      <c r="AF41" s="1"/>
    </row>
    <row r="42" spans="3:32" x14ac:dyDescent="0.35">
      <c r="C42" s="2" t="s">
        <v>43</v>
      </c>
      <c r="D42" s="2"/>
      <c r="E42" s="1">
        <v>45</v>
      </c>
      <c r="F42" s="1">
        <v>50</v>
      </c>
      <c r="G42" s="1"/>
      <c r="H42" s="1"/>
      <c r="I42" s="1"/>
      <c r="J42" s="1">
        <v>50</v>
      </c>
      <c r="K42" s="1">
        <v>54</v>
      </c>
      <c r="L42" s="1"/>
      <c r="M42" s="1"/>
      <c r="N42" s="1"/>
      <c r="O42" s="1"/>
      <c r="P42" s="1"/>
      <c r="Q42" s="1"/>
      <c r="R42" s="1"/>
      <c r="S42" s="1"/>
      <c r="T42" s="1"/>
      <c r="U42" s="1"/>
      <c r="AC42" s="1"/>
      <c r="AD42" s="1"/>
      <c r="AE42" s="1"/>
      <c r="AF42" s="1"/>
    </row>
    <row r="43" spans="3:32" s="34" customFormat="1" x14ac:dyDescent="0.35">
      <c r="C43" s="29" t="s">
        <v>30</v>
      </c>
      <c r="D43" s="29"/>
      <c r="E43" s="30">
        <f t="shared" ref="E43:I43" si="12">+E37+E40+E41+E42</f>
        <v>1664</v>
      </c>
      <c r="F43" s="30">
        <f t="shared" si="12"/>
        <v>1732</v>
      </c>
      <c r="G43" s="30">
        <f t="shared" si="12"/>
        <v>0</v>
      </c>
      <c r="H43" s="30">
        <f t="shared" si="12"/>
        <v>0</v>
      </c>
      <c r="I43" s="30">
        <f t="shared" si="12"/>
        <v>0</v>
      </c>
      <c r="J43" s="30">
        <f>+J37+J40+J41+J42</f>
        <v>1732</v>
      </c>
      <c r="K43" s="30">
        <f t="shared" ref="K43" si="13">+K37+K40+K41+K42</f>
        <v>1719</v>
      </c>
      <c r="L43" s="30"/>
      <c r="M43" s="30"/>
      <c r="N43" s="30"/>
      <c r="O43" s="30"/>
      <c r="P43" s="30"/>
      <c r="Q43" s="30"/>
      <c r="R43" s="30"/>
      <c r="S43" s="30"/>
      <c r="T43" s="4"/>
      <c r="U43" s="4"/>
      <c r="AC43" s="4"/>
      <c r="AD43" s="4"/>
      <c r="AE43" s="4"/>
      <c r="AF43" s="4"/>
    </row>
    <row r="44" spans="3:32" x14ac:dyDescent="0.35">
      <c r="T44" s="1"/>
      <c r="U44" s="1"/>
      <c r="AC44" s="1"/>
      <c r="AD44" s="1"/>
      <c r="AE44" s="1"/>
      <c r="AF44" s="1"/>
    </row>
    <row r="45" spans="3:32" x14ac:dyDescent="0.35">
      <c r="C45" s="2" t="s">
        <v>31</v>
      </c>
      <c r="D45" s="2"/>
      <c r="E45" s="1">
        <v>195</v>
      </c>
      <c r="F45" s="1">
        <v>335</v>
      </c>
      <c r="G45" s="1"/>
      <c r="H45" s="1"/>
      <c r="I45" s="1"/>
      <c r="J45" s="1">
        <v>335</v>
      </c>
      <c r="K45" s="1">
        <v>381</v>
      </c>
      <c r="L45" s="1"/>
      <c r="M45" s="1"/>
      <c r="N45" s="1"/>
      <c r="O45" s="1"/>
      <c r="P45" s="1"/>
      <c r="Q45" s="1"/>
      <c r="R45" s="1"/>
      <c r="S45" s="1"/>
      <c r="T45" s="1"/>
      <c r="U45" s="1"/>
      <c r="AC45" s="1"/>
      <c r="AD45" s="1"/>
      <c r="AE45" s="1"/>
      <c r="AF45" s="1"/>
    </row>
    <row r="46" spans="3:32" x14ac:dyDescent="0.35">
      <c r="C46" s="2" t="s">
        <v>32</v>
      </c>
      <c r="D46" s="2"/>
      <c r="E46" s="1">
        <v>425</v>
      </c>
      <c r="F46" s="1">
        <v>359</v>
      </c>
      <c r="G46" s="1"/>
      <c r="H46" s="1"/>
      <c r="I46" s="1"/>
      <c r="J46" s="1">
        <v>359</v>
      </c>
      <c r="K46" s="1">
        <v>394</v>
      </c>
      <c r="L46" s="1"/>
      <c r="M46" s="1"/>
      <c r="N46" s="1"/>
      <c r="O46" s="1"/>
      <c r="P46" s="1"/>
      <c r="Q46" s="1"/>
      <c r="R46" s="1"/>
      <c r="S46" s="1"/>
      <c r="T46" s="1"/>
      <c r="U46" s="1"/>
      <c r="AC46" s="1"/>
      <c r="AD46" s="1"/>
      <c r="AE46" s="1"/>
      <c r="AF46" s="1"/>
    </row>
    <row r="47" spans="3:32" x14ac:dyDescent="0.35">
      <c r="C47" s="2" t="s">
        <v>33</v>
      </c>
      <c r="D47" s="2"/>
      <c r="E47" s="1">
        <v>63</v>
      </c>
      <c r="F47" s="1">
        <v>94</v>
      </c>
      <c r="G47" s="1"/>
      <c r="H47" s="1"/>
      <c r="I47" s="1"/>
      <c r="J47" s="1">
        <v>94</v>
      </c>
      <c r="K47" s="1">
        <v>97</v>
      </c>
      <c r="L47" s="1"/>
      <c r="M47" s="1"/>
      <c r="N47" s="1"/>
      <c r="O47" s="1"/>
      <c r="P47" s="1"/>
      <c r="Q47" s="1"/>
      <c r="R47" s="1"/>
      <c r="S47" s="1"/>
      <c r="T47" s="1"/>
      <c r="U47" s="1"/>
      <c r="AC47" s="1"/>
      <c r="AD47" s="1"/>
      <c r="AE47" s="1"/>
      <c r="AF47" s="1"/>
    </row>
    <row r="48" spans="3:32" s="34" customFormat="1" x14ac:dyDescent="0.35">
      <c r="C48" s="2" t="s">
        <v>35</v>
      </c>
      <c r="D48" s="2"/>
      <c r="E48" s="1">
        <v>224</v>
      </c>
      <c r="F48" s="1">
        <v>243</v>
      </c>
      <c r="G48" s="1"/>
      <c r="H48" s="1"/>
      <c r="I48" s="1"/>
      <c r="J48" s="1">
        <v>243</v>
      </c>
      <c r="K48" s="1">
        <v>296</v>
      </c>
      <c r="L48" s="1"/>
      <c r="M48" s="1"/>
      <c r="N48" s="1"/>
      <c r="O48" s="1"/>
      <c r="P48" s="1"/>
      <c r="Q48" s="1"/>
      <c r="R48" s="1"/>
      <c r="S48" s="1"/>
      <c r="T48" s="4"/>
      <c r="U48" s="4"/>
      <c r="AC48" s="4"/>
      <c r="AD48" s="4"/>
      <c r="AE48" s="4"/>
      <c r="AF48" s="4"/>
    </row>
    <row r="49" spans="3:32" x14ac:dyDescent="0.35">
      <c r="C49" s="3" t="s">
        <v>34</v>
      </c>
      <c r="D49" s="3"/>
      <c r="E49" s="4">
        <f>SUM(E45:E48)</f>
        <v>907</v>
      </c>
      <c r="F49" s="4">
        <f t="shared" ref="F49:S49" si="14">SUM(F45:F48)</f>
        <v>1031</v>
      </c>
      <c r="G49" s="4">
        <f t="shared" si="14"/>
        <v>0</v>
      </c>
      <c r="H49" s="4">
        <f t="shared" si="14"/>
        <v>0</v>
      </c>
      <c r="I49" s="4">
        <f t="shared" si="14"/>
        <v>0</v>
      </c>
      <c r="J49" s="4">
        <f t="shared" si="14"/>
        <v>1031</v>
      </c>
      <c r="K49" s="4">
        <f t="shared" si="14"/>
        <v>1168</v>
      </c>
      <c r="L49" s="4">
        <f t="shared" si="14"/>
        <v>0</v>
      </c>
      <c r="M49" s="4">
        <f t="shared" si="14"/>
        <v>0</v>
      </c>
      <c r="N49" s="4">
        <f t="shared" si="14"/>
        <v>0</v>
      </c>
      <c r="O49" s="4">
        <f t="shared" si="14"/>
        <v>0</v>
      </c>
      <c r="P49" s="4">
        <f t="shared" si="14"/>
        <v>0</v>
      </c>
      <c r="Q49" s="4">
        <f t="shared" si="14"/>
        <v>0</v>
      </c>
      <c r="R49" s="4">
        <f t="shared" si="14"/>
        <v>0</v>
      </c>
      <c r="S49" s="4">
        <f t="shared" si="14"/>
        <v>0</v>
      </c>
      <c r="T49" s="1"/>
      <c r="U49" s="1"/>
      <c r="AC49" s="1"/>
      <c r="AD49" s="1"/>
      <c r="AE49" s="1"/>
      <c r="AF49" s="1"/>
    </row>
    <row r="50" spans="3:32" x14ac:dyDescent="0.35">
      <c r="C50" s="2" t="s">
        <v>36</v>
      </c>
      <c r="D50" s="2"/>
      <c r="E50" s="1">
        <v>14</v>
      </c>
      <c r="F50" s="1">
        <v>13</v>
      </c>
      <c r="G50" s="1"/>
      <c r="H50" s="1"/>
      <c r="I50" s="1"/>
      <c r="J50" s="1">
        <v>13</v>
      </c>
      <c r="K50" s="1">
        <v>13</v>
      </c>
      <c r="L50" s="1"/>
      <c r="M50" s="1"/>
      <c r="N50" s="1"/>
      <c r="O50" s="1"/>
      <c r="P50" s="1"/>
      <c r="Q50" s="1"/>
      <c r="R50" s="1"/>
      <c r="S50" s="1"/>
      <c r="T50" s="1"/>
      <c r="U50" s="1"/>
      <c r="AC50" s="1"/>
      <c r="AD50" s="1"/>
      <c r="AE50" s="1"/>
      <c r="AF50" s="1"/>
    </row>
    <row r="51" spans="3:32" x14ac:dyDescent="0.35">
      <c r="C51" s="2" t="s">
        <v>37</v>
      </c>
      <c r="D51" s="2"/>
      <c r="E51" s="1">
        <v>17</v>
      </c>
      <c r="F51" s="1">
        <v>26</v>
      </c>
      <c r="G51" s="1"/>
      <c r="H51" s="1"/>
      <c r="I51" s="1"/>
      <c r="J51" s="1">
        <v>26</v>
      </c>
      <c r="K51" s="1">
        <v>35</v>
      </c>
      <c r="L51" s="1"/>
      <c r="M51" s="1"/>
      <c r="N51" s="1"/>
      <c r="O51" s="1"/>
      <c r="P51" s="1"/>
      <c r="Q51" s="1"/>
      <c r="R51" s="1"/>
      <c r="S51" s="1"/>
      <c r="T51" s="1"/>
      <c r="U51" s="1"/>
      <c r="AC51" s="1"/>
      <c r="AD51" s="1"/>
      <c r="AE51" s="1"/>
      <c r="AF51" s="1"/>
    </row>
    <row r="52" spans="3:32" x14ac:dyDescent="0.35">
      <c r="C52" s="2" t="s">
        <v>38</v>
      </c>
      <c r="D52" s="2"/>
      <c r="E52" s="1">
        <v>330</v>
      </c>
      <c r="F52" s="1">
        <v>196</v>
      </c>
      <c r="G52" s="1"/>
      <c r="H52" s="1"/>
      <c r="I52" s="1"/>
      <c r="J52" s="1">
        <v>196</v>
      </c>
      <c r="K52" s="1">
        <v>38</v>
      </c>
      <c r="L52" s="1"/>
      <c r="M52" s="1"/>
      <c r="N52" s="1"/>
      <c r="O52" s="1"/>
      <c r="P52" s="1"/>
      <c r="Q52" s="1"/>
      <c r="R52" s="1"/>
      <c r="S52" s="1"/>
      <c r="T52" s="1"/>
      <c r="U52" s="1"/>
      <c r="AC52" s="1"/>
      <c r="AD52" s="1"/>
      <c r="AE52" s="1"/>
      <c r="AF52" s="1"/>
    </row>
    <row r="53" spans="3:32" s="34" customFormat="1" x14ac:dyDescent="0.35">
      <c r="C53" s="2" t="s">
        <v>39</v>
      </c>
      <c r="D53" s="2"/>
      <c r="E53" s="1">
        <v>76</v>
      </c>
      <c r="F53" s="1">
        <v>3</v>
      </c>
      <c r="G53" s="1"/>
      <c r="H53" s="1"/>
      <c r="I53" s="1"/>
      <c r="J53" s="1">
        <v>3</v>
      </c>
      <c r="K53" s="1">
        <v>39</v>
      </c>
      <c r="L53" s="1"/>
      <c r="M53" s="1"/>
      <c r="N53" s="1"/>
      <c r="O53" s="1"/>
      <c r="P53" s="1"/>
      <c r="Q53" s="1"/>
      <c r="R53" s="1"/>
      <c r="S53" s="1"/>
      <c r="T53" s="4"/>
      <c r="U53" s="4"/>
      <c r="AC53" s="4"/>
      <c r="AD53" s="4"/>
      <c r="AE53" s="4"/>
      <c r="AF53" s="4"/>
    </row>
    <row r="54" spans="3:32" s="34" customFormat="1" x14ac:dyDescent="0.35">
      <c r="C54" s="29" t="s">
        <v>40</v>
      </c>
      <c r="D54" s="29"/>
      <c r="E54" s="30">
        <f>SUM(E49:E53)</f>
        <v>1344</v>
      </c>
      <c r="F54" s="30">
        <f t="shared" ref="F54:S54" si="15">SUM(F49:F53)</f>
        <v>1269</v>
      </c>
      <c r="G54" s="30">
        <f t="shared" si="15"/>
        <v>0</v>
      </c>
      <c r="H54" s="30">
        <f t="shared" si="15"/>
        <v>0</v>
      </c>
      <c r="I54" s="30">
        <f t="shared" si="15"/>
        <v>0</v>
      </c>
      <c r="J54" s="30">
        <f t="shared" si="15"/>
        <v>1269</v>
      </c>
      <c r="K54" s="30">
        <f t="shared" si="15"/>
        <v>1293</v>
      </c>
      <c r="L54" s="30">
        <f t="shared" si="15"/>
        <v>0</v>
      </c>
      <c r="M54" s="30">
        <f t="shared" si="15"/>
        <v>0</v>
      </c>
      <c r="N54" s="30">
        <f t="shared" si="15"/>
        <v>0</v>
      </c>
      <c r="O54" s="30">
        <f t="shared" si="15"/>
        <v>0</v>
      </c>
      <c r="P54" s="30">
        <f t="shared" si="15"/>
        <v>0</v>
      </c>
      <c r="Q54" s="30">
        <f t="shared" si="15"/>
        <v>0</v>
      </c>
      <c r="R54" s="30">
        <f t="shared" si="15"/>
        <v>0</v>
      </c>
      <c r="S54" s="30">
        <f t="shared" si="15"/>
        <v>0</v>
      </c>
      <c r="T54" s="4"/>
      <c r="U54" s="4"/>
      <c r="AC54" s="4"/>
      <c r="AD54" s="4"/>
      <c r="AE54" s="4"/>
      <c r="AF54" s="4"/>
    </row>
    <row r="55" spans="3:32" s="34" customFormat="1" x14ac:dyDescent="0.35">
      <c r="C55" s="3"/>
      <c r="D55" s="3"/>
      <c r="E55" s="4"/>
      <c r="F55" s="4"/>
      <c r="G55" s="4"/>
      <c r="H55" s="4"/>
      <c r="I55" s="4"/>
      <c r="J55" s="4"/>
      <c r="K55" s="4"/>
      <c r="L55" s="4"/>
      <c r="M55" s="4"/>
      <c r="N55" s="4"/>
      <c r="O55" s="4"/>
      <c r="P55" s="4"/>
      <c r="Q55" s="4"/>
      <c r="R55" s="4"/>
      <c r="S55" s="4"/>
      <c r="T55" s="4"/>
      <c r="U55" s="4"/>
      <c r="AC55" s="4"/>
      <c r="AD55" s="4"/>
      <c r="AE55" s="4"/>
      <c r="AF55" s="4"/>
    </row>
    <row r="56" spans="3:32" x14ac:dyDescent="0.35">
      <c r="C56" s="31" t="s">
        <v>150</v>
      </c>
      <c r="D56" s="31"/>
      <c r="E56" s="32">
        <f>+E43+E54</f>
        <v>3008</v>
      </c>
      <c r="F56" s="32">
        <f t="shared" ref="F56:S56" si="16">+F43+F54</f>
        <v>3001</v>
      </c>
      <c r="G56" s="32">
        <f t="shared" si="16"/>
        <v>0</v>
      </c>
      <c r="H56" s="32">
        <f t="shared" si="16"/>
        <v>0</v>
      </c>
      <c r="I56" s="32">
        <f t="shared" si="16"/>
        <v>0</v>
      </c>
      <c r="J56" s="32">
        <f t="shared" si="16"/>
        <v>3001</v>
      </c>
      <c r="K56" s="32">
        <f t="shared" si="16"/>
        <v>3012</v>
      </c>
      <c r="L56" s="32">
        <f t="shared" si="16"/>
        <v>0</v>
      </c>
      <c r="M56" s="32">
        <f t="shared" si="16"/>
        <v>0</v>
      </c>
      <c r="N56" s="32">
        <f t="shared" si="16"/>
        <v>0</v>
      </c>
      <c r="O56" s="32">
        <f t="shared" si="16"/>
        <v>0</v>
      </c>
      <c r="P56" s="32">
        <f t="shared" si="16"/>
        <v>0</v>
      </c>
      <c r="Q56" s="32">
        <f t="shared" si="16"/>
        <v>0</v>
      </c>
      <c r="R56" s="32">
        <f t="shared" si="16"/>
        <v>0</v>
      </c>
      <c r="S56" s="32">
        <f t="shared" si="16"/>
        <v>0</v>
      </c>
      <c r="T56" s="1"/>
      <c r="U56" s="1"/>
      <c r="AC56" s="1"/>
      <c r="AD56" s="1"/>
      <c r="AE56" s="1"/>
      <c r="AF56" s="1"/>
    </row>
    <row r="57" spans="3:32" x14ac:dyDescent="0.35">
      <c r="C57" s="3"/>
      <c r="D57" s="3"/>
      <c r="E57" s="4"/>
      <c r="F57" s="4"/>
      <c r="G57" s="4"/>
      <c r="H57" s="4"/>
      <c r="I57" s="4"/>
      <c r="J57" s="4"/>
      <c r="K57" s="4"/>
      <c r="L57" s="4"/>
      <c r="M57" s="4"/>
      <c r="N57" s="4"/>
      <c r="O57" s="4"/>
      <c r="P57" s="4"/>
      <c r="Q57" s="4"/>
      <c r="R57" s="4"/>
      <c r="S57" s="4"/>
      <c r="T57" s="1"/>
      <c r="U57" s="1"/>
      <c r="AC57" s="1"/>
      <c r="AD57" s="1"/>
      <c r="AE57" s="1"/>
      <c r="AF57" s="1"/>
    </row>
    <row r="58" spans="3:32" s="34" customFormat="1" x14ac:dyDescent="0.35">
      <c r="C58" s="31" t="s">
        <v>151</v>
      </c>
      <c r="D58" s="31"/>
      <c r="E58" s="32">
        <v>165</v>
      </c>
      <c r="F58" s="32">
        <v>134</v>
      </c>
      <c r="G58" s="32"/>
      <c r="H58" s="32"/>
      <c r="I58" s="32"/>
      <c r="J58" s="32">
        <v>133</v>
      </c>
      <c r="K58" s="32">
        <v>142</v>
      </c>
      <c r="L58" s="32"/>
      <c r="M58" s="32"/>
      <c r="N58" s="32"/>
      <c r="O58" s="32"/>
      <c r="P58" s="32"/>
      <c r="Q58" s="32"/>
      <c r="R58" s="32"/>
      <c r="S58" s="32"/>
      <c r="T58" s="4"/>
      <c r="U58" s="4"/>
      <c r="AC58" s="4"/>
      <c r="AD58" s="4"/>
      <c r="AE58" s="4"/>
      <c r="AF58" s="4"/>
    </row>
    <row r="59" spans="3:32" x14ac:dyDescent="0.35">
      <c r="C59" s="2"/>
      <c r="D59" s="2"/>
      <c r="E59" s="1"/>
      <c r="F59" s="1"/>
      <c r="G59" s="1"/>
      <c r="H59" s="1"/>
      <c r="I59" s="1"/>
      <c r="J59" s="1"/>
      <c r="K59" s="1"/>
      <c r="L59" s="1"/>
      <c r="M59" s="1"/>
      <c r="N59" s="1"/>
      <c r="O59" s="1"/>
      <c r="P59" s="1"/>
      <c r="Q59" s="1"/>
      <c r="R59" s="1"/>
      <c r="S59" s="1"/>
      <c r="T59" s="1"/>
      <c r="U59" s="1"/>
      <c r="AC59" s="1"/>
      <c r="AD59" s="1"/>
      <c r="AE59" s="1"/>
      <c r="AF59" s="1"/>
    </row>
    <row r="60" spans="3:32" x14ac:dyDescent="0.35">
      <c r="C60" s="2" t="s">
        <v>44</v>
      </c>
      <c r="D60" s="2"/>
      <c r="E60" s="1">
        <v>325</v>
      </c>
      <c r="F60" s="1">
        <v>261</v>
      </c>
      <c r="G60" s="1"/>
      <c r="H60" s="1"/>
      <c r="I60" s="1"/>
      <c r="J60" s="1">
        <v>261</v>
      </c>
      <c r="K60" s="1">
        <v>236</v>
      </c>
      <c r="L60" s="1"/>
      <c r="M60" s="1"/>
      <c r="N60" s="1"/>
      <c r="O60" s="1"/>
      <c r="P60" s="1"/>
      <c r="Q60" s="1"/>
      <c r="R60" s="1"/>
      <c r="S60" s="1"/>
      <c r="T60" s="1"/>
      <c r="U60" s="1"/>
      <c r="AC60" s="1"/>
      <c r="AD60" s="1"/>
      <c r="AE60" s="1"/>
      <c r="AF60" s="1"/>
    </row>
    <row r="61" spans="3:32" x14ac:dyDescent="0.35">
      <c r="C61" s="2" t="s">
        <v>45</v>
      </c>
      <c r="D61" s="2"/>
      <c r="E61" s="1">
        <v>33</v>
      </c>
      <c r="F61" s="1">
        <v>35</v>
      </c>
      <c r="G61" s="1"/>
      <c r="H61" s="1"/>
      <c r="I61" s="1"/>
      <c r="J61" s="1">
        <v>35</v>
      </c>
      <c r="K61" s="1">
        <v>34</v>
      </c>
      <c r="L61" s="1"/>
      <c r="M61" s="1"/>
      <c r="N61" s="1"/>
      <c r="O61" s="1"/>
      <c r="P61" s="1"/>
      <c r="Q61" s="1"/>
      <c r="R61" s="1"/>
      <c r="S61" s="1"/>
      <c r="T61" s="1"/>
      <c r="U61" s="1"/>
      <c r="AC61" s="1"/>
      <c r="AD61" s="1"/>
      <c r="AE61" s="1"/>
      <c r="AF61" s="1"/>
    </row>
    <row r="62" spans="3:32" x14ac:dyDescent="0.35">
      <c r="C62" s="2" t="s">
        <v>46</v>
      </c>
      <c r="D62" s="2"/>
      <c r="E62" s="1">
        <v>2</v>
      </c>
      <c r="F62" s="1">
        <v>0</v>
      </c>
      <c r="G62" s="1"/>
      <c r="H62" s="1"/>
      <c r="I62" s="1"/>
      <c r="J62" s="1">
        <v>0</v>
      </c>
      <c r="K62" s="1">
        <v>1</v>
      </c>
      <c r="L62" s="1"/>
      <c r="M62" s="1"/>
      <c r="N62" s="1"/>
      <c r="O62" s="1"/>
      <c r="P62" s="1"/>
      <c r="Q62" s="1"/>
      <c r="R62" s="1"/>
      <c r="S62" s="1"/>
      <c r="T62" s="1"/>
      <c r="U62" s="1"/>
      <c r="AC62" s="1"/>
      <c r="AD62" s="1"/>
      <c r="AE62" s="1"/>
      <c r="AF62" s="1"/>
    </row>
    <row r="63" spans="3:32" s="34" customFormat="1" x14ac:dyDescent="0.35">
      <c r="C63" s="2" t="s">
        <v>47</v>
      </c>
      <c r="D63" s="2"/>
      <c r="E63" s="1">
        <v>21</v>
      </c>
      <c r="F63" s="1">
        <v>19</v>
      </c>
      <c r="G63" s="1"/>
      <c r="H63" s="1"/>
      <c r="I63" s="1"/>
      <c r="J63" s="1">
        <v>19</v>
      </c>
      <c r="K63" s="1">
        <v>18</v>
      </c>
      <c r="L63" s="1"/>
      <c r="M63" s="1"/>
      <c r="N63" s="1"/>
      <c r="O63" s="1"/>
      <c r="P63" s="1"/>
      <c r="Q63" s="1"/>
      <c r="R63" s="1"/>
      <c r="S63" s="1"/>
      <c r="T63" s="4"/>
      <c r="U63" s="4"/>
      <c r="AC63" s="4"/>
      <c r="AD63" s="4"/>
      <c r="AE63" s="4"/>
      <c r="AF63" s="4"/>
    </row>
    <row r="64" spans="3:32" x14ac:dyDescent="0.35">
      <c r="C64" s="3" t="s">
        <v>48</v>
      </c>
      <c r="D64" s="3"/>
      <c r="E64" s="4">
        <f>SUM(E60:E63)</f>
        <v>381</v>
      </c>
      <c r="F64" s="4">
        <f t="shared" ref="F64:S64" si="17">SUM(F60:F63)</f>
        <v>315</v>
      </c>
      <c r="G64" s="4">
        <f t="shared" si="17"/>
        <v>0</v>
      </c>
      <c r="H64" s="4">
        <f t="shared" si="17"/>
        <v>0</v>
      </c>
      <c r="I64" s="4">
        <f t="shared" si="17"/>
        <v>0</v>
      </c>
      <c r="J64" s="4">
        <f t="shared" si="17"/>
        <v>315</v>
      </c>
      <c r="K64" s="4">
        <f t="shared" si="17"/>
        <v>289</v>
      </c>
      <c r="L64" s="4">
        <f t="shared" si="17"/>
        <v>0</v>
      </c>
      <c r="M64" s="4">
        <f t="shared" si="17"/>
        <v>0</v>
      </c>
      <c r="N64" s="4">
        <f t="shared" si="17"/>
        <v>0</v>
      </c>
      <c r="O64" s="4">
        <f t="shared" si="17"/>
        <v>0</v>
      </c>
      <c r="P64" s="4">
        <f t="shared" si="17"/>
        <v>0</v>
      </c>
      <c r="Q64" s="4">
        <f t="shared" si="17"/>
        <v>0</v>
      </c>
      <c r="R64" s="4">
        <f t="shared" si="17"/>
        <v>0</v>
      </c>
      <c r="S64" s="4">
        <f t="shared" si="17"/>
        <v>0</v>
      </c>
      <c r="T64" s="1"/>
      <c r="U64" s="1"/>
      <c r="AC64" s="1"/>
      <c r="AD64" s="1"/>
      <c r="AE64" s="1"/>
      <c r="AF64" s="1"/>
    </row>
    <row r="65" spans="3:32" s="34" customFormat="1" x14ac:dyDescent="0.35">
      <c r="C65" s="2" t="s">
        <v>49</v>
      </c>
      <c r="D65" s="2"/>
      <c r="E65" s="1">
        <v>948</v>
      </c>
      <c r="F65" s="1">
        <v>1025</v>
      </c>
      <c r="G65" s="1"/>
      <c r="H65" s="1"/>
      <c r="I65" s="1"/>
      <c r="J65" s="1">
        <v>1025</v>
      </c>
      <c r="K65" s="1">
        <v>1046</v>
      </c>
      <c r="L65" s="1"/>
      <c r="M65" s="1"/>
      <c r="N65" s="1"/>
      <c r="O65" s="1"/>
      <c r="P65" s="1"/>
      <c r="Q65" s="1"/>
      <c r="R65" s="1"/>
      <c r="S65" s="1"/>
      <c r="T65" s="4"/>
      <c r="U65" s="4"/>
      <c r="AC65" s="4"/>
      <c r="AD65" s="4"/>
      <c r="AE65" s="4"/>
      <c r="AF65" s="4"/>
    </row>
    <row r="66" spans="3:32" x14ac:dyDescent="0.35">
      <c r="C66" s="2" t="s">
        <v>50</v>
      </c>
      <c r="D66" s="2"/>
      <c r="E66" s="1">
        <v>122</v>
      </c>
      <c r="F66" s="1">
        <v>145</v>
      </c>
      <c r="G66" s="1"/>
      <c r="H66" s="1"/>
      <c r="I66" s="1"/>
      <c r="J66" s="1">
        <v>145</v>
      </c>
      <c r="K66" s="1">
        <v>141</v>
      </c>
      <c r="L66" s="1"/>
      <c r="M66" s="1"/>
      <c r="N66" s="1"/>
      <c r="O66" s="1"/>
      <c r="P66" s="1"/>
      <c r="Q66" s="1"/>
      <c r="R66" s="1"/>
      <c r="S66" s="1"/>
      <c r="T66" s="1"/>
      <c r="U66" s="1"/>
      <c r="AC66" s="1"/>
      <c r="AD66" s="1"/>
      <c r="AE66" s="1"/>
      <c r="AF66" s="1"/>
    </row>
    <row r="67" spans="3:32" x14ac:dyDescent="0.35">
      <c r="C67" s="2" t="s">
        <v>51</v>
      </c>
      <c r="D67" s="2"/>
      <c r="E67" s="1">
        <v>0</v>
      </c>
      <c r="F67" s="1">
        <v>0</v>
      </c>
      <c r="G67" s="1"/>
      <c r="H67" s="1"/>
      <c r="I67" s="1"/>
      <c r="J67" s="1">
        <v>0</v>
      </c>
      <c r="K67" s="1">
        <v>0</v>
      </c>
      <c r="L67" s="1"/>
      <c r="M67" s="1"/>
      <c r="N67" s="1"/>
      <c r="O67" s="1"/>
      <c r="P67" s="1"/>
      <c r="Q67" s="1"/>
      <c r="R67" s="1"/>
      <c r="S67" s="1"/>
      <c r="T67" s="1"/>
      <c r="U67" s="1"/>
      <c r="AC67" s="1"/>
      <c r="AD67" s="1"/>
      <c r="AE67" s="1"/>
      <c r="AF67" s="1"/>
    </row>
    <row r="68" spans="3:32" x14ac:dyDescent="0.35">
      <c r="C68" s="2" t="s">
        <v>52</v>
      </c>
      <c r="D68" s="2"/>
      <c r="E68" s="1">
        <v>15</v>
      </c>
      <c r="F68" s="1">
        <v>20</v>
      </c>
      <c r="G68" s="1"/>
      <c r="H68" s="1"/>
      <c r="I68" s="1"/>
      <c r="J68" s="1">
        <v>20</v>
      </c>
      <c r="K68" s="1">
        <v>21</v>
      </c>
      <c r="L68" s="1"/>
      <c r="M68" s="1"/>
      <c r="N68" s="1"/>
      <c r="O68" s="1"/>
      <c r="P68" s="1"/>
      <c r="Q68" s="1"/>
      <c r="R68" s="1"/>
      <c r="S68" s="1"/>
      <c r="T68" s="1"/>
      <c r="U68" s="1"/>
      <c r="AC68" s="1"/>
      <c r="AD68" s="1"/>
      <c r="AE68" s="1"/>
      <c r="AF68" s="1"/>
    </row>
    <row r="69" spans="3:32" x14ac:dyDescent="0.35">
      <c r="C69" s="29" t="s">
        <v>53</v>
      </c>
      <c r="D69" s="29"/>
      <c r="E69" s="30">
        <f t="shared" ref="E69:S69" si="18">SUM(E64:E68)</f>
        <v>1466</v>
      </c>
      <c r="F69" s="30">
        <f t="shared" si="18"/>
        <v>1505</v>
      </c>
      <c r="G69" s="30">
        <f t="shared" si="18"/>
        <v>0</v>
      </c>
      <c r="H69" s="30">
        <f t="shared" si="18"/>
        <v>0</v>
      </c>
      <c r="I69" s="30">
        <f t="shared" si="18"/>
        <v>0</v>
      </c>
      <c r="J69" s="30">
        <f t="shared" si="18"/>
        <v>1505</v>
      </c>
      <c r="K69" s="30">
        <f t="shared" si="18"/>
        <v>1497</v>
      </c>
      <c r="L69" s="30">
        <f t="shared" si="18"/>
        <v>0</v>
      </c>
      <c r="M69" s="30">
        <f t="shared" si="18"/>
        <v>0</v>
      </c>
      <c r="N69" s="30">
        <f t="shared" si="18"/>
        <v>0</v>
      </c>
      <c r="O69" s="30">
        <f t="shared" si="18"/>
        <v>0</v>
      </c>
      <c r="P69" s="30">
        <f t="shared" si="18"/>
        <v>0</v>
      </c>
      <c r="Q69" s="30">
        <f t="shared" si="18"/>
        <v>0</v>
      </c>
      <c r="R69" s="30">
        <f t="shared" si="18"/>
        <v>0</v>
      </c>
      <c r="S69" s="30">
        <f t="shared" si="18"/>
        <v>0</v>
      </c>
      <c r="T69" s="1"/>
      <c r="U69" s="1"/>
      <c r="AC69" s="1"/>
      <c r="AD69" s="1"/>
      <c r="AE69" s="1"/>
      <c r="AF69" s="1"/>
    </row>
    <row r="70" spans="3:32" x14ac:dyDescent="0.35">
      <c r="C70" s="3"/>
      <c r="D70" s="3"/>
      <c r="E70" s="4"/>
      <c r="F70" s="4"/>
      <c r="G70" s="4"/>
      <c r="H70" s="4"/>
      <c r="I70" s="4"/>
      <c r="J70" s="4"/>
      <c r="K70" s="4"/>
      <c r="L70" s="4"/>
      <c r="M70" s="4"/>
      <c r="N70" s="4"/>
      <c r="O70" s="4"/>
      <c r="P70" s="4"/>
      <c r="Q70" s="4"/>
      <c r="R70" s="4"/>
      <c r="S70" s="4"/>
      <c r="T70" s="1"/>
      <c r="U70" s="1"/>
      <c r="AC70" s="1"/>
      <c r="AD70" s="1"/>
      <c r="AE70" s="1"/>
      <c r="AF70" s="1"/>
    </row>
    <row r="71" spans="3:32" x14ac:dyDescent="0.35">
      <c r="C71" s="2" t="s">
        <v>44</v>
      </c>
      <c r="D71" s="2"/>
      <c r="E71" s="1">
        <v>30</v>
      </c>
      <c r="F71" s="1">
        <v>34</v>
      </c>
      <c r="G71" s="1"/>
      <c r="H71" s="1"/>
      <c r="I71" s="1"/>
      <c r="J71" s="1">
        <v>34</v>
      </c>
      <c r="K71" s="1">
        <v>34</v>
      </c>
      <c r="L71" s="1"/>
      <c r="M71" s="1"/>
      <c r="N71" s="1"/>
      <c r="O71" s="1"/>
      <c r="P71" s="1"/>
      <c r="Q71" s="1"/>
      <c r="R71" s="1"/>
      <c r="S71" s="1"/>
      <c r="T71" s="1"/>
      <c r="U71" s="1"/>
      <c r="AC71" s="1"/>
      <c r="AD71" s="1"/>
      <c r="AE71" s="1"/>
      <c r="AF71" s="1"/>
    </row>
    <row r="72" spans="3:32" s="34" customFormat="1" x14ac:dyDescent="0.35">
      <c r="C72" s="2" t="s">
        <v>45</v>
      </c>
      <c r="D72" s="2"/>
      <c r="E72" s="1">
        <v>90</v>
      </c>
      <c r="F72" s="1">
        <v>44</v>
      </c>
      <c r="G72" s="1"/>
      <c r="H72" s="1"/>
      <c r="I72" s="1"/>
      <c r="J72" s="1">
        <v>44</v>
      </c>
      <c r="K72" s="1">
        <v>40</v>
      </c>
      <c r="L72" s="1"/>
      <c r="M72" s="1"/>
      <c r="N72" s="1"/>
      <c r="O72" s="1"/>
      <c r="P72" s="1"/>
      <c r="Q72" s="1"/>
      <c r="R72" s="1"/>
      <c r="S72" s="1"/>
      <c r="T72" s="4"/>
      <c r="U72" s="4"/>
      <c r="AC72" s="4"/>
      <c r="AD72" s="4"/>
      <c r="AE72" s="4"/>
      <c r="AF72" s="4"/>
    </row>
    <row r="73" spans="3:32" x14ac:dyDescent="0.35">
      <c r="C73" s="2" t="s">
        <v>54</v>
      </c>
      <c r="D73" s="2"/>
      <c r="E73" s="1">
        <v>710</v>
      </c>
      <c r="F73" s="1">
        <v>671</v>
      </c>
      <c r="G73" s="1"/>
      <c r="H73" s="1"/>
      <c r="I73" s="1"/>
      <c r="J73" s="1">
        <v>671</v>
      </c>
      <c r="K73" s="1">
        <v>667</v>
      </c>
      <c r="L73" s="1"/>
      <c r="M73" s="1"/>
      <c r="N73" s="1"/>
      <c r="O73" s="1"/>
      <c r="P73" s="1"/>
      <c r="Q73" s="1"/>
      <c r="R73" s="1"/>
      <c r="S73" s="1"/>
      <c r="T73" s="1"/>
      <c r="U73" s="1"/>
      <c r="AC73" s="1"/>
      <c r="AD73" s="1"/>
      <c r="AE73" s="1"/>
      <c r="AF73" s="1"/>
    </row>
    <row r="74" spans="3:32" x14ac:dyDescent="0.35">
      <c r="C74" s="2" t="s">
        <v>55</v>
      </c>
      <c r="D74" s="2"/>
      <c r="E74" s="1">
        <v>142</v>
      </c>
      <c r="F74" s="1">
        <v>147</v>
      </c>
      <c r="G74" s="1"/>
      <c r="H74" s="1"/>
      <c r="I74" s="1"/>
      <c r="J74" s="1">
        <v>147</v>
      </c>
      <c r="K74" s="1">
        <v>131</v>
      </c>
      <c r="L74" s="1"/>
      <c r="M74" s="1"/>
      <c r="N74" s="1"/>
      <c r="O74" s="1"/>
      <c r="P74" s="1"/>
      <c r="Q74" s="1"/>
      <c r="R74" s="1"/>
      <c r="S74" s="1"/>
      <c r="T74" s="1"/>
      <c r="U74" s="1"/>
      <c r="AC74" s="1"/>
      <c r="AD74" s="1"/>
      <c r="AE74" s="1"/>
      <c r="AF74" s="1"/>
    </row>
    <row r="75" spans="3:32" x14ac:dyDescent="0.35">
      <c r="C75" s="2" t="s">
        <v>46</v>
      </c>
      <c r="D75" s="2"/>
      <c r="E75" s="1">
        <v>41</v>
      </c>
      <c r="F75" s="1">
        <v>81</v>
      </c>
      <c r="G75" s="1"/>
      <c r="H75" s="1"/>
      <c r="I75" s="1"/>
      <c r="J75" s="1">
        <v>81</v>
      </c>
      <c r="K75" s="1">
        <v>103</v>
      </c>
      <c r="L75" s="1"/>
      <c r="M75" s="1"/>
      <c r="N75" s="1"/>
      <c r="O75" s="1"/>
      <c r="P75" s="1"/>
      <c r="Q75" s="1"/>
      <c r="R75" s="1"/>
      <c r="S75" s="1"/>
      <c r="T75" s="1"/>
      <c r="U75" s="1"/>
      <c r="AC75" s="1"/>
      <c r="AD75" s="1"/>
      <c r="AE75" s="1"/>
      <c r="AF75" s="1"/>
    </row>
    <row r="76" spans="3:32" x14ac:dyDescent="0.35">
      <c r="C76" s="2" t="s">
        <v>56</v>
      </c>
      <c r="D76" s="2"/>
      <c r="E76" s="1">
        <v>215</v>
      </c>
      <c r="F76" s="1">
        <v>284</v>
      </c>
      <c r="G76" s="1"/>
      <c r="H76" s="1"/>
      <c r="I76" s="1"/>
      <c r="J76" s="1">
        <v>284</v>
      </c>
      <c r="K76" s="1">
        <v>280</v>
      </c>
      <c r="L76" s="1"/>
      <c r="M76" s="1"/>
      <c r="N76" s="1"/>
      <c r="O76" s="1"/>
      <c r="P76" s="1"/>
      <c r="Q76" s="1"/>
      <c r="R76" s="1"/>
      <c r="S76" s="1"/>
      <c r="T76" s="1"/>
      <c r="U76" s="1"/>
      <c r="AC76" s="1"/>
      <c r="AD76" s="1"/>
      <c r="AE76" s="1"/>
      <c r="AF76" s="1"/>
    </row>
    <row r="77" spans="3:32" s="34" customFormat="1" x14ac:dyDescent="0.35">
      <c r="C77" s="3" t="s">
        <v>57</v>
      </c>
      <c r="D77" s="3"/>
      <c r="E77" s="4">
        <f>SUM(E71:E76)</f>
        <v>1228</v>
      </c>
      <c r="F77" s="4">
        <f t="shared" ref="F77:S77" si="19">SUM(F71:F76)</f>
        <v>1261</v>
      </c>
      <c r="G77" s="4">
        <f t="shared" si="19"/>
        <v>0</v>
      </c>
      <c r="H77" s="4">
        <f t="shared" si="19"/>
        <v>0</v>
      </c>
      <c r="I77" s="4">
        <f t="shared" si="19"/>
        <v>0</v>
      </c>
      <c r="J77" s="4">
        <f t="shared" si="19"/>
        <v>1261</v>
      </c>
      <c r="K77" s="4">
        <f t="shared" si="19"/>
        <v>1255</v>
      </c>
      <c r="L77" s="4">
        <f t="shared" si="19"/>
        <v>0</v>
      </c>
      <c r="M77" s="4">
        <f t="shared" si="19"/>
        <v>0</v>
      </c>
      <c r="N77" s="4">
        <f t="shared" si="19"/>
        <v>0</v>
      </c>
      <c r="O77" s="4">
        <f t="shared" si="19"/>
        <v>0</v>
      </c>
      <c r="P77" s="4">
        <f t="shared" si="19"/>
        <v>0</v>
      </c>
      <c r="Q77" s="4">
        <f t="shared" si="19"/>
        <v>0</v>
      </c>
      <c r="R77" s="4">
        <f t="shared" si="19"/>
        <v>0</v>
      </c>
      <c r="S77" s="4">
        <f t="shared" si="19"/>
        <v>0</v>
      </c>
      <c r="T77" s="4"/>
      <c r="U77" s="4"/>
      <c r="AC77" s="4"/>
      <c r="AD77" s="4"/>
      <c r="AE77" s="4"/>
      <c r="AF77" s="4"/>
    </row>
    <row r="78" spans="3:32" s="34" customFormat="1" x14ac:dyDescent="0.35">
      <c r="C78" s="2" t="s">
        <v>49</v>
      </c>
      <c r="D78" s="2"/>
      <c r="E78" s="1">
        <v>16</v>
      </c>
      <c r="F78" s="1">
        <v>17</v>
      </c>
      <c r="G78" s="1"/>
      <c r="H78" s="1"/>
      <c r="I78" s="1"/>
      <c r="J78" s="1">
        <v>17</v>
      </c>
      <c r="K78" s="1">
        <v>31</v>
      </c>
      <c r="L78" s="1"/>
      <c r="M78" s="1"/>
      <c r="N78" s="1"/>
      <c r="O78" s="1"/>
      <c r="P78" s="1"/>
      <c r="Q78" s="1"/>
      <c r="R78" s="1"/>
      <c r="S78" s="1"/>
      <c r="T78" s="4"/>
      <c r="U78" s="4"/>
      <c r="AC78" s="4"/>
      <c r="AD78" s="4"/>
      <c r="AE78" s="4"/>
      <c r="AF78" s="4"/>
    </row>
    <row r="79" spans="3:32" x14ac:dyDescent="0.35">
      <c r="C79" s="2" t="s">
        <v>50</v>
      </c>
      <c r="D79" s="2"/>
      <c r="E79" s="1">
        <v>56</v>
      </c>
      <c r="F79" s="1">
        <v>48</v>
      </c>
      <c r="G79" s="1"/>
      <c r="H79" s="1"/>
      <c r="I79" s="1"/>
      <c r="J79" s="1">
        <v>48</v>
      </c>
      <c r="K79" s="1">
        <v>50</v>
      </c>
      <c r="L79" s="1"/>
      <c r="M79" s="1"/>
      <c r="N79" s="1"/>
      <c r="O79" s="1"/>
      <c r="P79" s="1"/>
      <c r="Q79" s="1"/>
      <c r="R79" s="1"/>
      <c r="S79" s="1"/>
      <c r="T79" s="1"/>
      <c r="U79" s="1"/>
      <c r="AC79" s="1"/>
      <c r="AD79" s="1"/>
      <c r="AE79" s="1"/>
      <c r="AF79" s="1"/>
    </row>
    <row r="80" spans="3:32" x14ac:dyDescent="0.35">
      <c r="C80" s="2" t="s">
        <v>58</v>
      </c>
      <c r="D80" s="2"/>
      <c r="E80" s="1">
        <v>21</v>
      </c>
      <c r="F80" s="1">
        <v>29</v>
      </c>
      <c r="G80" s="1"/>
      <c r="H80" s="1"/>
      <c r="I80" s="1"/>
      <c r="J80" s="1">
        <v>29</v>
      </c>
      <c r="K80" s="1">
        <v>31</v>
      </c>
      <c r="L80" s="1"/>
      <c r="M80" s="1"/>
      <c r="N80" s="1"/>
      <c r="O80" s="1"/>
      <c r="P80" s="1"/>
      <c r="Q80" s="1"/>
      <c r="R80" s="1"/>
      <c r="S80" s="1"/>
      <c r="T80" s="1"/>
      <c r="U80" s="1"/>
      <c r="AC80" s="1"/>
      <c r="AD80" s="1"/>
      <c r="AE80" s="1"/>
      <c r="AF80" s="1"/>
    </row>
    <row r="81" spans="2:32" x14ac:dyDescent="0.35">
      <c r="C81" s="2" t="s">
        <v>59</v>
      </c>
      <c r="D81" s="2"/>
      <c r="E81" s="1">
        <v>2</v>
      </c>
      <c r="F81" s="1">
        <v>3</v>
      </c>
      <c r="G81" s="1"/>
      <c r="H81" s="1"/>
      <c r="I81" s="1"/>
      <c r="J81" s="1">
        <v>3</v>
      </c>
      <c r="K81" s="1">
        <v>1</v>
      </c>
      <c r="L81" s="1"/>
      <c r="M81" s="1"/>
      <c r="N81" s="1"/>
      <c r="O81" s="1"/>
      <c r="P81" s="1"/>
      <c r="Q81" s="1"/>
      <c r="R81" s="1"/>
      <c r="S81" s="1"/>
      <c r="T81" s="1"/>
      <c r="U81" s="1"/>
      <c r="AC81" s="1"/>
      <c r="AD81" s="1"/>
      <c r="AE81" s="1"/>
      <c r="AF81" s="1"/>
    </row>
    <row r="82" spans="2:32" x14ac:dyDescent="0.35">
      <c r="C82" s="2" t="s">
        <v>60</v>
      </c>
      <c r="D82" s="2"/>
      <c r="E82" s="1">
        <v>56</v>
      </c>
      <c r="F82" s="1">
        <v>0</v>
      </c>
      <c r="G82" s="1"/>
      <c r="H82" s="1"/>
      <c r="I82" s="1"/>
      <c r="J82" s="1">
        <v>0</v>
      </c>
      <c r="K82" s="1">
        <v>4</v>
      </c>
      <c r="L82" s="1"/>
      <c r="M82" s="1"/>
      <c r="N82" s="1"/>
      <c r="O82" s="1"/>
      <c r="P82" s="1"/>
      <c r="Q82" s="1"/>
      <c r="R82" s="1"/>
      <c r="S82" s="1"/>
      <c r="T82" s="1"/>
      <c r="U82" s="1"/>
      <c r="AC82" s="1"/>
      <c r="AD82" s="1"/>
      <c r="AE82" s="1"/>
      <c r="AF82" s="1"/>
    </row>
    <row r="83" spans="2:32" x14ac:dyDescent="0.35">
      <c r="C83" s="29" t="s">
        <v>61</v>
      </c>
      <c r="D83" s="29"/>
      <c r="E83" s="30">
        <f>SUM(E77:E82)</f>
        <v>1379</v>
      </c>
      <c r="F83" s="30">
        <f t="shared" ref="F83:S83" si="20">SUM(F77:F82)</f>
        <v>1358</v>
      </c>
      <c r="G83" s="30">
        <f t="shared" si="20"/>
        <v>0</v>
      </c>
      <c r="H83" s="30">
        <f t="shared" si="20"/>
        <v>0</v>
      </c>
      <c r="I83" s="30">
        <f t="shared" si="20"/>
        <v>0</v>
      </c>
      <c r="J83" s="30">
        <f t="shared" si="20"/>
        <v>1358</v>
      </c>
      <c r="K83" s="30">
        <f t="shared" si="20"/>
        <v>1372</v>
      </c>
      <c r="L83" s="30">
        <f t="shared" si="20"/>
        <v>0</v>
      </c>
      <c r="M83" s="30">
        <f t="shared" si="20"/>
        <v>0</v>
      </c>
      <c r="N83" s="30">
        <f t="shared" si="20"/>
        <v>0</v>
      </c>
      <c r="O83" s="30">
        <f t="shared" si="20"/>
        <v>0</v>
      </c>
      <c r="P83" s="30">
        <f t="shared" si="20"/>
        <v>0</v>
      </c>
      <c r="Q83" s="30">
        <f t="shared" si="20"/>
        <v>0</v>
      </c>
      <c r="R83" s="30">
        <f t="shared" si="20"/>
        <v>0</v>
      </c>
      <c r="S83" s="30">
        <f t="shared" si="20"/>
        <v>0</v>
      </c>
      <c r="T83" s="1"/>
      <c r="U83" s="1"/>
      <c r="AC83" s="1"/>
      <c r="AD83" s="1"/>
      <c r="AE83" s="1"/>
      <c r="AF83" s="1"/>
    </row>
    <row r="84" spans="2:32" x14ac:dyDescent="0.35">
      <c r="C84" s="34"/>
      <c r="D84" s="34"/>
      <c r="E84" s="34"/>
      <c r="F84" s="34"/>
      <c r="G84" s="34"/>
      <c r="H84" s="34"/>
      <c r="I84" s="34"/>
      <c r="J84" s="34"/>
      <c r="K84" s="34"/>
      <c r="L84" s="34"/>
      <c r="M84" s="34"/>
      <c r="N84" s="34"/>
      <c r="O84" s="34"/>
      <c r="P84" s="34"/>
      <c r="Q84" s="34"/>
      <c r="R84" s="34"/>
      <c r="S84" s="34"/>
      <c r="T84" s="1"/>
      <c r="U84" s="1"/>
      <c r="AC84" s="1"/>
      <c r="AD84" s="1"/>
      <c r="AE84" s="1"/>
      <c r="AF84" s="1"/>
    </row>
    <row r="85" spans="2:32" s="34" customFormat="1" x14ac:dyDescent="0.35">
      <c r="C85" s="31" t="s">
        <v>152</v>
      </c>
      <c r="D85" s="31"/>
      <c r="E85" s="32">
        <f t="shared" ref="E85:S85" si="21">+E69+E83+E58</f>
        <v>3010</v>
      </c>
      <c r="F85" s="32">
        <f t="shared" si="21"/>
        <v>2997</v>
      </c>
      <c r="G85" s="32">
        <f t="shared" si="21"/>
        <v>0</v>
      </c>
      <c r="H85" s="32">
        <f t="shared" si="21"/>
        <v>0</v>
      </c>
      <c r="I85" s="32">
        <f t="shared" si="21"/>
        <v>0</v>
      </c>
      <c r="J85" s="32">
        <f t="shared" si="21"/>
        <v>2996</v>
      </c>
      <c r="K85" s="32">
        <f t="shared" si="21"/>
        <v>3011</v>
      </c>
      <c r="L85" s="32">
        <f t="shared" si="21"/>
        <v>0</v>
      </c>
      <c r="M85" s="32">
        <f t="shared" si="21"/>
        <v>0</v>
      </c>
      <c r="N85" s="32">
        <f t="shared" si="21"/>
        <v>0</v>
      </c>
      <c r="O85" s="32">
        <f t="shared" si="21"/>
        <v>0</v>
      </c>
      <c r="P85" s="32">
        <f t="shared" si="21"/>
        <v>0</v>
      </c>
      <c r="Q85" s="32">
        <f t="shared" si="21"/>
        <v>0</v>
      </c>
      <c r="R85" s="32">
        <f t="shared" si="21"/>
        <v>0</v>
      </c>
      <c r="S85" s="32">
        <f t="shared" si="21"/>
        <v>0</v>
      </c>
      <c r="T85" s="4"/>
      <c r="U85" s="4"/>
      <c r="AC85" s="4"/>
      <c r="AD85" s="4"/>
      <c r="AE85" s="4"/>
      <c r="AF85" s="4"/>
    </row>
    <row r="86" spans="2:32" x14ac:dyDescent="0.35">
      <c r="C86" s="2" t="s">
        <v>160</v>
      </c>
      <c r="D86" s="3"/>
      <c r="E86" s="39">
        <f>+E85-E56</f>
        <v>2</v>
      </c>
      <c r="F86" s="1">
        <f>+F85-F56</f>
        <v>-4</v>
      </c>
      <c r="G86" s="4"/>
      <c r="H86" s="4"/>
      <c r="I86" s="4"/>
      <c r="J86" s="39">
        <f>+J85-J56</f>
        <v>-5</v>
      </c>
      <c r="K86" s="1">
        <f>+K85-K56</f>
        <v>-1</v>
      </c>
      <c r="L86" s="4"/>
      <c r="M86" s="4"/>
      <c r="N86" s="4"/>
      <c r="O86" s="4"/>
      <c r="P86" s="4"/>
      <c r="Q86" s="4"/>
      <c r="R86" s="4"/>
      <c r="S86" s="4"/>
      <c r="T86" s="1"/>
      <c r="U86" s="1"/>
      <c r="AC86" s="1"/>
      <c r="AD86" s="1"/>
      <c r="AE86" s="1"/>
      <c r="AF86" s="1"/>
    </row>
    <row r="87" spans="2:32" x14ac:dyDescent="0.35">
      <c r="E87" s="33"/>
      <c r="F87" s="33"/>
      <c r="G87" s="33"/>
      <c r="H87" s="33"/>
      <c r="I87" s="33"/>
      <c r="J87" s="33"/>
      <c r="K87" s="1"/>
      <c r="L87" s="1"/>
      <c r="M87" s="1"/>
      <c r="N87" s="1"/>
      <c r="O87" s="1"/>
      <c r="P87" s="1"/>
      <c r="Q87" s="1"/>
      <c r="R87" s="1"/>
      <c r="S87" s="1"/>
      <c r="T87" s="1"/>
      <c r="U87" s="1"/>
      <c r="AC87" s="1"/>
      <c r="AD87" s="1"/>
      <c r="AE87" s="1"/>
      <c r="AF87" s="1"/>
    </row>
    <row r="88" spans="2:32" x14ac:dyDescent="0.35">
      <c r="B88" s="33" t="s">
        <v>163</v>
      </c>
      <c r="C88" s="24" t="s">
        <v>62</v>
      </c>
      <c r="D88" s="24"/>
      <c r="E88" s="25">
        <v>2020</v>
      </c>
      <c r="F88" s="25"/>
      <c r="G88" s="25"/>
      <c r="H88" s="25"/>
      <c r="I88" s="25"/>
      <c r="J88" s="25">
        <v>2021</v>
      </c>
      <c r="K88" s="25" t="s">
        <v>132</v>
      </c>
      <c r="L88" s="26" t="s">
        <v>133</v>
      </c>
      <c r="M88" s="26" t="s">
        <v>134</v>
      </c>
      <c r="N88" s="26" t="s">
        <v>135</v>
      </c>
      <c r="O88" s="26">
        <v>2022</v>
      </c>
      <c r="P88" s="26">
        <v>2023</v>
      </c>
      <c r="Q88" s="26">
        <v>2024</v>
      </c>
      <c r="R88" s="26">
        <v>2025</v>
      </c>
      <c r="S88" s="26">
        <v>2026</v>
      </c>
      <c r="T88" s="1"/>
      <c r="U88" s="1"/>
      <c r="Z88" s="1"/>
      <c r="AA88" s="1"/>
      <c r="AB88" s="1"/>
      <c r="AC88" s="1"/>
      <c r="AD88" s="1"/>
      <c r="AE88" s="1"/>
      <c r="AF88" s="1"/>
    </row>
    <row r="89" spans="2:32" x14ac:dyDescent="0.35">
      <c r="C89" s="2" t="s">
        <v>63</v>
      </c>
      <c r="D89" s="2"/>
      <c r="E89" s="1">
        <f>+E24</f>
        <v>-210</v>
      </c>
      <c r="F89" s="1">
        <f>+F24</f>
        <v>-61</v>
      </c>
      <c r="G89" s="1"/>
      <c r="H89" s="1"/>
      <c r="I89" s="1"/>
      <c r="J89" s="1">
        <f>+J24</f>
        <v>-140</v>
      </c>
      <c r="K89" s="1">
        <v>-39</v>
      </c>
      <c r="L89" s="4"/>
      <c r="M89" s="4"/>
      <c r="N89" s="4"/>
      <c r="O89" s="4"/>
      <c r="P89" s="4"/>
      <c r="Q89" s="4"/>
      <c r="R89" s="4"/>
      <c r="S89" s="4"/>
      <c r="T89" s="1"/>
      <c r="U89" s="1"/>
      <c r="V89" s="2"/>
      <c r="W89" s="1"/>
      <c r="X89" s="1"/>
      <c r="Y89" s="1"/>
      <c r="Z89" s="1"/>
      <c r="AA89" s="1"/>
      <c r="AB89" s="1"/>
      <c r="AC89" s="1"/>
      <c r="AD89" s="1"/>
      <c r="AE89" s="1"/>
      <c r="AF89" s="1"/>
    </row>
    <row r="90" spans="2:32" x14ac:dyDescent="0.35">
      <c r="C90" s="2" t="s">
        <v>64</v>
      </c>
      <c r="D90" s="2"/>
      <c r="E90" s="1">
        <f>+E23</f>
        <v>-15</v>
      </c>
      <c r="F90" s="1">
        <f>+F23</f>
        <v>1</v>
      </c>
      <c r="G90" s="1"/>
      <c r="H90" s="1"/>
      <c r="I90" s="1"/>
      <c r="J90" s="1">
        <f>+J23</f>
        <v>-19</v>
      </c>
      <c r="K90" s="1">
        <f>+K23</f>
        <v>2</v>
      </c>
      <c r="L90" s="4"/>
      <c r="M90" s="4"/>
      <c r="N90" s="4"/>
      <c r="O90" s="4"/>
      <c r="P90" s="4"/>
      <c r="Q90" s="4"/>
      <c r="R90" s="4"/>
      <c r="S90" s="4"/>
      <c r="T90" s="1"/>
      <c r="U90" s="1"/>
      <c r="V90" s="2"/>
      <c r="W90" s="1"/>
      <c r="X90" s="1"/>
      <c r="Y90" s="1"/>
      <c r="Z90" s="1"/>
      <c r="AA90" s="1"/>
      <c r="AB90" s="1"/>
      <c r="AC90" s="1"/>
      <c r="AD90" s="1"/>
      <c r="AE90" s="1"/>
      <c r="AF90" s="1"/>
    </row>
    <row r="91" spans="2:32" x14ac:dyDescent="0.35">
      <c r="C91" s="3" t="s">
        <v>65</v>
      </c>
      <c r="D91" s="3"/>
      <c r="E91" s="4">
        <f>+E21</f>
        <v>-195</v>
      </c>
      <c r="F91" s="4">
        <f>+F21</f>
        <v>-62</v>
      </c>
      <c r="G91" s="4"/>
      <c r="H91" s="4"/>
      <c r="I91" s="4"/>
      <c r="J91" s="4">
        <f>+J21</f>
        <v>-121</v>
      </c>
      <c r="K91" s="4">
        <v>-41</v>
      </c>
      <c r="L91" s="4"/>
      <c r="M91" s="4"/>
      <c r="N91" s="4"/>
      <c r="O91" s="4"/>
      <c r="P91" s="4"/>
      <c r="Q91" s="4"/>
      <c r="R91" s="4"/>
      <c r="S91" s="4"/>
      <c r="T91" s="1"/>
      <c r="U91" s="1"/>
      <c r="V91" s="2"/>
      <c r="W91" s="1"/>
      <c r="X91" s="1"/>
      <c r="Y91" s="1"/>
      <c r="Z91" s="1"/>
      <c r="AA91" s="1"/>
      <c r="AB91" s="1"/>
      <c r="AC91" s="1"/>
      <c r="AD91" s="1"/>
      <c r="AE91" s="1"/>
      <c r="AF91" s="1"/>
    </row>
    <row r="92" spans="2:32" s="34" customFormat="1" x14ac:dyDescent="0.35">
      <c r="C92" s="2" t="s">
        <v>66</v>
      </c>
      <c r="D92" s="2"/>
      <c r="E92" s="1">
        <v>261</v>
      </c>
      <c r="F92" s="1">
        <v>53</v>
      </c>
      <c r="G92" s="1"/>
      <c r="H92" s="1"/>
      <c r="I92" s="1"/>
      <c r="J92" s="1">
        <v>222</v>
      </c>
      <c r="K92" s="1">
        <v>48</v>
      </c>
      <c r="L92" s="1"/>
      <c r="M92" s="1"/>
      <c r="N92" s="1"/>
      <c r="O92" s="1"/>
      <c r="P92" s="1"/>
      <c r="Q92" s="1"/>
      <c r="R92" s="1"/>
      <c r="S92" s="1"/>
      <c r="T92" s="4"/>
      <c r="U92" s="4"/>
      <c r="V92" s="3"/>
      <c r="W92" s="4"/>
      <c r="X92" s="4"/>
      <c r="Y92" s="4"/>
      <c r="Z92" s="4"/>
      <c r="AA92" s="4"/>
      <c r="AB92" s="4"/>
      <c r="AC92" s="4"/>
      <c r="AD92" s="4"/>
      <c r="AE92" s="4"/>
      <c r="AF92" s="4"/>
    </row>
    <row r="93" spans="2:32" s="34" customFormat="1" x14ac:dyDescent="0.35">
      <c r="C93" s="2" t="s">
        <v>67</v>
      </c>
      <c r="D93" s="2"/>
      <c r="E93" s="1">
        <v>88</v>
      </c>
      <c r="F93" s="1">
        <v>1</v>
      </c>
      <c r="G93" s="1"/>
      <c r="H93" s="1"/>
      <c r="I93" s="1"/>
      <c r="J93" s="1">
        <v>1</v>
      </c>
      <c r="K93" s="1">
        <v>0</v>
      </c>
      <c r="L93" s="1"/>
      <c r="M93" s="1"/>
      <c r="N93" s="1"/>
      <c r="O93" s="1"/>
      <c r="P93" s="1"/>
      <c r="Q93" s="1"/>
      <c r="R93" s="1"/>
      <c r="S93" s="1"/>
      <c r="T93" s="4"/>
      <c r="U93" s="4"/>
      <c r="V93" s="3"/>
      <c r="W93" s="4"/>
      <c r="X93" s="4"/>
      <c r="Y93" s="4"/>
      <c r="Z93" s="4"/>
      <c r="AA93" s="4"/>
      <c r="AB93" s="4"/>
      <c r="AC93" s="4"/>
      <c r="AD93" s="4"/>
      <c r="AE93" s="4"/>
      <c r="AF93" s="4"/>
    </row>
    <row r="94" spans="2:32" s="34" customFormat="1" x14ac:dyDescent="0.35">
      <c r="C94" s="2" t="s">
        <v>68</v>
      </c>
      <c r="D94" s="2"/>
      <c r="E94" s="1">
        <v>16</v>
      </c>
      <c r="F94" s="1">
        <v>-13</v>
      </c>
      <c r="G94" s="1"/>
      <c r="H94" s="1"/>
      <c r="I94" s="1"/>
      <c r="J94" s="1">
        <v>-53</v>
      </c>
      <c r="K94" s="1">
        <v>-11</v>
      </c>
      <c r="L94" s="1"/>
      <c r="M94" s="1"/>
      <c r="N94" s="1"/>
      <c r="O94" s="1"/>
      <c r="P94" s="1"/>
      <c r="Q94" s="1"/>
      <c r="R94" s="1"/>
      <c r="S94" s="1"/>
      <c r="T94" s="4"/>
      <c r="U94" s="4"/>
      <c r="V94" s="3"/>
      <c r="W94" s="4"/>
      <c r="X94" s="4"/>
      <c r="Y94" s="4"/>
      <c r="Z94" s="4"/>
      <c r="AA94" s="4"/>
      <c r="AB94" s="4"/>
      <c r="AC94" s="4"/>
      <c r="AD94" s="4"/>
      <c r="AE94" s="4"/>
      <c r="AF94" s="4"/>
    </row>
    <row r="95" spans="2:32" x14ac:dyDescent="0.35">
      <c r="C95" s="2" t="s">
        <v>69</v>
      </c>
      <c r="D95" s="2"/>
      <c r="E95" s="1">
        <v>-14</v>
      </c>
      <c r="F95" s="1">
        <v>0</v>
      </c>
      <c r="G95" s="1"/>
      <c r="H95" s="1"/>
      <c r="I95" s="1"/>
      <c r="J95" s="1">
        <v>-29</v>
      </c>
      <c r="K95" s="1">
        <v>0</v>
      </c>
      <c r="L95" s="1"/>
      <c r="M95" s="1"/>
      <c r="N95" s="1"/>
      <c r="O95" s="1"/>
      <c r="P95" s="1"/>
      <c r="Q95" s="1"/>
      <c r="R95" s="1"/>
      <c r="S95" s="1"/>
      <c r="T95" s="1"/>
      <c r="U95" s="1"/>
      <c r="V95" s="2"/>
      <c r="W95" s="1"/>
      <c r="X95" s="1"/>
      <c r="Y95" s="1"/>
      <c r="Z95" s="1"/>
      <c r="AA95" s="1"/>
      <c r="AB95" s="1"/>
      <c r="AC95" s="1"/>
      <c r="AD95" s="1"/>
      <c r="AE95" s="1"/>
      <c r="AF95" s="1"/>
    </row>
    <row r="96" spans="2:32" x14ac:dyDescent="0.35">
      <c r="C96" s="2" t="s">
        <v>70</v>
      </c>
      <c r="D96" s="2"/>
      <c r="E96" s="1">
        <v>78</v>
      </c>
      <c r="F96" s="1">
        <v>31</v>
      </c>
      <c r="G96" s="1"/>
      <c r="H96" s="1"/>
      <c r="I96" s="1"/>
      <c r="J96" s="1">
        <v>126</v>
      </c>
      <c r="K96" s="1">
        <v>34</v>
      </c>
      <c r="L96" s="1"/>
      <c r="M96" s="1"/>
      <c r="N96" s="1"/>
      <c r="O96" s="1"/>
      <c r="P96" s="1"/>
      <c r="Q96" s="1"/>
      <c r="R96" s="1"/>
      <c r="S96" s="1"/>
      <c r="T96" s="1"/>
      <c r="U96" s="1"/>
      <c r="V96" s="2"/>
      <c r="W96" s="1"/>
      <c r="X96" s="1"/>
      <c r="Y96" s="1"/>
      <c r="Z96" s="1"/>
      <c r="AA96" s="1"/>
      <c r="AB96" s="1"/>
      <c r="AC96" s="1"/>
      <c r="AD96" s="1"/>
      <c r="AE96" s="1"/>
      <c r="AF96" s="1"/>
    </row>
    <row r="97" spans="2:32" s="34" customFormat="1" x14ac:dyDescent="0.35">
      <c r="C97" s="2" t="s">
        <v>11</v>
      </c>
      <c r="D97" s="2"/>
      <c r="E97" s="1">
        <v>-158</v>
      </c>
      <c r="F97" s="1">
        <v>0</v>
      </c>
      <c r="G97" s="1"/>
      <c r="H97" s="1"/>
      <c r="I97" s="1"/>
      <c r="J97" s="1">
        <v>0</v>
      </c>
      <c r="K97" s="1">
        <v>0</v>
      </c>
      <c r="L97" s="1"/>
      <c r="M97" s="1"/>
      <c r="N97" s="1"/>
      <c r="O97" s="1"/>
      <c r="P97" s="1"/>
      <c r="Q97" s="1"/>
      <c r="R97" s="1"/>
      <c r="S97" s="1"/>
      <c r="T97" s="4"/>
      <c r="U97" s="4"/>
      <c r="V97" s="4"/>
      <c r="W97" s="4"/>
      <c r="X97" s="4"/>
      <c r="Y97" s="4"/>
      <c r="Z97" s="4"/>
      <c r="AA97" s="4"/>
      <c r="AB97" s="4"/>
      <c r="AC97" s="4"/>
      <c r="AD97" s="4"/>
      <c r="AE97" s="4"/>
      <c r="AF97" s="4"/>
    </row>
    <row r="98" spans="2:32" s="34" customFormat="1" x14ac:dyDescent="0.35">
      <c r="C98" s="2" t="s">
        <v>71</v>
      </c>
      <c r="D98" s="2"/>
      <c r="E98" s="1">
        <v>-2</v>
      </c>
      <c r="F98" s="1">
        <v>6</v>
      </c>
      <c r="G98" s="1"/>
      <c r="H98" s="1"/>
      <c r="I98" s="1"/>
      <c r="J98" s="1">
        <v>29</v>
      </c>
      <c r="K98" s="1">
        <v>9</v>
      </c>
      <c r="L98" s="1"/>
      <c r="M98" s="1"/>
      <c r="N98" s="1"/>
      <c r="O98" s="1"/>
      <c r="P98" s="1"/>
      <c r="Q98" s="1"/>
      <c r="R98" s="1"/>
      <c r="S98" s="1"/>
      <c r="T98" s="4"/>
      <c r="U98" s="4"/>
      <c r="V98" s="4"/>
      <c r="W98" s="4"/>
      <c r="X98" s="4"/>
      <c r="Y98" s="4"/>
      <c r="Z98" s="4"/>
      <c r="AA98" s="4"/>
      <c r="AB98" s="4"/>
      <c r="AC98" s="4"/>
      <c r="AD98" s="4"/>
      <c r="AE98" s="4"/>
      <c r="AF98" s="4"/>
    </row>
    <row r="99" spans="2:32" s="34" customFormat="1" x14ac:dyDescent="0.35">
      <c r="C99" s="2" t="s">
        <v>72</v>
      </c>
      <c r="D99" s="2"/>
      <c r="E99" s="1">
        <v>-101</v>
      </c>
      <c r="F99" s="1">
        <v>-193</v>
      </c>
      <c r="G99" s="1"/>
      <c r="H99" s="1"/>
      <c r="I99" s="1"/>
      <c r="J99" s="1">
        <v>-81</v>
      </c>
      <c r="K99" s="1">
        <v>-127</v>
      </c>
      <c r="L99" s="1"/>
      <c r="M99" s="1"/>
      <c r="N99" s="1"/>
      <c r="O99" s="1"/>
      <c r="P99" s="1"/>
      <c r="Q99" s="1"/>
      <c r="R99" s="1"/>
      <c r="S99" s="1"/>
      <c r="T99" s="4"/>
      <c r="U99" s="4"/>
      <c r="V99" s="4"/>
      <c r="W99" s="4"/>
      <c r="X99" s="4"/>
      <c r="Y99" s="4"/>
      <c r="Z99" s="4"/>
      <c r="AA99" s="4"/>
      <c r="AB99" s="4"/>
      <c r="AC99" s="4"/>
      <c r="AD99" s="4"/>
      <c r="AE99" s="4"/>
      <c r="AF99" s="4"/>
    </row>
    <row r="100" spans="2:32" x14ac:dyDescent="0.35">
      <c r="C100" s="3" t="s">
        <v>73</v>
      </c>
      <c r="D100" s="3"/>
      <c r="E100" s="4">
        <f>SUM(E91:E99)</f>
        <v>-27</v>
      </c>
      <c r="F100" s="4">
        <f t="shared" ref="F100:S100" si="22">SUM(F91:F99)</f>
        <v>-177</v>
      </c>
      <c r="G100" s="4">
        <f t="shared" si="22"/>
        <v>0</v>
      </c>
      <c r="H100" s="4">
        <f t="shared" si="22"/>
        <v>0</v>
      </c>
      <c r="I100" s="4">
        <f t="shared" si="22"/>
        <v>0</v>
      </c>
      <c r="J100" s="4">
        <f t="shared" si="22"/>
        <v>94</v>
      </c>
      <c r="K100" s="4">
        <f t="shared" si="22"/>
        <v>-88</v>
      </c>
      <c r="L100" s="4">
        <f t="shared" si="22"/>
        <v>0</v>
      </c>
      <c r="M100" s="4">
        <f t="shared" si="22"/>
        <v>0</v>
      </c>
      <c r="N100" s="4">
        <f t="shared" si="22"/>
        <v>0</v>
      </c>
      <c r="O100" s="4">
        <f t="shared" si="22"/>
        <v>0</v>
      </c>
      <c r="P100" s="4">
        <f t="shared" si="22"/>
        <v>0</v>
      </c>
      <c r="Q100" s="4">
        <f t="shared" si="22"/>
        <v>0</v>
      </c>
      <c r="R100" s="4">
        <f t="shared" si="22"/>
        <v>0</v>
      </c>
      <c r="S100" s="4">
        <f t="shared" si="22"/>
        <v>0</v>
      </c>
      <c r="T100" s="1"/>
      <c r="U100" s="1"/>
      <c r="V100" s="1"/>
      <c r="W100" s="1"/>
      <c r="X100" s="1"/>
      <c r="Y100" s="1"/>
      <c r="Z100" s="1"/>
      <c r="AA100" s="1"/>
      <c r="AB100" s="1"/>
      <c r="AC100" s="1"/>
      <c r="AD100" s="1"/>
      <c r="AE100" s="1"/>
      <c r="AF100" s="1"/>
    </row>
    <row r="101" spans="2:32" x14ac:dyDescent="0.35">
      <c r="C101" s="2" t="s">
        <v>74</v>
      </c>
      <c r="D101" s="2"/>
      <c r="E101" s="1">
        <v>-19</v>
      </c>
      <c r="F101" s="1">
        <v>-4</v>
      </c>
      <c r="G101" s="1"/>
      <c r="H101" s="1"/>
      <c r="I101" s="1"/>
      <c r="J101" s="1">
        <v>-15</v>
      </c>
      <c r="K101" s="1">
        <v>-4</v>
      </c>
      <c r="L101" s="1"/>
      <c r="M101" s="1"/>
      <c r="N101" s="1"/>
      <c r="O101" s="1"/>
      <c r="P101" s="1"/>
      <c r="Q101" s="1"/>
      <c r="R101" s="1"/>
      <c r="S101" s="1"/>
      <c r="T101" s="1"/>
      <c r="U101" s="1"/>
      <c r="V101" s="1"/>
      <c r="W101" s="1"/>
      <c r="X101" s="1"/>
      <c r="Y101" s="1"/>
      <c r="Z101" s="1"/>
      <c r="AA101" s="1"/>
      <c r="AB101" s="1"/>
      <c r="AC101" s="1"/>
      <c r="AD101" s="1"/>
      <c r="AE101" s="1"/>
      <c r="AF101" s="1"/>
    </row>
    <row r="102" spans="2:32" x14ac:dyDescent="0.35">
      <c r="C102" s="2" t="s">
        <v>75</v>
      </c>
      <c r="D102" s="2"/>
      <c r="E102" s="1">
        <v>-32</v>
      </c>
      <c r="F102" s="1">
        <v>-23</v>
      </c>
      <c r="G102" s="1"/>
      <c r="H102" s="1"/>
      <c r="I102" s="1"/>
      <c r="J102" s="1">
        <v>-49</v>
      </c>
      <c r="K102" s="1">
        <v>-25</v>
      </c>
      <c r="L102" s="1"/>
      <c r="M102" s="1"/>
      <c r="N102" s="1"/>
      <c r="O102" s="1"/>
      <c r="P102" s="1"/>
      <c r="Q102" s="1"/>
      <c r="R102" s="1"/>
      <c r="S102" s="1"/>
      <c r="T102" s="1"/>
      <c r="U102" s="1"/>
      <c r="V102" s="1"/>
      <c r="W102" s="1"/>
      <c r="X102" s="1"/>
      <c r="Y102" s="1"/>
      <c r="Z102" s="1"/>
      <c r="AA102" s="1"/>
      <c r="AB102" s="1"/>
      <c r="AC102" s="1"/>
      <c r="AD102" s="1"/>
      <c r="AE102" s="1"/>
      <c r="AF102" s="1"/>
    </row>
    <row r="103" spans="2:32" x14ac:dyDescent="0.35">
      <c r="C103" s="2" t="s">
        <v>76</v>
      </c>
      <c r="D103" s="2"/>
      <c r="E103" s="1">
        <v>3</v>
      </c>
      <c r="F103" s="1">
        <v>0</v>
      </c>
      <c r="G103" s="1"/>
      <c r="H103" s="1"/>
      <c r="I103" s="1"/>
      <c r="J103" s="1">
        <v>0</v>
      </c>
      <c r="K103" s="1">
        <v>0</v>
      </c>
      <c r="L103" s="1"/>
      <c r="M103" s="1"/>
      <c r="N103" s="1"/>
      <c r="O103" s="1"/>
      <c r="P103" s="1"/>
      <c r="Q103" s="1"/>
      <c r="R103" s="1"/>
      <c r="S103" s="1"/>
      <c r="T103" s="1"/>
      <c r="U103" s="1"/>
      <c r="V103" s="1"/>
      <c r="W103" s="1"/>
      <c r="X103" s="1"/>
      <c r="Y103" s="1"/>
      <c r="Z103" s="1"/>
      <c r="AA103" s="1"/>
      <c r="AB103" s="1"/>
      <c r="AC103" s="1"/>
      <c r="AD103" s="1"/>
      <c r="AE103" s="1"/>
      <c r="AF103" s="1"/>
    </row>
    <row r="104" spans="2:32" x14ac:dyDescent="0.35">
      <c r="C104" s="2" t="s">
        <v>77</v>
      </c>
      <c r="D104" s="2"/>
      <c r="E104" s="1">
        <v>-12</v>
      </c>
      <c r="F104" s="1">
        <v>-4</v>
      </c>
      <c r="G104" s="1"/>
      <c r="H104" s="1"/>
      <c r="I104" s="1"/>
      <c r="J104" s="1">
        <v>-16</v>
      </c>
      <c r="K104" s="1">
        <v>-7</v>
      </c>
      <c r="L104" s="1"/>
      <c r="M104" s="1"/>
      <c r="N104" s="1"/>
      <c r="O104" s="1"/>
      <c r="P104" s="1"/>
      <c r="Q104" s="1"/>
      <c r="R104" s="1"/>
      <c r="S104" s="1"/>
      <c r="T104" s="1"/>
      <c r="U104" s="1"/>
      <c r="V104" s="1"/>
      <c r="W104" s="1"/>
      <c r="X104" s="1"/>
      <c r="Y104" s="1"/>
      <c r="Z104" s="1"/>
      <c r="AA104" s="1"/>
      <c r="AB104" s="1"/>
      <c r="AC104" s="1"/>
      <c r="AD104" s="1"/>
      <c r="AE104" s="1"/>
      <c r="AF104" s="1"/>
    </row>
    <row r="105" spans="2:32" x14ac:dyDescent="0.35">
      <c r="B105" s="33" t="s">
        <v>163</v>
      </c>
      <c r="C105" s="29" t="s">
        <v>153</v>
      </c>
      <c r="D105" s="29"/>
      <c r="E105" s="30">
        <f>SUM(E100:E104)</f>
        <v>-87</v>
      </c>
      <c r="F105" s="30">
        <f t="shared" ref="F105:S105" si="23">SUM(F100:F104)</f>
        <v>-208</v>
      </c>
      <c r="G105" s="30">
        <f t="shared" si="23"/>
        <v>0</v>
      </c>
      <c r="H105" s="30">
        <f t="shared" si="23"/>
        <v>0</v>
      </c>
      <c r="I105" s="30">
        <f t="shared" si="23"/>
        <v>0</v>
      </c>
      <c r="J105" s="30">
        <f t="shared" si="23"/>
        <v>14</v>
      </c>
      <c r="K105" s="30">
        <f t="shared" si="23"/>
        <v>-124</v>
      </c>
      <c r="L105" s="30">
        <f t="shared" si="23"/>
        <v>0</v>
      </c>
      <c r="M105" s="30">
        <f t="shared" si="23"/>
        <v>0</v>
      </c>
      <c r="N105" s="30">
        <f t="shared" si="23"/>
        <v>0</v>
      </c>
      <c r="O105" s="30">
        <f t="shared" si="23"/>
        <v>0</v>
      </c>
      <c r="P105" s="30">
        <f t="shared" si="23"/>
        <v>0</v>
      </c>
      <c r="Q105" s="30">
        <f t="shared" si="23"/>
        <v>0</v>
      </c>
      <c r="R105" s="30">
        <f t="shared" si="23"/>
        <v>0</v>
      </c>
      <c r="S105" s="30">
        <f t="shared" si="23"/>
        <v>0</v>
      </c>
      <c r="T105" s="1"/>
      <c r="U105" s="1"/>
      <c r="V105" s="1"/>
      <c r="W105" s="1"/>
      <c r="X105" s="1"/>
      <c r="Y105" s="1"/>
      <c r="Z105" s="1"/>
      <c r="AA105" s="1"/>
      <c r="AB105" s="1"/>
      <c r="AC105" s="1"/>
      <c r="AD105" s="1"/>
      <c r="AE105" s="1"/>
      <c r="AF105" s="1"/>
    </row>
    <row r="106" spans="2:32" x14ac:dyDescent="0.35">
      <c r="C106" s="3"/>
      <c r="D106" s="3"/>
      <c r="E106" s="4"/>
      <c r="F106" s="4"/>
      <c r="G106" s="4"/>
      <c r="H106" s="4"/>
      <c r="I106" s="4"/>
      <c r="J106" s="4"/>
      <c r="K106" s="4"/>
      <c r="L106" s="4"/>
      <c r="M106" s="4"/>
      <c r="N106" s="4"/>
      <c r="O106" s="4"/>
      <c r="P106" s="4"/>
      <c r="Q106" s="4"/>
      <c r="R106" s="4"/>
      <c r="S106" s="4"/>
      <c r="T106" s="1"/>
      <c r="U106" s="1"/>
      <c r="V106" s="1"/>
      <c r="W106" s="1"/>
      <c r="X106" s="1"/>
      <c r="Y106" s="1"/>
      <c r="Z106" s="1"/>
      <c r="AA106" s="1"/>
      <c r="AB106" s="1"/>
      <c r="AC106" s="1"/>
      <c r="AD106" s="1"/>
      <c r="AE106" s="1"/>
      <c r="AF106" s="1"/>
    </row>
    <row r="107" spans="2:32" x14ac:dyDescent="0.35">
      <c r="C107" s="2" t="s">
        <v>78</v>
      </c>
      <c r="D107" s="2"/>
      <c r="E107" s="1">
        <v>-3</v>
      </c>
      <c r="F107" s="1">
        <v>0</v>
      </c>
      <c r="G107" s="1"/>
      <c r="H107" s="1"/>
      <c r="I107" s="1"/>
      <c r="J107" s="1">
        <v>0</v>
      </c>
      <c r="K107" s="1">
        <v>0</v>
      </c>
      <c r="L107" s="1"/>
      <c r="M107" s="1"/>
      <c r="N107" s="1"/>
      <c r="O107" s="1"/>
      <c r="P107" s="1"/>
      <c r="Q107" s="1"/>
      <c r="R107" s="1"/>
      <c r="S107" s="1"/>
      <c r="T107" s="1"/>
      <c r="U107" s="1"/>
      <c r="V107" s="1"/>
      <c r="W107" s="1"/>
      <c r="X107" s="1"/>
      <c r="Y107" s="1"/>
      <c r="Z107" s="1"/>
      <c r="AA107" s="1"/>
      <c r="AB107" s="1"/>
      <c r="AC107" s="1"/>
      <c r="AD107" s="1"/>
      <c r="AE107" s="1"/>
      <c r="AF107" s="1"/>
    </row>
    <row r="108" spans="2:32" x14ac:dyDescent="0.35">
      <c r="C108" s="2" t="s">
        <v>79</v>
      </c>
      <c r="D108" s="2"/>
      <c r="E108" s="1">
        <v>7</v>
      </c>
      <c r="F108" s="1">
        <v>0</v>
      </c>
      <c r="G108" s="1"/>
      <c r="H108" s="1"/>
      <c r="I108" s="1"/>
      <c r="J108" s="1">
        <v>27</v>
      </c>
      <c r="K108" s="1">
        <v>0</v>
      </c>
      <c r="L108" s="1"/>
      <c r="M108" s="1"/>
      <c r="N108" s="1"/>
      <c r="O108" s="1"/>
      <c r="P108" s="1"/>
      <c r="Q108" s="1"/>
      <c r="R108" s="1"/>
      <c r="S108" s="1"/>
      <c r="T108" s="1"/>
      <c r="U108" s="1"/>
      <c r="V108" s="1"/>
      <c r="W108" s="1"/>
      <c r="X108" s="1"/>
      <c r="Y108" s="1"/>
      <c r="Z108" s="1"/>
      <c r="AA108" s="1"/>
      <c r="AB108" s="1"/>
      <c r="AC108" s="1"/>
      <c r="AD108" s="1"/>
      <c r="AE108" s="1"/>
      <c r="AF108" s="1"/>
    </row>
    <row r="109" spans="2:32" s="34" customFormat="1" x14ac:dyDescent="0.35">
      <c r="C109" s="2" t="s">
        <v>80</v>
      </c>
      <c r="D109" s="2"/>
      <c r="E109" s="1">
        <v>-33</v>
      </c>
      <c r="F109" s="1">
        <v>-11</v>
      </c>
      <c r="G109" s="1"/>
      <c r="H109" s="1"/>
      <c r="I109" s="1"/>
      <c r="J109" s="1">
        <v>-45</v>
      </c>
      <c r="K109" s="1">
        <v>-14</v>
      </c>
      <c r="L109" s="1"/>
      <c r="M109" s="1"/>
      <c r="N109" s="1"/>
      <c r="O109" s="1"/>
      <c r="P109" s="1"/>
      <c r="Q109" s="1"/>
      <c r="R109" s="1"/>
      <c r="S109" s="1"/>
      <c r="T109" s="4"/>
      <c r="U109" s="4"/>
      <c r="V109" s="4"/>
      <c r="W109" s="4"/>
      <c r="X109" s="4"/>
      <c r="Y109" s="4"/>
      <c r="Z109" s="4"/>
      <c r="AA109" s="4"/>
      <c r="AB109" s="4"/>
      <c r="AC109" s="4"/>
      <c r="AD109" s="4"/>
      <c r="AE109" s="4"/>
      <c r="AF109" s="4"/>
    </row>
    <row r="110" spans="2:32" x14ac:dyDescent="0.35">
      <c r="C110" s="2" t="s">
        <v>81</v>
      </c>
      <c r="D110" s="2"/>
      <c r="E110" s="1">
        <v>0</v>
      </c>
      <c r="F110" s="1">
        <v>0</v>
      </c>
      <c r="G110" s="1"/>
      <c r="H110" s="1"/>
      <c r="I110" s="1"/>
      <c r="J110" s="1">
        <v>2</v>
      </c>
      <c r="K110" s="1">
        <v>0</v>
      </c>
      <c r="L110" s="1"/>
      <c r="M110" s="1"/>
      <c r="N110" s="1"/>
      <c r="O110" s="1"/>
      <c r="P110" s="1"/>
      <c r="Q110" s="1"/>
      <c r="R110" s="1"/>
      <c r="S110" s="1"/>
      <c r="T110" s="1"/>
      <c r="U110" s="1"/>
      <c r="V110" s="1"/>
      <c r="W110" s="1"/>
      <c r="X110" s="1"/>
      <c r="Y110" s="1"/>
      <c r="Z110" s="1"/>
      <c r="AA110" s="1"/>
      <c r="AB110" s="1"/>
      <c r="AC110" s="1"/>
      <c r="AD110" s="1"/>
      <c r="AE110" s="1"/>
      <c r="AF110" s="1"/>
    </row>
    <row r="111" spans="2:32" x14ac:dyDescent="0.35">
      <c r="C111" s="2" t="s">
        <v>82</v>
      </c>
      <c r="D111" s="2"/>
      <c r="E111" s="1">
        <v>-71</v>
      </c>
      <c r="F111" s="1">
        <v>-12</v>
      </c>
      <c r="G111" s="1"/>
      <c r="H111" s="1"/>
      <c r="I111" s="1"/>
      <c r="J111" s="1">
        <v>-52</v>
      </c>
      <c r="K111" s="1">
        <v>-21</v>
      </c>
      <c r="L111" s="1"/>
      <c r="M111" s="1"/>
      <c r="N111" s="1"/>
      <c r="O111" s="1"/>
      <c r="P111" s="1"/>
      <c r="Q111" s="1"/>
      <c r="R111" s="1"/>
      <c r="S111" s="1"/>
      <c r="T111" s="1"/>
      <c r="U111" s="1"/>
      <c r="V111" s="1"/>
      <c r="W111" s="1"/>
      <c r="X111" s="1"/>
      <c r="Y111" s="1"/>
      <c r="Z111" s="1"/>
      <c r="AA111" s="1"/>
      <c r="AB111" s="1"/>
      <c r="AC111" s="1"/>
      <c r="AD111" s="1"/>
      <c r="AE111" s="1"/>
      <c r="AF111" s="1"/>
    </row>
    <row r="112" spans="2:32" x14ac:dyDescent="0.35">
      <c r="C112" s="2" t="s">
        <v>83</v>
      </c>
      <c r="D112" s="2"/>
      <c r="E112" s="1">
        <v>-35</v>
      </c>
      <c r="F112" s="1">
        <v>-2</v>
      </c>
      <c r="G112" s="1"/>
      <c r="H112" s="1"/>
      <c r="I112" s="1"/>
      <c r="J112" s="1">
        <v>-10</v>
      </c>
      <c r="K112" s="1">
        <v>-3</v>
      </c>
      <c r="L112" s="1"/>
      <c r="M112" s="1"/>
      <c r="N112" s="1"/>
      <c r="O112" s="1"/>
      <c r="P112" s="1"/>
      <c r="Q112" s="1"/>
      <c r="R112" s="1"/>
      <c r="S112" s="1"/>
      <c r="T112" s="1"/>
      <c r="U112" s="1"/>
      <c r="V112" s="1"/>
      <c r="W112" s="1"/>
      <c r="X112" s="1"/>
      <c r="Y112" s="1"/>
      <c r="Z112" s="1"/>
      <c r="AA112" s="1"/>
      <c r="AB112" s="1"/>
      <c r="AC112" s="1"/>
      <c r="AD112" s="1"/>
      <c r="AE112" s="1"/>
      <c r="AF112" s="1"/>
    </row>
    <row r="113" spans="2:32" x14ac:dyDescent="0.35">
      <c r="C113" s="2" t="s">
        <v>84</v>
      </c>
      <c r="D113" s="2"/>
      <c r="E113" s="1">
        <v>1</v>
      </c>
      <c r="F113" s="1">
        <v>1</v>
      </c>
      <c r="G113" s="1"/>
      <c r="H113" s="1"/>
      <c r="I113" s="1"/>
      <c r="J113" s="1">
        <v>10</v>
      </c>
      <c r="K113" s="1">
        <v>0</v>
      </c>
      <c r="L113" s="1"/>
      <c r="M113" s="1"/>
      <c r="N113" s="1"/>
      <c r="O113" s="1"/>
      <c r="P113" s="1"/>
      <c r="Q113" s="1"/>
      <c r="R113" s="1"/>
      <c r="S113" s="1"/>
      <c r="T113" s="1"/>
      <c r="U113" s="1"/>
      <c r="V113" s="1"/>
      <c r="W113" s="1"/>
      <c r="X113" s="1"/>
      <c r="Y113" s="1"/>
      <c r="Z113" s="1"/>
      <c r="AA113" s="1"/>
      <c r="AB113" s="1"/>
      <c r="AC113" s="1"/>
      <c r="AD113" s="1"/>
      <c r="AE113" s="1"/>
      <c r="AF113" s="1"/>
    </row>
    <row r="114" spans="2:32" s="34" customFormat="1" x14ac:dyDescent="0.35">
      <c r="C114" s="29" t="s">
        <v>154</v>
      </c>
      <c r="D114" s="29"/>
      <c r="E114" s="30">
        <f>SUM(E107:E113)</f>
        <v>-134</v>
      </c>
      <c r="F114" s="30">
        <f t="shared" ref="F114:S114" si="24">SUM(F107:F113)</f>
        <v>-24</v>
      </c>
      <c r="G114" s="30">
        <f t="shared" si="24"/>
        <v>0</v>
      </c>
      <c r="H114" s="30">
        <f t="shared" si="24"/>
        <v>0</v>
      </c>
      <c r="I114" s="30">
        <f t="shared" si="24"/>
        <v>0</v>
      </c>
      <c r="J114" s="30">
        <f t="shared" si="24"/>
        <v>-68</v>
      </c>
      <c r="K114" s="30">
        <f t="shared" si="24"/>
        <v>-38</v>
      </c>
      <c r="L114" s="30">
        <f t="shared" si="24"/>
        <v>0</v>
      </c>
      <c r="M114" s="30">
        <f t="shared" si="24"/>
        <v>0</v>
      </c>
      <c r="N114" s="30">
        <f t="shared" si="24"/>
        <v>0</v>
      </c>
      <c r="O114" s="30">
        <f t="shared" si="24"/>
        <v>0</v>
      </c>
      <c r="P114" s="30">
        <f t="shared" si="24"/>
        <v>0</v>
      </c>
      <c r="Q114" s="30">
        <f t="shared" si="24"/>
        <v>0</v>
      </c>
      <c r="R114" s="30">
        <f t="shared" si="24"/>
        <v>0</v>
      </c>
      <c r="S114" s="30">
        <f t="shared" si="24"/>
        <v>0</v>
      </c>
      <c r="T114" s="4"/>
      <c r="U114" s="4"/>
      <c r="V114" s="4"/>
      <c r="W114" s="4"/>
      <c r="X114" s="4"/>
      <c r="Y114" s="4"/>
      <c r="Z114" s="4"/>
      <c r="AA114" s="4"/>
      <c r="AB114" s="4"/>
      <c r="AC114" s="4"/>
      <c r="AD114" s="4"/>
      <c r="AE114" s="4"/>
      <c r="AF114" s="4"/>
    </row>
    <row r="115" spans="2:32" x14ac:dyDescent="0.35">
      <c r="E115" s="33"/>
      <c r="F115" s="33"/>
      <c r="G115" s="33"/>
      <c r="H115" s="33"/>
      <c r="I115" s="33"/>
      <c r="J115" s="33"/>
      <c r="K115" s="1"/>
      <c r="L115" s="1"/>
      <c r="M115" s="1"/>
      <c r="N115" s="1"/>
      <c r="O115" s="1"/>
      <c r="P115" s="1"/>
      <c r="Q115" s="1"/>
      <c r="R115" s="1"/>
      <c r="S115" s="1"/>
      <c r="T115" s="1"/>
      <c r="U115" s="1"/>
      <c r="V115" s="1"/>
      <c r="W115" s="1"/>
      <c r="X115" s="1"/>
      <c r="Y115" s="1"/>
      <c r="Z115" s="1"/>
      <c r="AA115" s="1"/>
      <c r="AB115" s="1"/>
      <c r="AC115" s="1"/>
      <c r="AD115" s="1"/>
      <c r="AE115" s="1"/>
      <c r="AF115" s="1"/>
    </row>
    <row r="116" spans="2:32" x14ac:dyDescent="0.35">
      <c r="B116" s="33" t="s">
        <v>163</v>
      </c>
      <c r="C116" s="36" t="s">
        <v>155</v>
      </c>
      <c r="D116" s="36"/>
      <c r="E116" s="37">
        <f>+E105+E114+E120</f>
        <v>-306</v>
      </c>
      <c r="F116" s="37">
        <f t="shared" ref="F116:S116" si="25">+F105+F114+F120</f>
        <v>-247</v>
      </c>
      <c r="G116" s="37">
        <f t="shared" si="25"/>
        <v>0</v>
      </c>
      <c r="H116" s="37">
        <f t="shared" si="25"/>
        <v>0</v>
      </c>
      <c r="I116" s="37">
        <f t="shared" si="25"/>
        <v>0</v>
      </c>
      <c r="J116" s="37">
        <f t="shared" si="25"/>
        <v>-116</v>
      </c>
      <c r="K116" s="37">
        <f t="shared" si="25"/>
        <v>-172</v>
      </c>
      <c r="L116" s="37">
        <f t="shared" si="25"/>
        <v>0</v>
      </c>
      <c r="M116" s="37">
        <f t="shared" si="25"/>
        <v>0</v>
      </c>
      <c r="N116" s="37">
        <f t="shared" si="25"/>
        <v>0</v>
      </c>
      <c r="O116" s="37">
        <f t="shared" si="25"/>
        <v>0</v>
      </c>
      <c r="P116" s="37">
        <f t="shared" si="25"/>
        <v>0</v>
      </c>
      <c r="Q116" s="37">
        <f t="shared" si="25"/>
        <v>0</v>
      </c>
      <c r="R116" s="37">
        <f t="shared" si="25"/>
        <v>0</v>
      </c>
      <c r="S116" s="37">
        <f t="shared" si="25"/>
        <v>0</v>
      </c>
      <c r="T116" s="1"/>
      <c r="U116" s="1"/>
      <c r="V116" s="1"/>
      <c r="W116" s="1"/>
      <c r="X116" s="1"/>
      <c r="Y116" s="1"/>
      <c r="Z116" s="1"/>
      <c r="AA116" s="1"/>
      <c r="AB116" s="1"/>
      <c r="AC116" s="1"/>
      <c r="AD116" s="1"/>
      <c r="AE116" s="1"/>
      <c r="AF116" s="1"/>
    </row>
    <row r="117" spans="2:32" x14ac:dyDescent="0.35">
      <c r="E117" s="33"/>
      <c r="F117" s="33"/>
      <c r="G117" s="33"/>
      <c r="H117" s="33"/>
      <c r="I117" s="33"/>
      <c r="J117" s="33"/>
      <c r="K117" s="1"/>
      <c r="L117" s="1"/>
      <c r="M117" s="1"/>
      <c r="N117" s="1"/>
      <c r="O117" s="1"/>
      <c r="P117" s="1"/>
      <c r="Q117" s="1"/>
      <c r="R117" s="1"/>
      <c r="S117" s="1"/>
      <c r="T117" s="1"/>
      <c r="U117" s="1"/>
      <c r="V117" s="1"/>
      <c r="W117" s="1"/>
      <c r="X117" s="1"/>
      <c r="Y117" s="1"/>
      <c r="Z117" s="1"/>
      <c r="AA117" s="1"/>
      <c r="AB117" s="1"/>
      <c r="AC117" s="1"/>
      <c r="AD117" s="1"/>
      <c r="AE117" s="1"/>
      <c r="AF117" s="1"/>
    </row>
    <row r="118" spans="2:32" x14ac:dyDescent="0.35">
      <c r="C118" s="2" t="s">
        <v>85</v>
      </c>
      <c r="D118" s="2"/>
      <c r="E118" s="1">
        <v>60</v>
      </c>
      <c r="F118" s="1">
        <v>0</v>
      </c>
      <c r="G118" s="1"/>
      <c r="H118" s="1"/>
      <c r="I118" s="1"/>
      <c r="J118" s="1">
        <v>0</v>
      </c>
      <c r="K118" s="1">
        <v>0</v>
      </c>
      <c r="L118" s="1"/>
      <c r="M118" s="1"/>
      <c r="N118" s="1"/>
      <c r="O118" s="1"/>
      <c r="P118" s="1"/>
      <c r="Q118" s="1"/>
      <c r="R118" s="1"/>
      <c r="S118" s="1"/>
      <c r="T118" s="1"/>
      <c r="U118" s="1"/>
      <c r="V118" s="1"/>
      <c r="W118" s="1"/>
      <c r="X118" s="1"/>
      <c r="Y118" s="1"/>
      <c r="Z118" s="1"/>
      <c r="AA118" s="1"/>
      <c r="AB118" s="1"/>
      <c r="AC118" s="1"/>
      <c r="AD118" s="1"/>
      <c r="AE118" s="1"/>
      <c r="AF118" s="1"/>
    </row>
    <row r="119" spans="2:32" x14ac:dyDescent="0.35">
      <c r="C119" s="2" t="s">
        <v>86</v>
      </c>
      <c r="D119" s="2"/>
      <c r="E119" s="1">
        <v>760</v>
      </c>
      <c r="F119" s="1">
        <v>32</v>
      </c>
      <c r="G119" s="1"/>
      <c r="H119" s="1"/>
      <c r="I119" s="1"/>
      <c r="J119" s="1">
        <v>0</v>
      </c>
      <c r="K119" s="1">
        <v>26</v>
      </c>
      <c r="L119" s="1"/>
      <c r="M119" s="1"/>
      <c r="N119" s="1"/>
      <c r="O119" s="1"/>
      <c r="P119" s="1"/>
      <c r="Q119" s="1"/>
      <c r="R119" s="1"/>
      <c r="S119" s="1"/>
      <c r="T119" s="1"/>
      <c r="U119" s="1"/>
      <c r="V119" s="1"/>
      <c r="W119" s="1"/>
      <c r="X119" s="1"/>
      <c r="Y119" s="1"/>
      <c r="Z119" s="1"/>
      <c r="AA119" s="1"/>
      <c r="AB119" s="1"/>
      <c r="AC119" s="1"/>
      <c r="AD119" s="1"/>
      <c r="AE119" s="1"/>
      <c r="AF119" s="1"/>
    </row>
    <row r="120" spans="2:32" x14ac:dyDescent="0.35">
      <c r="C120" s="2" t="s">
        <v>87</v>
      </c>
      <c r="D120" s="2"/>
      <c r="E120" s="1">
        <v>-85</v>
      </c>
      <c r="F120" s="1">
        <v>-15</v>
      </c>
      <c r="G120" s="1"/>
      <c r="H120" s="1"/>
      <c r="I120" s="1"/>
      <c r="J120" s="1">
        <v>-62</v>
      </c>
      <c r="K120" s="1">
        <v>-10</v>
      </c>
      <c r="L120" s="1"/>
      <c r="M120" s="1"/>
      <c r="N120" s="1"/>
      <c r="O120" s="1"/>
      <c r="P120" s="1"/>
      <c r="Q120" s="1"/>
      <c r="R120" s="1"/>
      <c r="S120" s="1"/>
      <c r="T120" s="1"/>
      <c r="U120" s="1"/>
      <c r="V120" s="1"/>
      <c r="W120" s="1"/>
      <c r="X120" s="1"/>
      <c r="Y120" s="1"/>
      <c r="Z120" s="1"/>
      <c r="AA120" s="1"/>
      <c r="AB120" s="1"/>
      <c r="AC120" s="1"/>
      <c r="AD120" s="1"/>
      <c r="AE120" s="1"/>
      <c r="AF120" s="1"/>
    </row>
    <row r="121" spans="2:32" x14ac:dyDescent="0.35">
      <c r="C121" s="2" t="s">
        <v>88</v>
      </c>
      <c r="D121" s="2"/>
      <c r="E121" s="1">
        <v>-158</v>
      </c>
      <c r="F121" s="1">
        <v>-3</v>
      </c>
      <c r="G121" s="1"/>
      <c r="H121" s="1"/>
      <c r="I121" s="1"/>
      <c r="J121" s="1">
        <v>-1</v>
      </c>
      <c r="K121" s="1">
        <v>-2</v>
      </c>
      <c r="L121" s="1"/>
      <c r="M121" s="1"/>
      <c r="N121" s="1"/>
      <c r="O121" s="1"/>
      <c r="P121" s="1"/>
      <c r="Q121" s="1"/>
      <c r="R121" s="1"/>
      <c r="S121" s="1"/>
      <c r="T121" s="1"/>
      <c r="U121" s="1"/>
      <c r="V121" s="1"/>
      <c r="W121" s="1"/>
      <c r="X121" s="1"/>
      <c r="Y121" s="1"/>
      <c r="Z121" s="1"/>
      <c r="AA121" s="1"/>
      <c r="AB121" s="1"/>
      <c r="AC121" s="1"/>
      <c r="AD121" s="1"/>
      <c r="AE121" s="1"/>
      <c r="AF121" s="1"/>
    </row>
    <row r="122" spans="2:32" s="34" customFormat="1" x14ac:dyDescent="0.35">
      <c r="C122" s="2" t="s">
        <v>89</v>
      </c>
      <c r="D122" s="2"/>
      <c r="E122" s="1">
        <v>-60</v>
      </c>
      <c r="F122" s="1">
        <v>0</v>
      </c>
      <c r="G122" s="1"/>
      <c r="H122" s="1"/>
      <c r="I122" s="1"/>
      <c r="J122" s="1">
        <v>-2</v>
      </c>
      <c r="K122" s="1">
        <v>-5</v>
      </c>
      <c r="L122" s="1"/>
      <c r="M122" s="1"/>
      <c r="N122" s="1"/>
      <c r="O122" s="1"/>
      <c r="P122" s="1"/>
      <c r="Q122" s="1"/>
      <c r="R122" s="1"/>
      <c r="S122" s="1"/>
      <c r="T122" s="4"/>
      <c r="U122" s="4"/>
      <c r="V122" s="4"/>
      <c r="W122" s="4"/>
      <c r="X122" s="4"/>
      <c r="Y122" s="4"/>
      <c r="Z122" s="4"/>
      <c r="AA122" s="4"/>
      <c r="AB122" s="4"/>
      <c r="AC122" s="4"/>
      <c r="AD122" s="4"/>
      <c r="AE122" s="4"/>
      <c r="AF122" s="4"/>
    </row>
    <row r="123" spans="2:32" x14ac:dyDescent="0.35">
      <c r="C123" s="2" t="s">
        <v>90</v>
      </c>
      <c r="D123" s="2"/>
      <c r="E123" s="1">
        <v>5</v>
      </c>
      <c r="F123" s="1">
        <v>-3</v>
      </c>
      <c r="G123" s="1"/>
      <c r="H123" s="1"/>
      <c r="I123" s="1"/>
      <c r="J123" s="1">
        <v>-4</v>
      </c>
      <c r="K123" s="1">
        <v>2</v>
      </c>
      <c r="L123" s="1"/>
      <c r="M123" s="1"/>
      <c r="N123" s="1"/>
      <c r="O123" s="1"/>
      <c r="P123" s="1"/>
      <c r="Q123" s="1"/>
      <c r="R123" s="1"/>
      <c r="S123" s="1"/>
      <c r="T123" s="1"/>
      <c r="U123" s="1"/>
      <c r="V123" s="1"/>
      <c r="W123" s="1"/>
      <c r="X123" s="1"/>
      <c r="Y123" s="1"/>
      <c r="Z123" s="1"/>
      <c r="AA123" s="1"/>
      <c r="AB123" s="1"/>
      <c r="AC123" s="1"/>
      <c r="AD123" s="1"/>
      <c r="AE123" s="1"/>
      <c r="AF123" s="1"/>
    </row>
    <row r="124" spans="2:32" x14ac:dyDescent="0.35">
      <c r="C124" s="29" t="s">
        <v>156</v>
      </c>
      <c r="D124" s="29"/>
      <c r="E124" s="30">
        <f>SUM(E118:E123)</f>
        <v>522</v>
      </c>
      <c r="F124" s="30">
        <f t="shared" ref="F124:S124" si="26">SUM(F118:F123)</f>
        <v>11</v>
      </c>
      <c r="G124" s="30">
        <f t="shared" si="26"/>
        <v>0</v>
      </c>
      <c r="H124" s="30">
        <f t="shared" si="26"/>
        <v>0</v>
      </c>
      <c r="I124" s="30">
        <f t="shared" si="26"/>
        <v>0</v>
      </c>
      <c r="J124" s="30">
        <f t="shared" si="26"/>
        <v>-69</v>
      </c>
      <c r="K124" s="30">
        <f t="shared" si="26"/>
        <v>11</v>
      </c>
      <c r="L124" s="30">
        <f t="shared" si="26"/>
        <v>0</v>
      </c>
      <c r="M124" s="30">
        <f t="shared" si="26"/>
        <v>0</v>
      </c>
      <c r="N124" s="30">
        <f t="shared" si="26"/>
        <v>0</v>
      </c>
      <c r="O124" s="30">
        <f t="shared" si="26"/>
        <v>0</v>
      </c>
      <c r="P124" s="30">
        <f t="shared" si="26"/>
        <v>0</v>
      </c>
      <c r="Q124" s="30">
        <f t="shared" si="26"/>
        <v>0</v>
      </c>
      <c r="R124" s="30">
        <f t="shared" si="26"/>
        <v>0</v>
      </c>
      <c r="S124" s="30">
        <f t="shared" si="26"/>
        <v>0</v>
      </c>
      <c r="T124" s="1"/>
      <c r="U124" s="1"/>
      <c r="V124" s="1"/>
      <c r="W124" s="1"/>
      <c r="X124" s="1"/>
      <c r="Y124" s="1"/>
      <c r="Z124" s="1"/>
      <c r="AA124" s="1"/>
      <c r="AB124" s="1"/>
      <c r="AC124" s="1"/>
      <c r="AD124" s="1"/>
      <c r="AE124" s="1"/>
      <c r="AF124" s="1"/>
    </row>
    <row r="125" spans="2:32" x14ac:dyDescent="0.35">
      <c r="E125" s="33"/>
      <c r="F125" s="33"/>
      <c r="G125" s="33"/>
      <c r="H125" s="33"/>
      <c r="I125" s="33"/>
      <c r="J125" s="33"/>
      <c r="K125" s="1"/>
      <c r="L125" s="1"/>
      <c r="M125" s="1"/>
      <c r="N125" s="1"/>
      <c r="O125" s="1"/>
      <c r="P125" s="1"/>
      <c r="Q125" s="1"/>
      <c r="R125" s="1"/>
      <c r="S125" s="1"/>
      <c r="T125" s="1"/>
      <c r="U125" s="1"/>
      <c r="V125" s="1"/>
      <c r="W125" s="1"/>
      <c r="X125" s="1"/>
      <c r="Y125" s="1"/>
      <c r="Z125" s="1"/>
      <c r="AA125" s="1"/>
      <c r="AB125" s="1"/>
      <c r="AC125" s="1"/>
      <c r="AD125" s="1"/>
      <c r="AE125" s="1"/>
      <c r="AF125" s="1"/>
    </row>
    <row r="126" spans="2:32" x14ac:dyDescent="0.35">
      <c r="C126" s="2" t="s">
        <v>157</v>
      </c>
      <c r="D126" s="2"/>
      <c r="E126" s="1">
        <v>-23</v>
      </c>
      <c r="F126" s="1">
        <v>-10</v>
      </c>
      <c r="G126" s="1"/>
      <c r="H126" s="1"/>
      <c r="I126" s="1"/>
      <c r="J126" s="1">
        <v>-29</v>
      </c>
      <c r="K126" s="1">
        <v>-7</v>
      </c>
      <c r="L126" s="1"/>
      <c r="M126" s="1"/>
      <c r="N126" s="1"/>
      <c r="O126" s="1"/>
      <c r="P126" s="1"/>
      <c r="Q126" s="1"/>
      <c r="R126" s="1"/>
      <c r="S126" s="1"/>
      <c r="T126" s="1"/>
      <c r="U126" s="1"/>
      <c r="V126" s="1"/>
      <c r="W126" s="1"/>
      <c r="X126" s="1"/>
      <c r="Y126" s="1"/>
      <c r="Z126" s="1"/>
      <c r="AA126" s="1"/>
      <c r="AB126" s="1"/>
      <c r="AC126" s="1"/>
      <c r="AD126" s="1"/>
      <c r="AE126" s="1"/>
      <c r="AF126" s="1"/>
    </row>
    <row r="127" spans="2:32" x14ac:dyDescent="0.35">
      <c r="C127" s="2" t="s">
        <v>92</v>
      </c>
      <c r="D127" s="2"/>
      <c r="E127" s="1">
        <v>-16</v>
      </c>
      <c r="F127" s="1">
        <v>3</v>
      </c>
      <c r="G127" s="1"/>
      <c r="H127" s="1"/>
      <c r="I127" s="1"/>
      <c r="J127" s="1">
        <v>16</v>
      </c>
      <c r="K127" s="35">
        <v>1</v>
      </c>
      <c r="T127" s="1"/>
      <c r="U127" s="1"/>
      <c r="V127" s="1"/>
      <c r="W127" s="1"/>
      <c r="X127" s="1"/>
      <c r="Y127" s="1"/>
      <c r="Z127" s="1"/>
      <c r="AA127" s="1"/>
      <c r="AB127" s="1"/>
      <c r="AC127" s="1"/>
      <c r="AD127" s="1"/>
      <c r="AE127" s="1"/>
      <c r="AF127" s="1"/>
    </row>
    <row r="128" spans="2:32" x14ac:dyDescent="0.35">
      <c r="C128" s="31" t="s">
        <v>91</v>
      </c>
      <c r="D128" s="38"/>
      <c r="E128" s="32">
        <f t="shared" ref="E128:J128" si="27">+E105+E114+E124+E126+E127</f>
        <v>262</v>
      </c>
      <c r="F128" s="32">
        <f t="shared" si="27"/>
        <v>-228</v>
      </c>
      <c r="G128" s="32">
        <f t="shared" si="27"/>
        <v>0</v>
      </c>
      <c r="H128" s="32">
        <f t="shared" si="27"/>
        <v>0</v>
      </c>
      <c r="I128" s="32">
        <f t="shared" si="27"/>
        <v>0</v>
      </c>
      <c r="J128" s="32">
        <f t="shared" si="27"/>
        <v>-136</v>
      </c>
      <c r="K128" s="32">
        <f>+K105+K114+K124+K126+K127</f>
        <v>-157</v>
      </c>
      <c r="L128" s="32">
        <f t="shared" ref="L128:S128" si="28">+L105+L114+L124+L126+L127</f>
        <v>0</v>
      </c>
      <c r="M128" s="32">
        <f t="shared" si="28"/>
        <v>0</v>
      </c>
      <c r="N128" s="32">
        <f t="shared" si="28"/>
        <v>0</v>
      </c>
      <c r="O128" s="32">
        <f t="shared" si="28"/>
        <v>0</v>
      </c>
      <c r="P128" s="32">
        <f t="shared" si="28"/>
        <v>0</v>
      </c>
      <c r="Q128" s="32">
        <f t="shared" si="28"/>
        <v>0</v>
      </c>
      <c r="R128" s="32">
        <f t="shared" si="28"/>
        <v>0</v>
      </c>
      <c r="S128" s="32">
        <f t="shared" si="28"/>
        <v>0</v>
      </c>
      <c r="T128" s="1"/>
      <c r="U128" s="1"/>
      <c r="V128" s="1"/>
      <c r="W128" s="1"/>
      <c r="X128" s="1"/>
      <c r="Y128" s="1"/>
      <c r="Z128" s="1"/>
      <c r="AA128" s="1"/>
      <c r="AB128" s="1"/>
      <c r="AC128" s="1"/>
      <c r="AD128" s="1"/>
      <c r="AE128" s="1"/>
      <c r="AF128" s="1"/>
    </row>
    <row r="129" spans="2:32" s="34" customFormat="1" x14ac:dyDescent="0.35">
      <c r="T129" s="4"/>
      <c r="U129" s="4"/>
      <c r="V129" s="4"/>
      <c r="W129" s="4"/>
      <c r="X129" s="4"/>
      <c r="Y129" s="4"/>
      <c r="Z129" s="4"/>
      <c r="AA129" s="4"/>
      <c r="AB129" s="4"/>
      <c r="AC129" s="4"/>
      <c r="AD129" s="4"/>
      <c r="AE129" s="4"/>
      <c r="AF129" s="4"/>
    </row>
    <row r="130" spans="2:32" s="34" customFormat="1" x14ac:dyDescent="0.35">
      <c r="C130" s="2" t="s">
        <v>158</v>
      </c>
      <c r="D130" s="3"/>
      <c r="E130" s="4">
        <v>65</v>
      </c>
      <c r="F130" s="4">
        <v>330</v>
      </c>
      <c r="G130" s="4"/>
      <c r="H130" s="4"/>
      <c r="I130" s="4"/>
      <c r="J130" s="4">
        <f>+E52</f>
        <v>330</v>
      </c>
      <c r="K130" s="34">
        <v>196</v>
      </c>
      <c r="T130" s="4"/>
      <c r="U130" s="4"/>
      <c r="V130" s="4"/>
      <c r="W130" s="4"/>
      <c r="X130" s="4"/>
      <c r="Y130" s="4"/>
      <c r="Z130" s="4"/>
      <c r="AA130" s="4"/>
      <c r="AB130" s="4"/>
      <c r="AC130" s="4"/>
      <c r="AD130" s="4"/>
      <c r="AE130" s="4"/>
      <c r="AF130" s="4"/>
    </row>
    <row r="131" spans="2:32" s="34" customFormat="1" x14ac:dyDescent="0.35">
      <c r="B131" s="33" t="s">
        <v>163</v>
      </c>
      <c r="C131" s="33" t="s">
        <v>159</v>
      </c>
      <c r="E131" s="40">
        <f>+E130+E128</f>
        <v>327</v>
      </c>
      <c r="F131" s="4">
        <f>+F130+F128</f>
        <v>102</v>
      </c>
      <c r="G131" s="4"/>
      <c r="H131" s="4"/>
      <c r="I131" s="4"/>
      <c r="J131" s="40">
        <f>+J130+J128+J127</f>
        <v>210</v>
      </c>
      <c r="K131" s="34">
        <f>+K130+K128+K127</f>
        <v>40</v>
      </c>
      <c r="T131" s="4"/>
      <c r="U131" s="4"/>
      <c r="V131" s="4"/>
      <c r="W131" s="4"/>
      <c r="X131" s="4"/>
      <c r="Y131" s="4"/>
      <c r="Z131" s="4"/>
      <c r="AA131" s="4"/>
      <c r="AB131" s="4"/>
      <c r="AC131" s="4"/>
      <c r="AD131" s="4"/>
      <c r="AE131" s="4"/>
      <c r="AF131" s="4"/>
    </row>
    <row r="132" spans="2:32" s="34" customFormat="1" x14ac:dyDescent="0.35">
      <c r="C132" s="2" t="s">
        <v>160</v>
      </c>
      <c r="D132" s="2"/>
      <c r="E132" s="33"/>
      <c r="F132" s="43">
        <f>+F131-102</f>
        <v>0</v>
      </c>
      <c r="G132" s="33"/>
      <c r="H132" s="33"/>
      <c r="I132" s="33"/>
      <c r="J132" s="33"/>
      <c r="K132" s="35">
        <f>+K131-38</f>
        <v>2</v>
      </c>
      <c r="L132" s="35"/>
      <c r="M132" s="35"/>
      <c r="N132" s="35"/>
      <c r="O132" s="35"/>
      <c r="P132" s="35"/>
      <c r="Q132" s="35"/>
      <c r="R132" s="35"/>
      <c r="S132" s="35"/>
      <c r="T132" s="4"/>
      <c r="U132" s="4"/>
      <c r="V132" s="4"/>
      <c r="W132" s="4"/>
      <c r="X132" s="4"/>
      <c r="Y132" s="4"/>
      <c r="Z132" s="4"/>
      <c r="AA132" s="4"/>
      <c r="AB132" s="4"/>
      <c r="AC132" s="4"/>
      <c r="AD132" s="4"/>
      <c r="AE132" s="4"/>
      <c r="AF132" s="4"/>
    </row>
    <row r="133" spans="2:32" x14ac:dyDescent="0.35">
      <c r="E133" s="33"/>
      <c r="F133" s="33"/>
      <c r="G133" s="33"/>
      <c r="H133" s="33"/>
      <c r="I133" s="33"/>
      <c r="J133" s="33"/>
      <c r="K133" s="33"/>
      <c r="L133" s="33"/>
      <c r="M133" s="33"/>
      <c r="N133" s="33"/>
      <c r="O133" s="33"/>
      <c r="P133" s="33"/>
      <c r="Q133" s="33"/>
      <c r="R133" s="33"/>
      <c r="S133" s="33"/>
      <c r="T133" s="1"/>
      <c r="U133" s="1"/>
      <c r="V133" s="1"/>
      <c r="W133" s="1"/>
      <c r="X133" s="1"/>
      <c r="Y133" s="1"/>
      <c r="Z133" s="1"/>
      <c r="AA133" s="1"/>
      <c r="AB133" s="1"/>
      <c r="AC133" s="1"/>
      <c r="AD133" s="1"/>
      <c r="AE133" s="1"/>
      <c r="AF133" s="1"/>
    </row>
    <row r="134" spans="2:32" s="34" customFormat="1" x14ac:dyDescent="0.35">
      <c r="T134" s="4"/>
      <c r="U134" s="4"/>
      <c r="V134" s="4"/>
      <c r="W134" s="4"/>
      <c r="X134" s="4"/>
      <c r="Y134" s="4"/>
      <c r="Z134" s="4"/>
      <c r="AA134" s="4"/>
      <c r="AB134" s="4"/>
      <c r="AC134" s="4"/>
      <c r="AD134" s="4"/>
      <c r="AE134" s="4"/>
      <c r="AF134" s="4"/>
    </row>
    <row r="135" spans="2:32" x14ac:dyDescent="0.35">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row>
    <row r="136" spans="2:32" x14ac:dyDescent="0.35">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row>
    <row r="137" spans="2:32" x14ac:dyDescent="0.35">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row>
    <row r="138" spans="2:32" x14ac:dyDescent="0.35">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row>
    <row r="139" spans="2:32" x14ac:dyDescent="0.35">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row>
    <row r="140" spans="2:32" x14ac:dyDescent="0.35">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row>
    <row r="141" spans="2:32" x14ac:dyDescent="0.35">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7AFF9-9827-435B-A824-3C8798529E22}">
  <dimension ref="C2:I85"/>
  <sheetViews>
    <sheetView showGridLines="0" tabSelected="1" topLeftCell="C46" workbookViewId="0">
      <selection activeCell="I80" sqref="I80"/>
    </sheetView>
  </sheetViews>
  <sheetFormatPr defaultRowHeight="14.5" x14ac:dyDescent="0.35"/>
  <cols>
    <col min="1" max="2" width="2.7265625" customWidth="1"/>
    <col min="3" max="3" width="42.7265625" bestFit="1" customWidth="1"/>
    <col min="5" max="9" width="23.7265625" customWidth="1"/>
  </cols>
  <sheetData>
    <row r="2" spans="3:9" x14ac:dyDescent="0.35">
      <c r="C2" s="18" t="s">
        <v>115</v>
      </c>
      <c r="D2" s="18"/>
      <c r="E2" s="19" t="s">
        <v>93</v>
      </c>
      <c r="F2" s="19" t="s">
        <v>94</v>
      </c>
      <c r="G2" s="19" t="s">
        <v>95</v>
      </c>
      <c r="H2" s="19" t="s">
        <v>96</v>
      </c>
      <c r="I2" s="19" t="s">
        <v>97</v>
      </c>
    </row>
    <row r="3" spans="3:9" x14ac:dyDescent="0.35">
      <c r="C3" s="3" t="s">
        <v>0</v>
      </c>
      <c r="D3" s="3"/>
      <c r="E3" s="4">
        <v>629</v>
      </c>
      <c r="F3" s="4">
        <v>1544</v>
      </c>
      <c r="G3" s="4">
        <v>701</v>
      </c>
      <c r="H3" s="4">
        <v>23</v>
      </c>
      <c r="I3" s="4">
        <f t="shared" ref="I3:I12" si="0">+E3+F3+G3+H3</f>
        <v>2897</v>
      </c>
    </row>
    <row r="4" spans="3:9" x14ac:dyDescent="0.35">
      <c r="C4" s="3" t="s">
        <v>8</v>
      </c>
      <c r="D4" s="3"/>
      <c r="E4" s="4">
        <v>27</v>
      </c>
      <c r="F4" s="4">
        <v>11</v>
      </c>
      <c r="G4" s="4">
        <v>0</v>
      </c>
      <c r="H4" s="4">
        <v>-8</v>
      </c>
      <c r="I4" s="4">
        <f t="shared" si="0"/>
        <v>30</v>
      </c>
    </row>
    <row r="5" spans="3:9" x14ac:dyDescent="0.35">
      <c r="C5" s="2" t="s">
        <v>98</v>
      </c>
      <c r="D5" s="2"/>
      <c r="E5" s="1">
        <v>-8</v>
      </c>
      <c r="F5" s="1">
        <v>-21</v>
      </c>
      <c r="G5" s="1">
        <v>-9</v>
      </c>
      <c r="H5" s="1">
        <v>0</v>
      </c>
      <c r="I5" s="1">
        <f t="shared" si="0"/>
        <v>-38</v>
      </c>
    </row>
    <row r="6" spans="3:9" x14ac:dyDescent="0.35">
      <c r="C6" s="2" t="s">
        <v>6</v>
      </c>
      <c r="D6" s="2"/>
      <c r="E6" s="1">
        <v>-4</v>
      </c>
      <c r="F6" s="1">
        <v>-1</v>
      </c>
      <c r="G6" s="1">
        <v>-2</v>
      </c>
      <c r="H6" s="1">
        <v>2</v>
      </c>
      <c r="I6" s="1">
        <f t="shared" si="0"/>
        <v>-5</v>
      </c>
    </row>
    <row r="7" spans="3:9" x14ac:dyDescent="0.35">
      <c r="C7" s="2" t="s">
        <v>99</v>
      </c>
      <c r="D7" s="2"/>
      <c r="E7" s="1">
        <v>-6</v>
      </c>
      <c r="F7" s="1">
        <v>-4</v>
      </c>
      <c r="G7" s="1">
        <v>-17</v>
      </c>
      <c r="H7" s="1">
        <v>-10</v>
      </c>
      <c r="I7" s="1">
        <f t="shared" si="0"/>
        <v>-37</v>
      </c>
    </row>
    <row r="8" spans="3:9" x14ac:dyDescent="0.35">
      <c r="C8" s="2" t="s">
        <v>100</v>
      </c>
      <c r="D8" s="2"/>
      <c r="E8" s="1">
        <v>4</v>
      </c>
      <c r="F8" s="1">
        <v>-8</v>
      </c>
      <c r="G8" s="1">
        <v>0</v>
      </c>
      <c r="H8" s="1">
        <v>18</v>
      </c>
      <c r="I8" s="1">
        <f t="shared" si="0"/>
        <v>14</v>
      </c>
    </row>
    <row r="9" spans="3:9" x14ac:dyDescent="0.35">
      <c r="C9" s="3" t="s">
        <v>101</v>
      </c>
      <c r="D9" s="3"/>
      <c r="E9" s="4">
        <f>+E4-E5-E6-E7-E8</f>
        <v>41</v>
      </c>
      <c r="F9" s="4">
        <f>+F4-F5-F6-F7-F8</f>
        <v>45</v>
      </c>
      <c r="G9" s="4">
        <f>+G4-G5-G6-G7-G8</f>
        <v>28</v>
      </c>
      <c r="H9" s="4">
        <f>+H4-H5-H6-H7-H8</f>
        <v>-18</v>
      </c>
      <c r="I9" s="4">
        <f t="shared" si="0"/>
        <v>96</v>
      </c>
    </row>
    <row r="10" spans="3:9" x14ac:dyDescent="0.35">
      <c r="C10" s="2" t="s">
        <v>102</v>
      </c>
      <c r="D10" s="2"/>
      <c r="E10" s="1">
        <v>-68</v>
      </c>
      <c r="F10" s="1">
        <v>-64</v>
      </c>
      <c r="G10" s="1">
        <v>-37</v>
      </c>
      <c r="H10" s="1">
        <v>-2</v>
      </c>
      <c r="I10" s="1">
        <f t="shared" si="0"/>
        <v>-171</v>
      </c>
    </row>
    <row r="11" spans="3:9" x14ac:dyDescent="0.35">
      <c r="C11" s="2" t="s">
        <v>103</v>
      </c>
      <c r="D11" s="2"/>
      <c r="E11" s="1">
        <v>0</v>
      </c>
      <c r="F11" s="1">
        <v>0</v>
      </c>
      <c r="G11" s="1">
        <v>0</v>
      </c>
      <c r="H11" s="1">
        <v>0</v>
      </c>
      <c r="I11" s="1">
        <f t="shared" si="0"/>
        <v>0</v>
      </c>
    </row>
    <row r="12" spans="3:9" x14ac:dyDescent="0.35">
      <c r="C12" s="2" t="s">
        <v>104</v>
      </c>
      <c r="D12" s="2"/>
      <c r="E12" s="1">
        <v>-3</v>
      </c>
      <c r="F12" s="1">
        <v>6</v>
      </c>
      <c r="G12" s="1">
        <v>-2</v>
      </c>
      <c r="H12" s="1">
        <v>-2</v>
      </c>
      <c r="I12" s="1">
        <f t="shared" si="0"/>
        <v>-1</v>
      </c>
    </row>
    <row r="13" spans="3:9" x14ac:dyDescent="0.35">
      <c r="C13" s="2"/>
      <c r="D13" s="2"/>
      <c r="E13" s="1"/>
      <c r="F13" s="1"/>
      <c r="G13" s="1"/>
      <c r="H13" s="1"/>
      <c r="I13" s="1"/>
    </row>
    <row r="14" spans="3:9" x14ac:dyDescent="0.35">
      <c r="C14" s="3" t="s">
        <v>105</v>
      </c>
      <c r="D14" s="3"/>
      <c r="E14" s="4">
        <f>+E9-E10-E11-E12</f>
        <v>112</v>
      </c>
      <c r="F14" s="4">
        <f>+F9-F10-F11-F12</f>
        <v>103</v>
      </c>
      <c r="G14" s="4">
        <f>+G9-G10-G11-G12</f>
        <v>67</v>
      </c>
      <c r="H14" s="4">
        <f>+H9-H10-H11-H12</f>
        <v>-14</v>
      </c>
      <c r="I14" s="4">
        <f>+E14+F14+G14+H14</f>
        <v>268</v>
      </c>
    </row>
    <row r="15" spans="3:9" x14ac:dyDescent="0.35">
      <c r="C15" s="2"/>
      <c r="D15" s="2"/>
      <c r="E15" s="1"/>
      <c r="F15" s="1"/>
      <c r="G15" s="1"/>
      <c r="H15" s="1"/>
      <c r="I15" s="1">
        <f>+E15+F15+G15+H15</f>
        <v>0</v>
      </c>
    </row>
    <row r="16" spans="3:9" x14ac:dyDescent="0.35">
      <c r="C16" s="2" t="s">
        <v>106</v>
      </c>
      <c r="D16" s="2"/>
      <c r="E16" s="1"/>
      <c r="F16" s="1"/>
      <c r="G16" s="1"/>
      <c r="H16" s="1"/>
      <c r="I16" s="1">
        <f>+E16+F16+G16+H16</f>
        <v>0</v>
      </c>
    </row>
    <row r="17" spans="3:9" x14ac:dyDescent="0.35">
      <c r="C17" s="3" t="s">
        <v>107</v>
      </c>
      <c r="D17" s="3"/>
      <c r="E17" s="4">
        <v>730</v>
      </c>
      <c r="F17" s="4">
        <v>1324</v>
      </c>
      <c r="G17" s="4">
        <v>715</v>
      </c>
      <c r="H17" s="4">
        <v>-123</v>
      </c>
      <c r="I17" s="4">
        <f>+E17+F17+G17+H17</f>
        <v>2646</v>
      </c>
    </row>
    <row r="18" spans="3:9" x14ac:dyDescent="0.35">
      <c r="C18" s="3" t="s">
        <v>108</v>
      </c>
      <c r="D18" s="3"/>
      <c r="E18" s="4"/>
      <c r="F18" s="4"/>
      <c r="G18" s="4"/>
      <c r="H18" s="4"/>
      <c r="I18" s="4">
        <v>352</v>
      </c>
    </row>
    <row r="19" spans="3:9" x14ac:dyDescent="0.35">
      <c r="C19" s="3"/>
      <c r="D19" s="3"/>
      <c r="E19" s="4"/>
      <c r="F19" s="4"/>
      <c r="G19" s="4"/>
      <c r="H19" s="4"/>
      <c r="I19" s="4"/>
    </row>
    <row r="20" spans="3:9" x14ac:dyDescent="0.35">
      <c r="C20" s="3" t="s">
        <v>109</v>
      </c>
      <c r="D20" s="3"/>
      <c r="E20" s="4"/>
      <c r="F20" s="4"/>
      <c r="G20" s="4"/>
      <c r="H20" s="4"/>
      <c r="I20" s="4">
        <f>+I17+I18</f>
        <v>2998</v>
      </c>
    </row>
    <row r="21" spans="3:9" x14ac:dyDescent="0.35">
      <c r="C21" s="2"/>
      <c r="D21" s="2"/>
      <c r="E21" s="1"/>
      <c r="F21" s="1"/>
      <c r="G21" s="1"/>
      <c r="H21" s="1"/>
      <c r="I21" s="1">
        <f>+E21+F21+G21+H21</f>
        <v>0</v>
      </c>
    </row>
    <row r="22" spans="3:9" x14ac:dyDescent="0.35">
      <c r="C22" s="2"/>
      <c r="D22" s="2"/>
      <c r="E22" s="1"/>
      <c r="F22" s="1"/>
      <c r="G22" s="1"/>
      <c r="H22" s="1"/>
      <c r="I22" s="1"/>
    </row>
    <row r="23" spans="3:9" x14ac:dyDescent="0.35">
      <c r="C23" s="3" t="s">
        <v>110</v>
      </c>
      <c r="D23" s="3"/>
      <c r="E23" s="4">
        <v>261</v>
      </c>
      <c r="F23" s="4">
        <v>765</v>
      </c>
      <c r="G23" s="4">
        <v>208</v>
      </c>
      <c r="H23" s="4">
        <v>345</v>
      </c>
      <c r="I23" s="4">
        <f>+E23+F23+G23+H23</f>
        <v>1579</v>
      </c>
    </row>
    <row r="24" spans="3:9" x14ac:dyDescent="0.35">
      <c r="C24" s="3" t="s">
        <v>111</v>
      </c>
      <c r="D24" s="3"/>
      <c r="E24" s="4"/>
      <c r="F24" s="4"/>
      <c r="G24" s="4"/>
      <c r="H24" s="4"/>
      <c r="I24" s="4">
        <v>1286</v>
      </c>
    </row>
    <row r="25" spans="3:9" x14ac:dyDescent="0.35">
      <c r="C25" s="3" t="s">
        <v>112</v>
      </c>
      <c r="D25" s="3"/>
      <c r="E25" s="4"/>
      <c r="F25" s="4"/>
      <c r="G25" s="4"/>
      <c r="H25" s="4"/>
      <c r="I25" s="4">
        <f>+I23+I24</f>
        <v>2865</v>
      </c>
    </row>
    <row r="26" spans="3:9" x14ac:dyDescent="0.35">
      <c r="C26" s="2"/>
      <c r="D26" s="2"/>
      <c r="E26" s="1"/>
      <c r="F26" s="1"/>
      <c r="G26" s="1"/>
      <c r="H26" s="1"/>
      <c r="I26" s="1">
        <f>+E26+F26+G26+H26</f>
        <v>0</v>
      </c>
    </row>
    <row r="27" spans="3:9" x14ac:dyDescent="0.35">
      <c r="C27" s="2" t="s">
        <v>113</v>
      </c>
      <c r="D27" s="2"/>
      <c r="E27" s="1">
        <v>-26</v>
      </c>
      <c r="F27" s="1">
        <v>-60</v>
      </c>
      <c r="G27" s="1">
        <v>-9</v>
      </c>
      <c r="H27" s="1">
        <v>0</v>
      </c>
      <c r="I27" s="1">
        <f>+E27+F27+G27+H27</f>
        <v>-95</v>
      </c>
    </row>
    <row r="28" spans="3:9" x14ac:dyDescent="0.35">
      <c r="C28" s="2" t="s">
        <v>114</v>
      </c>
      <c r="D28" s="2"/>
      <c r="E28" s="1">
        <v>276</v>
      </c>
      <c r="F28" s="1">
        <v>179</v>
      </c>
      <c r="G28" s="1">
        <v>247</v>
      </c>
      <c r="H28" s="1">
        <v>1</v>
      </c>
      <c r="I28" s="1">
        <f>+E28+F28+G28+H28</f>
        <v>703</v>
      </c>
    </row>
    <row r="29" spans="3:9" x14ac:dyDescent="0.35">
      <c r="C29" s="4"/>
      <c r="D29" s="4"/>
      <c r="E29" s="4"/>
      <c r="F29" s="4"/>
      <c r="G29" s="4"/>
      <c r="H29" s="4"/>
      <c r="I29" s="4"/>
    </row>
    <row r="30" spans="3:9" x14ac:dyDescent="0.35">
      <c r="C30" s="1"/>
      <c r="D30" s="1"/>
      <c r="E30" s="1"/>
      <c r="F30" s="1"/>
      <c r="G30" s="1"/>
      <c r="H30" s="1"/>
      <c r="I30" s="1"/>
    </row>
    <row r="31" spans="3:9" x14ac:dyDescent="0.35">
      <c r="C31" s="18" t="s">
        <v>116</v>
      </c>
      <c r="D31" s="18"/>
      <c r="E31" s="19" t="s">
        <v>93</v>
      </c>
      <c r="F31" s="19" t="s">
        <v>94</v>
      </c>
      <c r="G31" s="19" t="s">
        <v>95</v>
      </c>
      <c r="H31" s="19" t="s">
        <v>96</v>
      </c>
      <c r="I31" s="19" t="s">
        <v>97</v>
      </c>
    </row>
    <row r="32" spans="3:9" x14ac:dyDescent="0.35">
      <c r="C32" s="3" t="s">
        <v>0</v>
      </c>
      <c r="D32" s="3"/>
      <c r="E32" s="4">
        <v>513</v>
      </c>
      <c r="F32" s="4">
        <v>1764</v>
      </c>
      <c r="G32" s="4">
        <v>706</v>
      </c>
      <c r="H32" s="4">
        <v>23</v>
      </c>
      <c r="I32" s="4">
        <f t="shared" ref="I32:I45" si="1">+E32+F32+G32+H32</f>
        <v>3006</v>
      </c>
    </row>
    <row r="33" spans="3:9" x14ac:dyDescent="0.35">
      <c r="C33" s="3" t="s">
        <v>8</v>
      </c>
      <c r="D33" s="3"/>
      <c r="E33" s="4">
        <v>-103</v>
      </c>
      <c r="F33" s="4">
        <v>-25</v>
      </c>
      <c r="G33" s="4">
        <v>-112</v>
      </c>
      <c r="H33" s="4">
        <v>-28</v>
      </c>
      <c r="I33" s="4">
        <f t="shared" si="1"/>
        <v>-268</v>
      </c>
    </row>
    <row r="34" spans="3:9" x14ac:dyDescent="0.35">
      <c r="C34" s="2" t="s">
        <v>98</v>
      </c>
      <c r="D34" s="2"/>
      <c r="E34" s="1">
        <v>-8</v>
      </c>
      <c r="F34" s="1">
        <v>-24</v>
      </c>
      <c r="G34" s="1">
        <v>-8</v>
      </c>
      <c r="H34" s="1">
        <v>0</v>
      </c>
      <c r="I34" s="1">
        <f t="shared" si="1"/>
        <v>-40</v>
      </c>
    </row>
    <row r="35" spans="3:9" x14ac:dyDescent="0.35">
      <c r="C35" s="2" t="s">
        <v>6</v>
      </c>
      <c r="D35" s="2"/>
      <c r="E35" s="1">
        <v>-3</v>
      </c>
      <c r="F35" s="1">
        <v>-2</v>
      </c>
      <c r="G35" s="1">
        <v>-70</v>
      </c>
      <c r="H35" s="1">
        <v>2</v>
      </c>
      <c r="I35" s="1">
        <f t="shared" si="1"/>
        <v>-73</v>
      </c>
    </row>
    <row r="36" spans="3:9" x14ac:dyDescent="0.35">
      <c r="C36" s="2" t="s">
        <v>99</v>
      </c>
      <c r="D36" s="2"/>
      <c r="E36" s="1">
        <v>-27</v>
      </c>
      <c r="F36" s="1">
        <v>-31</v>
      </c>
      <c r="G36" s="1">
        <v>-33</v>
      </c>
      <c r="H36" s="1">
        <v>-9</v>
      </c>
      <c r="I36" s="1">
        <f t="shared" si="1"/>
        <v>-100</v>
      </c>
    </row>
    <row r="37" spans="3:9" x14ac:dyDescent="0.35">
      <c r="C37" s="2" t="s">
        <v>100</v>
      </c>
      <c r="D37" s="2"/>
      <c r="E37" s="1">
        <v>14</v>
      </c>
      <c r="F37" s="1">
        <v>-6</v>
      </c>
      <c r="G37" s="1">
        <v>2</v>
      </c>
      <c r="H37" s="1">
        <v>-2</v>
      </c>
      <c r="I37" s="1">
        <f t="shared" si="1"/>
        <v>8</v>
      </c>
    </row>
    <row r="38" spans="3:9" x14ac:dyDescent="0.35">
      <c r="C38" s="3" t="s">
        <v>101</v>
      </c>
      <c r="D38" s="3"/>
      <c r="E38" s="4">
        <f>+E33-E34-E35-E36-E37</f>
        <v>-79</v>
      </c>
      <c r="F38" s="4">
        <f>+F33-F34-F35-F36-F37</f>
        <v>38</v>
      </c>
      <c r="G38" s="4">
        <f>+G33-G34-G35-G36-G37</f>
        <v>-3</v>
      </c>
      <c r="H38" s="4">
        <f>+H33-H34-H35-H36-H37</f>
        <v>-19</v>
      </c>
      <c r="I38" s="4">
        <f t="shared" si="1"/>
        <v>-63</v>
      </c>
    </row>
    <row r="39" spans="3:9" x14ac:dyDescent="0.35">
      <c r="C39" s="2" t="s">
        <v>102</v>
      </c>
      <c r="D39" s="2"/>
      <c r="E39" s="1">
        <v>-94</v>
      </c>
      <c r="F39" s="1">
        <v>-69</v>
      </c>
      <c r="G39" s="1">
        <v>-52</v>
      </c>
      <c r="H39" s="1">
        <v>-3</v>
      </c>
      <c r="I39" s="1">
        <f t="shared" si="1"/>
        <v>-218</v>
      </c>
    </row>
    <row r="40" spans="3:9" x14ac:dyDescent="0.35">
      <c r="C40" s="2" t="s">
        <v>103</v>
      </c>
      <c r="D40" s="2"/>
      <c r="E40" s="1">
        <v>-2</v>
      </c>
      <c r="F40" s="1">
        <v>0</v>
      </c>
      <c r="G40" s="1">
        <v>0</v>
      </c>
      <c r="H40" s="1">
        <v>0</v>
      </c>
      <c r="I40" s="1">
        <f t="shared" si="1"/>
        <v>-2</v>
      </c>
    </row>
    <row r="41" spans="3:9" x14ac:dyDescent="0.35">
      <c r="C41" s="2" t="s">
        <v>104</v>
      </c>
      <c r="D41" s="2"/>
      <c r="E41" s="1">
        <v>0</v>
      </c>
      <c r="F41" s="1">
        <v>1</v>
      </c>
      <c r="G41" s="1">
        <v>-2</v>
      </c>
      <c r="H41" s="1">
        <v>0</v>
      </c>
      <c r="I41" s="1">
        <f t="shared" si="1"/>
        <v>-1</v>
      </c>
    </row>
    <row r="42" spans="3:9" x14ac:dyDescent="0.35">
      <c r="C42" s="3" t="s">
        <v>105</v>
      </c>
      <c r="D42" s="3"/>
      <c r="E42" s="4">
        <f>+E38-E39-E40-E41</f>
        <v>17</v>
      </c>
      <c r="F42" s="4">
        <f>+F38-F39-F40-F41</f>
        <v>106</v>
      </c>
      <c r="G42" s="4">
        <f>+G38-G39-G40-G41</f>
        <v>51</v>
      </c>
      <c r="H42" s="4">
        <f>+H38-H39-H40-H41</f>
        <v>-16</v>
      </c>
      <c r="I42" s="4">
        <f t="shared" si="1"/>
        <v>158</v>
      </c>
    </row>
    <row r="43" spans="3:9" x14ac:dyDescent="0.35">
      <c r="C43" s="2"/>
      <c r="D43" s="2"/>
      <c r="E43" s="1"/>
      <c r="F43" s="1"/>
      <c r="G43" s="1"/>
      <c r="H43" s="1"/>
      <c r="I43" s="1">
        <f t="shared" si="1"/>
        <v>0</v>
      </c>
    </row>
    <row r="44" spans="3:9" x14ac:dyDescent="0.35">
      <c r="C44" s="2" t="s">
        <v>106</v>
      </c>
      <c r="D44" s="2"/>
      <c r="E44" s="1"/>
      <c r="F44" s="1"/>
      <c r="G44" s="1"/>
      <c r="H44" s="1"/>
      <c r="I44" s="1">
        <f t="shared" si="1"/>
        <v>0</v>
      </c>
    </row>
    <row r="45" spans="3:9" x14ac:dyDescent="0.35">
      <c r="C45" s="3" t="s">
        <v>107</v>
      </c>
      <c r="D45" s="3"/>
      <c r="E45" s="4">
        <v>475</v>
      </c>
      <c r="F45" s="4">
        <v>1209</v>
      </c>
      <c r="G45" s="4">
        <v>528</v>
      </c>
      <c r="H45" s="4">
        <v>250</v>
      </c>
      <c r="I45" s="4">
        <f t="shared" si="1"/>
        <v>2462</v>
      </c>
    </row>
    <row r="46" spans="3:9" x14ac:dyDescent="0.35">
      <c r="C46" s="3" t="s">
        <v>108</v>
      </c>
      <c r="D46" s="3"/>
      <c r="E46" s="4"/>
      <c r="F46" s="4"/>
      <c r="G46" s="4"/>
      <c r="H46" s="4"/>
      <c r="I46" s="4">
        <v>548</v>
      </c>
    </row>
    <row r="47" spans="3:9" x14ac:dyDescent="0.35">
      <c r="C47" s="3" t="s">
        <v>109</v>
      </c>
      <c r="D47" s="3"/>
      <c r="E47" s="4"/>
      <c r="F47" s="4"/>
      <c r="G47" s="4"/>
      <c r="H47" s="4"/>
      <c r="I47" s="4">
        <f>+I45+I46</f>
        <v>3010</v>
      </c>
    </row>
    <row r="48" spans="3:9" x14ac:dyDescent="0.35">
      <c r="C48" s="2"/>
      <c r="D48" s="2"/>
      <c r="E48" s="1"/>
      <c r="F48" s="1"/>
      <c r="G48" s="1"/>
      <c r="H48" s="1"/>
      <c r="I48" s="1">
        <f>+E48+F48+G48+H48</f>
        <v>0</v>
      </c>
    </row>
    <row r="49" spans="3:9" x14ac:dyDescent="0.35">
      <c r="C49" s="3" t="s">
        <v>110</v>
      </c>
      <c r="D49" s="3"/>
      <c r="E49" s="4">
        <v>209</v>
      </c>
      <c r="F49" s="4">
        <v>780</v>
      </c>
      <c r="G49" s="4">
        <v>230</v>
      </c>
      <c r="H49" s="4">
        <v>390</v>
      </c>
      <c r="I49" s="4">
        <f>+E49+F49+G49+H49</f>
        <v>1609</v>
      </c>
    </row>
    <row r="50" spans="3:9" x14ac:dyDescent="0.35">
      <c r="C50" s="3" t="s">
        <v>111</v>
      </c>
      <c r="D50" s="3"/>
      <c r="E50" s="4"/>
      <c r="F50" s="4"/>
      <c r="G50" s="4"/>
      <c r="H50" s="4"/>
      <c r="I50" s="4">
        <v>1236</v>
      </c>
    </row>
    <row r="51" spans="3:9" x14ac:dyDescent="0.35">
      <c r="C51" s="3" t="s">
        <v>112</v>
      </c>
      <c r="D51" s="3"/>
      <c r="E51" s="4"/>
      <c r="F51" s="4"/>
      <c r="G51" s="4"/>
      <c r="H51" s="4"/>
      <c r="I51" s="4">
        <f>+I49+I50</f>
        <v>2845</v>
      </c>
    </row>
    <row r="52" spans="3:9" x14ac:dyDescent="0.35">
      <c r="C52" s="2"/>
      <c r="D52" s="2"/>
      <c r="E52" s="1"/>
      <c r="F52" s="1"/>
      <c r="G52" s="1"/>
      <c r="H52" s="1"/>
      <c r="I52" s="1">
        <f>+E52+F52+G52+H52</f>
        <v>0</v>
      </c>
    </row>
    <row r="53" spans="3:9" x14ac:dyDescent="0.35">
      <c r="C53" s="2" t="s">
        <v>113</v>
      </c>
      <c r="D53" s="2"/>
      <c r="E53" s="1">
        <v>-33</v>
      </c>
      <c r="F53" s="1">
        <v>-58</v>
      </c>
      <c r="G53" s="1">
        <v>-12</v>
      </c>
      <c r="H53" s="1">
        <v>0</v>
      </c>
      <c r="I53" s="1">
        <f>+E53+F53+G53+H53</f>
        <v>-103</v>
      </c>
    </row>
    <row r="54" spans="3:9" x14ac:dyDescent="0.35">
      <c r="C54" s="2" t="s">
        <v>114</v>
      </c>
      <c r="D54" s="2"/>
      <c r="E54" s="1">
        <v>236</v>
      </c>
      <c r="F54" s="1">
        <v>98</v>
      </c>
      <c r="G54" s="1">
        <v>114</v>
      </c>
      <c r="H54" s="1">
        <v>187</v>
      </c>
      <c r="I54" s="1">
        <f>+E54+F54+G54+H54</f>
        <v>635</v>
      </c>
    </row>
    <row r="55" spans="3:9" ht="15" thickBot="1" x14ac:dyDescent="0.4">
      <c r="C55" s="2"/>
      <c r="D55" s="2"/>
      <c r="E55" s="1" t="s">
        <v>165</v>
      </c>
      <c r="F55" s="1"/>
      <c r="G55" s="1"/>
      <c r="H55" s="1"/>
      <c r="I55" s="1"/>
    </row>
    <row r="56" spans="3:9" x14ac:dyDescent="0.35">
      <c r="C56" s="20" t="s">
        <v>164</v>
      </c>
      <c r="D56" s="21"/>
      <c r="E56" s="22" t="s">
        <v>93</v>
      </c>
      <c r="F56" s="22" t="s">
        <v>94</v>
      </c>
      <c r="G56" s="22" t="s">
        <v>95</v>
      </c>
      <c r="H56" s="22" t="s">
        <v>96</v>
      </c>
      <c r="I56" s="23" t="s">
        <v>97</v>
      </c>
    </row>
    <row r="57" spans="3:9" x14ac:dyDescent="0.35">
      <c r="C57" s="5" t="s">
        <v>0</v>
      </c>
      <c r="D57" s="2"/>
      <c r="E57" s="1">
        <f>+E3</f>
        <v>629</v>
      </c>
      <c r="F57" s="1">
        <f>+F3</f>
        <v>1544</v>
      </c>
      <c r="G57" s="1">
        <f>+G3</f>
        <v>701</v>
      </c>
      <c r="H57" s="1">
        <f>+H3</f>
        <v>23</v>
      </c>
      <c r="I57" s="6">
        <f>+I3</f>
        <v>2897</v>
      </c>
    </row>
    <row r="58" spans="3:9" x14ac:dyDescent="0.35">
      <c r="C58" s="5" t="s">
        <v>117</v>
      </c>
      <c r="D58" s="2"/>
      <c r="E58" s="1">
        <f>+E14</f>
        <v>112</v>
      </c>
      <c r="F58" s="1">
        <f>+F14</f>
        <v>103</v>
      </c>
      <c r="G58" s="1">
        <f>+G14</f>
        <v>67</v>
      </c>
      <c r="H58" s="1">
        <f>+H14</f>
        <v>-14</v>
      </c>
      <c r="I58" s="6">
        <f>+I14</f>
        <v>268</v>
      </c>
    </row>
    <row r="59" spans="3:9" x14ac:dyDescent="0.35">
      <c r="C59" s="5" t="s">
        <v>119</v>
      </c>
      <c r="D59" s="2"/>
      <c r="E59" s="7">
        <v>12</v>
      </c>
      <c r="F59" s="7">
        <v>10</v>
      </c>
      <c r="G59" s="7">
        <v>7</v>
      </c>
      <c r="H59" s="7">
        <v>10</v>
      </c>
      <c r="I59" s="8">
        <f>+I60/I58</f>
        <v>10.085820895522389</v>
      </c>
    </row>
    <row r="60" spans="3:9" x14ac:dyDescent="0.35">
      <c r="C60" s="9" t="s">
        <v>120</v>
      </c>
      <c r="D60" s="3"/>
      <c r="E60" s="4">
        <f>+E59*E58</f>
        <v>1344</v>
      </c>
      <c r="F60" s="4">
        <f>+F59*F58</f>
        <v>1030</v>
      </c>
      <c r="G60" s="4">
        <f>+G59*G58</f>
        <v>469</v>
      </c>
      <c r="H60" s="4">
        <f>+H59*H58</f>
        <v>-140</v>
      </c>
      <c r="I60" s="10">
        <f>SUM(E60:H60)</f>
        <v>2703</v>
      </c>
    </row>
    <row r="61" spans="3:9" x14ac:dyDescent="0.35">
      <c r="C61" s="5" t="s">
        <v>125</v>
      </c>
      <c r="D61" s="4"/>
      <c r="E61" s="1"/>
      <c r="F61" s="1"/>
      <c r="G61" s="1"/>
      <c r="H61" s="1"/>
      <c r="I61" s="6">
        <f>+'Consolidated Statments'!K51+'Consolidated Statments'!K52</f>
        <v>73</v>
      </c>
    </row>
    <row r="62" spans="3:9" x14ac:dyDescent="0.35">
      <c r="C62" s="5" t="s">
        <v>126</v>
      </c>
      <c r="D62" s="1"/>
      <c r="E62" s="1"/>
      <c r="F62" s="1"/>
      <c r="G62" s="1"/>
      <c r="H62" s="1"/>
      <c r="I62" s="6">
        <f>-'Consolidated Statments'!K78-'Consolidated Statments'!K81-'Consolidated Statments'!K65</f>
        <v>-1078</v>
      </c>
    </row>
    <row r="63" spans="3:9" x14ac:dyDescent="0.35">
      <c r="C63" s="5" t="s">
        <v>127</v>
      </c>
      <c r="D63" s="4"/>
      <c r="E63" s="1"/>
      <c r="F63" s="1"/>
      <c r="G63" s="1"/>
      <c r="H63" s="1"/>
      <c r="I63" s="6">
        <f>-'Consolidated Statments'!K61-'Consolidated Statments'!K72</f>
        <v>-74</v>
      </c>
    </row>
    <row r="64" spans="3:9" x14ac:dyDescent="0.35">
      <c r="C64" s="5" t="s">
        <v>128</v>
      </c>
      <c r="D64" s="1"/>
      <c r="E64" s="1"/>
      <c r="F64" s="1"/>
      <c r="G64" s="1"/>
      <c r="H64" s="1"/>
      <c r="I64" s="6">
        <f>-'Consolidated Statments'!K60-'Consolidated Statments'!K71</f>
        <v>-270</v>
      </c>
    </row>
    <row r="65" spans="3:9" x14ac:dyDescent="0.35">
      <c r="C65" s="5" t="s">
        <v>162</v>
      </c>
      <c r="D65" s="1"/>
      <c r="E65" s="1"/>
      <c r="F65" s="1"/>
      <c r="G65" s="1"/>
      <c r="H65" s="1"/>
      <c r="I65" s="6">
        <v>100</v>
      </c>
    </row>
    <row r="66" spans="3:9" x14ac:dyDescent="0.35">
      <c r="C66" s="9" t="s">
        <v>121</v>
      </c>
      <c r="D66" s="1"/>
      <c r="E66" s="1"/>
      <c r="F66" s="1"/>
      <c r="G66" s="1"/>
      <c r="H66" s="1"/>
      <c r="I66" s="10">
        <f>+SUM(I60:I65)</f>
        <v>1454</v>
      </c>
    </row>
    <row r="67" spans="3:9" x14ac:dyDescent="0.35">
      <c r="C67" s="5" t="s">
        <v>122</v>
      </c>
      <c r="D67" s="33"/>
      <c r="E67" s="33"/>
      <c r="F67" s="1"/>
      <c r="G67" s="1"/>
      <c r="H67" s="1"/>
      <c r="I67" s="6" cm="1">
        <f t="array" ref="I67">_FV(C69,"Acciones en circulación",TRUE)/1000000</f>
        <v>355.3433</v>
      </c>
    </row>
    <row r="68" spans="3:9" x14ac:dyDescent="0.35">
      <c r="C68" s="9" t="s">
        <v>123</v>
      </c>
      <c r="D68" s="4"/>
      <c r="E68" s="4"/>
      <c r="F68" s="4"/>
      <c r="G68" s="4"/>
      <c r="H68" s="4"/>
      <c r="I68" s="11">
        <f>+I66/I67</f>
        <v>4.0918176872900096</v>
      </c>
    </row>
    <row r="69" spans="3:9" x14ac:dyDescent="0.35">
      <c r="C69" s="5" t="e" vm="1">
        <v>#VALUE!</v>
      </c>
      <c r="D69" s="33"/>
      <c r="E69" s="1"/>
      <c r="F69" s="1"/>
      <c r="G69" s="1"/>
      <c r="H69" s="1"/>
      <c r="I69" s="12" cm="1">
        <f t="array" ref="I69">_FV(C69,"Precio")</f>
        <v>1.056</v>
      </c>
    </row>
    <row r="70" spans="3:9" x14ac:dyDescent="0.35">
      <c r="C70" s="9" t="s">
        <v>124</v>
      </c>
      <c r="D70" s="4"/>
      <c r="E70" s="4"/>
      <c r="F70" s="4"/>
      <c r="G70" s="4"/>
      <c r="H70" s="4"/>
      <c r="I70" s="13">
        <f>+I68/I69</f>
        <v>3.8748273553882666</v>
      </c>
    </row>
    <row r="71" spans="3:9" x14ac:dyDescent="0.35">
      <c r="C71" s="5"/>
      <c r="D71" s="1"/>
      <c r="E71" s="1"/>
      <c r="F71" s="1"/>
      <c r="G71" s="1"/>
      <c r="H71" s="1"/>
      <c r="I71" s="6"/>
    </row>
    <row r="72" spans="3:9" x14ac:dyDescent="0.35">
      <c r="C72" s="9" t="s">
        <v>129</v>
      </c>
      <c r="D72" s="33"/>
      <c r="E72" s="1"/>
      <c r="F72" s="1"/>
      <c r="G72" s="1"/>
      <c r="H72" s="1"/>
      <c r="I72" s="10">
        <v>361</v>
      </c>
    </row>
    <row r="73" spans="3:9" x14ac:dyDescent="0.35">
      <c r="C73" s="5" t="s">
        <v>118</v>
      </c>
      <c r="D73" s="1"/>
      <c r="E73" s="1"/>
      <c r="F73" s="1"/>
      <c r="G73" s="1"/>
      <c r="H73" s="1"/>
      <c r="I73" s="17">
        <v>7</v>
      </c>
    </row>
    <row r="74" spans="3:9" x14ac:dyDescent="0.35">
      <c r="C74" s="9" t="s">
        <v>130</v>
      </c>
      <c r="D74" s="1"/>
      <c r="E74" s="1"/>
      <c r="F74" s="1"/>
      <c r="G74" s="1"/>
      <c r="H74" s="1"/>
      <c r="I74" s="10">
        <f>+I73*I72</f>
        <v>2527</v>
      </c>
    </row>
    <row r="75" spans="3:9" x14ac:dyDescent="0.35">
      <c r="C75" s="5" t="s">
        <v>131</v>
      </c>
      <c r="D75" s="4"/>
      <c r="E75" s="4"/>
      <c r="F75" s="4"/>
      <c r="G75" s="4"/>
      <c r="H75" s="4"/>
      <c r="I75" s="6">
        <f>+I61+I62+I63+I64</f>
        <v>-1349</v>
      </c>
    </row>
    <row r="76" spans="3:9" x14ac:dyDescent="0.35">
      <c r="C76" s="5" t="s">
        <v>142</v>
      </c>
      <c r="D76" s="4"/>
      <c r="E76" s="4"/>
      <c r="F76" s="4"/>
      <c r="G76" s="4"/>
      <c r="H76" s="4"/>
      <c r="I76" s="6">
        <v>100</v>
      </c>
    </row>
    <row r="77" spans="3:9" x14ac:dyDescent="0.35">
      <c r="C77" s="9" t="s">
        <v>121</v>
      </c>
      <c r="D77" s="1"/>
      <c r="E77" s="1"/>
      <c r="F77" s="1"/>
      <c r="G77" s="1"/>
      <c r="H77" s="1"/>
      <c r="I77" s="10">
        <f>+I74+I75+I76</f>
        <v>1278</v>
      </c>
    </row>
    <row r="78" spans="3:9" x14ac:dyDescent="0.35">
      <c r="C78" s="5" t="s">
        <v>122</v>
      </c>
      <c r="D78" s="1"/>
      <c r="E78" s="1"/>
      <c r="F78" s="1"/>
      <c r="G78" s="1"/>
      <c r="H78" s="1"/>
      <c r="I78" s="6">
        <f>+I67</f>
        <v>355.3433</v>
      </c>
    </row>
    <row r="79" spans="3:9" x14ac:dyDescent="0.35">
      <c r="C79" s="9" t="s">
        <v>123</v>
      </c>
      <c r="D79" s="4"/>
      <c r="E79" s="4"/>
      <c r="F79" s="4"/>
      <c r="G79" s="4"/>
      <c r="H79" s="4"/>
      <c r="I79" s="11">
        <f>+I77/I78</f>
        <v>3.596522011249403</v>
      </c>
    </row>
    <row r="80" spans="3:9" ht="15" thickBot="1" x14ac:dyDescent="0.4">
      <c r="C80" s="14" t="s">
        <v>124</v>
      </c>
      <c r="D80" s="15"/>
      <c r="E80" s="15"/>
      <c r="F80" s="15"/>
      <c r="G80" s="15"/>
      <c r="H80" s="15"/>
      <c r="I80" s="16">
        <f>+I79/I69-1</f>
        <v>2.4057973591376922</v>
      </c>
    </row>
    <row r="81" spans="3:9" ht="15" thickBot="1" x14ac:dyDescent="0.4">
      <c r="C81" s="2"/>
      <c r="D81" s="1"/>
      <c r="E81" s="1"/>
      <c r="F81" s="1"/>
      <c r="G81" s="1"/>
      <c r="H81" s="1"/>
      <c r="I81" s="1"/>
    </row>
    <row r="82" spans="3:9" x14ac:dyDescent="0.35">
      <c r="C82" s="20" t="s">
        <v>140</v>
      </c>
      <c r="D82" s="21"/>
      <c r="E82" s="22" t="s">
        <v>136</v>
      </c>
      <c r="F82" s="23" t="s">
        <v>137</v>
      </c>
      <c r="G82" s="1"/>
      <c r="H82" s="1"/>
      <c r="I82" s="1"/>
    </row>
    <row r="83" spans="3:9" x14ac:dyDescent="0.35">
      <c r="C83" s="5" t="s">
        <v>138</v>
      </c>
      <c r="D83" s="4"/>
      <c r="E83" s="1">
        <v>300</v>
      </c>
      <c r="F83" s="6">
        <v>375</v>
      </c>
      <c r="G83" s="4"/>
      <c r="H83" s="4"/>
      <c r="I83" s="4"/>
    </row>
    <row r="84" spans="3:9" x14ac:dyDescent="0.35">
      <c r="C84" s="5" t="s">
        <v>139</v>
      </c>
      <c r="D84" s="1"/>
      <c r="E84" s="1">
        <v>575</v>
      </c>
      <c r="F84" s="6">
        <v>650</v>
      </c>
      <c r="G84" s="1"/>
      <c r="H84" s="1"/>
      <c r="I84" s="1"/>
    </row>
    <row r="85" spans="3:9" ht="15" thickBot="1" x14ac:dyDescent="0.4">
      <c r="C85" s="14" t="s">
        <v>141</v>
      </c>
      <c r="D85" s="27"/>
      <c r="E85" s="27">
        <f>+E84+E83</f>
        <v>875</v>
      </c>
      <c r="F85" s="28">
        <f>+F84+F83</f>
        <v>1025</v>
      </c>
      <c r="G85" s="1"/>
      <c r="H85" s="1"/>
      <c r="I85"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Consolidated Statments</vt:lpstr>
      <vt:lpstr>SOPT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dc:creator>
  <cp:lastModifiedBy>Edgar Fernández</cp:lastModifiedBy>
  <dcterms:created xsi:type="dcterms:W3CDTF">2022-04-29T17:47:33Z</dcterms:created>
  <dcterms:modified xsi:type="dcterms:W3CDTF">2022-09-29T14:44:26Z</dcterms:modified>
</cp:coreProperties>
</file>