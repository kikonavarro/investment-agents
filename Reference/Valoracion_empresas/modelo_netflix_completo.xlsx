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Financial Statements" sheetId="2" r:id="rId5"/>
    <sheet state="visible" name="Model" sheetId="3" r:id="rId6"/>
    <sheet state="visible" name="Valuation" sheetId="4" r:id="rId7"/>
  </sheets>
  <definedNames/>
  <calcPr/>
  <extLst>
    <ext uri="GoogleSheetsCustomDataVersion1">
      <go:sheetsCustomData xmlns:go="http://customooxmlschemas.google.com/" r:id="rId8" roundtripDataSignature="AMtx7mjBeOlOsMJv3gtc81cLouvvWm9+Fg=="/>
    </ext>
  </extLst>
</workbook>
</file>

<file path=xl/sharedStrings.xml><?xml version="1.0" encoding="utf-8"?>
<sst xmlns="http://schemas.openxmlformats.org/spreadsheetml/2006/main" count="553" uniqueCount="280">
  <si>
    <t>Netflix</t>
  </si>
  <si>
    <t xml:space="preserve">    SCENARIO SELECTION -&gt;</t>
  </si>
  <si>
    <t>Función</t>
  </si>
  <si>
    <t>Offset</t>
  </si>
  <si>
    <t>Model Assumptions</t>
  </si>
  <si>
    <t>Desref</t>
  </si>
  <si>
    <t>Assumptions Netflix</t>
  </si>
  <si>
    <t>FY2021</t>
  </si>
  <si>
    <t>FY2022</t>
  </si>
  <si>
    <t>FY2023</t>
  </si>
  <si>
    <t>FY2024</t>
  </si>
  <si>
    <t>FY2025</t>
  </si>
  <si>
    <t>FY2026</t>
  </si>
  <si>
    <t>FY2027</t>
  </si>
  <si>
    <t>Revenues United Estates &amp; Canada</t>
  </si>
  <si>
    <t>Base Case</t>
  </si>
  <si>
    <t>Bull Case</t>
  </si>
  <si>
    <t>Bear Case</t>
  </si>
  <si>
    <t>Paid Mememberships United Estates &amp; Canada</t>
  </si>
  <si>
    <t>Paid Mememberships Growth United Estates &amp; Canada</t>
  </si>
  <si>
    <t>Average Price United Estates &amp; Canada</t>
  </si>
  <si>
    <t>Average Price Growth United Estates &amp; Canada</t>
  </si>
  <si>
    <t>Revenues EMEA</t>
  </si>
  <si>
    <t>Paid Mememberships EMEA</t>
  </si>
  <si>
    <t>Paid Mememberships Growth EMEA</t>
  </si>
  <si>
    <t>Average Price EMEA</t>
  </si>
  <si>
    <t>Average Price Growth EMEA</t>
  </si>
  <si>
    <t>Revenues LATAM</t>
  </si>
  <si>
    <t>Paid Mememberships LATAM</t>
  </si>
  <si>
    <t>Paid Mememberships Growth LATAM</t>
  </si>
  <si>
    <t>Average Price LATAM</t>
  </si>
  <si>
    <t>Average Price Growth LATAM</t>
  </si>
  <si>
    <t>Revenues Asia-Pacific</t>
  </si>
  <si>
    <t>Paid Mememberships Asia-Pacific</t>
  </si>
  <si>
    <t>Paid Mememberships Growth Asia-Pacific</t>
  </si>
  <si>
    <t>Average Price Asia-Pacific</t>
  </si>
  <si>
    <t>Average Price Growth Asia-Pacific</t>
  </si>
  <si>
    <t>Other Revenues</t>
  </si>
  <si>
    <t>Other Revenues Growth</t>
  </si>
  <si>
    <t>COGS as % of Revenue</t>
  </si>
  <si>
    <t>Marketing as % of Revenue</t>
  </si>
  <si>
    <t>Technology and development as % of Revenue</t>
  </si>
  <si>
    <t>G&amp;A as % of Revenue</t>
  </si>
  <si>
    <t>CapEx Contenido</t>
  </si>
  <si>
    <t>CapEx Contenido Growth</t>
  </si>
  <si>
    <t>CapEx PPE as % of Revenues</t>
  </si>
  <si>
    <t>Vida útil activos contenido</t>
  </si>
  <si>
    <t>Vida útil activos PP&amp;E</t>
  </si>
  <si>
    <t>Other non-current assets as % of Revenues</t>
  </si>
  <si>
    <t>Other current assets as % of Revenues</t>
  </si>
  <si>
    <t>Accounts payable días</t>
  </si>
  <si>
    <t>Accrued expenses as % of revenues</t>
  </si>
  <si>
    <t>Deferred revenue as % of revenues</t>
  </si>
  <si>
    <t>Other non-current liabilities</t>
  </si>
  <si>
    <t>Total content liabilities</t>
  </si>
  <si>
    <t>Tax Rate</t>
  </si>
  <si>
    <t>Pay-out Ratio</t>
  </si>
  <si>
    <t>Minimal Cash</t>
  </si>
  <si>
    <t>Financial Statements</t>
  </si>
  <si>
    <t>Netflix - in $ thousands</t>
  </si>
  <si>
    <t>Q1-2022</t>
  </si>
  <si>
    <t>Q2-2022</t>
  </si>
  <si>
    <t>H1 2022</t>
  </si>
  <si>
    <t>Run-rate</t>
  </si>
  <si>
    <t>Q3-2022</t>
  </si>
  <si>
    <t>Q4-2022</t>
  </si>
  <si>
    <t>Q1-2023</t>
  </si>
  <si>
    <t>Q2-2023</t>
  </si>
  <si>
    <t>Q3-2023</t>
  </si>
  <si>
    <t>Q4-2023</t>
  </si>
  <si>
    <t>Revenues</t>
  </si>
  <si>
    <t>COGS</t>
  </si>
  <si>
    <t>Gross Profit</t>
  </si>
  <si>
    <t>Gross Margin</t>
  </si>
  <si>
    <t>Adjusted COGS</t>
  </si>
  <si>
    <t>Adjusted Gross Profit</t>
  </si>
  <si>
    <t>Adjusted Gross Margin</t>
  </si>
  <si>
    <t>Marketing</t>
  </si>
  <si>
    <t>Technology and development</t>
  </si>
  <si>
    <t>G&amp;A</t>
  </si>
  <si>
    <t>EBIT</t>
  </si>
  <si>
    <t>EBIT Margin</t>
  </si>
  <si>
    <t>Interest expense</t>
  </si>
  <si>
    <t>Interest and other income</t>
  </si>
  <si>
    <t>Taxes</t>
  </si>
  <si>
    <t>Net Income</t>
  </si>
  <si>
    <t>EPS</t>
  </si>
  <si>
    <t>Diluted Shares</t>
  </si>
  <si>
    <t>EBITDA</t>
  </si>
  <si>
    <t>EBITDA Margin</t>
  </si>
  <si>
    <t>Balance Sheet</t>
  </si>
  <si>
    <t>Cash</t>
  </si>
  <si>
    <t>Other current assets</t>
  </si>
  <si>
    <t>Current Assets</t>
  </si>
  <si>
    <t>Content assets</t>
  </si>
  <si>
    <t>PP&amp;E</t>
  </si>
  <si>
    <t>Other non-current assets</t>
  </si>
  <si>
    <t>Non-current Assets</t>
  </si>
  <si>
    <t>Total Assets</t>
  </si>
  <si>
    <t>Current content liabilities</t>
  </si>
  <si>
    <t>Accounts payable</t>
  </si>
  <si>
    <t>Accrued expenses and other liabilities</t>
  </si>
  <si>
    <t>Deferred revenue</t>
  </si>
  <si>
    <t>Short-term debt</t>
  </si>
  <si>
    <t>Current Liabilities</t>
  </si>
  <si>
    <t>Non-current content liabilities</t>
  </si>
  <si>
    <t>Long-term debt</t>
  </si>
  <si>
    <t>Other long-term liabilities</t>
  </si>
  <si>
    <t>Non-current Liabilities</t>
  </si>
  <si>
    <t>Equity</t>
  </si>
  <si>
    <t>Total Equity &amp; Liabilities</t>
  </si>
  <si>
    <t>Check</t>
  </si>
  <si>
    <t>Net Financial Debt</t>
  </si>
  <si>
    <t>Net Working Capital</t>
  </si>
  <si>
    <t>Total Finance Position</t>
  </si>
  <si>
    <t>Cash Flow</t>
  </si>
  <si>
    <t>Net income</t>
  </si>
  <si>
    <t>Additions to content assets</t>
  </si>
  <si>
    <t>Change in content liabilities</t>
  </si>
  <si>
    <t>Amortization of content assets</t>
  </si>
  <si>
    <t>D&amp;A</t>
  </si>
  <si>
    <t>Stock-based compensation expense</t>
  </si>
  <si>
    <t>Foreign currency remeasurement loss (gain) on debt</t>
  </si>
  <si>
    <t>Other non-cash items</t>
  </si>
  <si>
    <t>Deferred income taxes</t>
  </si>
  <si>
    <t>Changes in Working Capital</t>
  </si>
  <si>
    <t>Change in other current assets</t>
  </si>
  <si>
    <t>Change in accounts payable</t>
  </si>
  <si>
    <t>Change in accrued expenses and other liabilities</t>
  </si>
  <si>
    <t>Change in deferred revenue</t>
  </si>
  <si>
    <t>Change in other non-current assets and liabilities</t>
  </si>
  <si>
    <t>Operating Cash Flow</t>
  </si>
  <si>
    <t>Purchase of PP&amp;E</t>
  </si>
  <si>
    <t>Change in other assets</t>
  </si>
  <si>
    <t>Acquisitions</t>
  </si>
  <si>
    <t>Investing Cash Flow</t>
  </si>
  <si>
    <t>Free Cash Flow</t>
  </si>
  <si>
    <t>Repayments of debt</t>
  </si>
  <si>
    <t>Proceeds from issuance of common stock</t>
  </si>
  <si>
    <t>Repurchases of common stock</t>
  </si>
  <si>
    <t>Financing Cash Flow</t>
  </si>
  <si>
    <t>FX</t>
  </si>
  <si>
    <t>Total Cash Flow</t>
  </si>
  <si>
    <t>Cash BoP</t>
  </si>
  <si>
    <t>Cash EoP</t>
  </si>
  <si>
    <t>Model</t>
  </si>
  <si>
    <t>Financial Model</t>
  </si>
  <si>
    <t>Afterwards</t>
  </si>
  <si>
    <t>Paid net membership additions</t>
  </si>
  <si>
    <t>Paid memberships at end of period</t>
  </si>
  <si>
    <t>Average price</t>
  </si>
  <si>
    <t>Average price growth as %</t>
  </si>
  <si>
    <t>Membership growth as %</t>
  </si>
  <si>
    <t>Total Memberships Revenues</t>
  </si>
  <si>
    <t>Other Revenues Growth as %</t>
  </si>
  <si>
    <t>Total Revenues</t>
  </si>
  <si>
    <t>Total Revenue Growth</t>
  </si>
  <si>
    <t>D&amp;A of Content</t>
  </si>
  <si>
    <t>D&amp;A of PPE</t>
  </si>
  <si>
    <t>Marketing as % of revenues</t>
  </si>
  <si>
    <t>Technology and development as % of revenues</t>
  </si>
  <si>
    <t>G&amp;A as % of revenues</t>
  </si>
  <si>
    <t>EBITDA Growth</t>
  </si>
  <si>
    <t>Net Profit</t>
  </si>
  <si>
    <t>Net Profit Margin</t>
  </si>
  <si>
    <t>Cash and cash equivalents</t>
  </si>
  <si>
    <t>Current content assets</t>
  </si>
  <si>
    <t>Content assets, net</t>
  </si>
  <si>
    <t>Property and equipment, net</t>
  </si>
  <si>
    <t>Total Liabilities</t>
  </si>
  <si>
    <t>Depreciation and amortization of PP&amp;E</t>
  </si>
  <si>
    <t>Changes in Working Capital:</t>
  </si>
  <si>
    <t>Other non-current assets and liabilities</t>
  </si>
  <si>
    <t>Cash flow from operating activities</t>
  </si>
  <si>
    <t>Purchases of property and equipment</t>
  </si>
  <si>
    <t>Purchases of short-term investments</t>
  </si>
  <si>
    <t>Proceeds from sale of short term investments</t>
  </si>
  <si>
    <t>Proceeds from maturities of short-term investments</t>
  </si>
  <si>
    <t>Cash flow from investing activities</t>
  </si>
  <si>
    <t>Proceeds from issuance of debt</t>
  </si>
  <si>
    <t>Debt issuance costs</t>
  </si>
  <si>
    <t>Other financing activities</t>
  </si>
  <si>
    <t>Taxes related to net share settlement of equity awards</t>
  </si>
  <si>
    <t>Cash flow from financing activities</t>
  </si>
  <si>
    <t>Effect of exchange rate</t>
  </si>
  <si>
    <t>Net increase (decrease) in cash</t>
  </si>
  <si>
    <t>Análisis CapEx</t>
  </si>
  <si>
    <t>As % of Revenues</t>
  </si>
  <si>
    <t>Change in Dollars</t>
  </si>
  <si>
    <t>Growth in %</t>
  </si>
  <si>
    <t>Growth in % 2019-2021</t>
  </si>
  <si>
    <t>CapEx PP&amp;E</t>
  </si>
  <si>
    <t>Análisis Amortización Contenido</t>
  </si>
  <si>
    <t>Amortización CapEx Antiguo</t>
  </si>
  <si>
    <t>Amortización CapEx 2022</t>
  </si>
  <si>
    <t>Amortización CapEx 2023</t>
  </si>
  <si>
    <t>Amortización CapEx 2024</t>
  </si>
  <si>
    <t>Amortización CapEx 2025</t>
  </si>
  <si>
    <t>Amortización CapEx 2026</t>
  </si>
  <si>
    <t>Total Amortizacion CapEx</t>
  </si>
  <si>
    <t>Análisis Amortización PP&amp;E</t>
  </si>
  <si>
    <t>Total Amortization CapEx PP&amp;E</t>
  </si>
  <si>
    <t>Análisis Other Non-current Assets</t>
  </si>
  <si>
    <t>As % of revenues</t>
  </si>
  <si>
    <t>Growth in dollars</t>
  </si>
  <si>
    <t>Dias de pago</t>
  </si>
  <si>
    <t>Análisis Deuda</t>
  </si>
  <si>
    <t>5.5% Febrero 2022</t>
  </si>
  <si>
    <t>5.75% Marzo 2024</t>
  </si>
  <si>
    <t>5.875% Febrero 2025</t>
  </si>
  <si>
    <t>3% Junio 2025</t>
  </si>
  <si>
    <t>3.625% Junio 2025</t>
  </si>
  <si>
    <t>4.375% Noviembre 2026</t>
  </si>
  <si>
    <t>Total Flujo Salida</t>
  </si>
  <si>
    <t>Análisis Interéses</t>
  </si>
  <si>
    <t>Cash Flow Forecast</t>
  </si>
  <si>
    <t>Other balance sheet changes - Assets</t>
  </si>
  <si>
    <t>Other balance sheet changes - Liabilities</t>
  </si>
  <si>
    <t>Change in Working Capital</t>
  </si>
  <si>
    <t>CapEx - Content</t>
  </si>
  <si>
    <t>CapEx - PP&amp;E</t>
  </si>
  <si>
    <t>Unlevered Free Cash Flow</t>
  </si>
  <si>
    <t>Financial Expenses</t>
  </si>
  <si>
    <t>Change in Debt</t>
  </si>
  <si>
    <t>Dividends</t>
  </si>
  <si>
    <t>Share Buybacks</t>
  </si>
  <si>
    <t>Increase in Capital</t>
  </si>
  <si>
    <t>Total Change in Cash</t>
  </si>
  <si>
    <t xml:space="preserve">Total Shareholder Return </t>
  </si>
  <si>
    <t>Valuation</t>
  </si>
  <si>
    <t>VALUATION</t>
  </si>
  <si>
    <t>2022E</t>
  </si>
  <si>
    <t>2023E</t>
  </si>
  <si>
    <t>2024E</t>
  </si>
  <si>
    <t>2025E</t>
  </si>
  <si>
    <t>2026E</t>
  </si>
  <si>
    <t>Current Valuation Metrics (USD m)</t>
  </si>
  <si>
    <t>Valuation Metrics (USD m)</t>
  </si>
  <si>
    <t>FY 2021A</t>
  </si>
  <si>
    <t>FY 2022E</t>
  </si>
  <si>
    <t>FY 2023E</t>
  </si>
  <si>
    <t>FY 2024E</t>
  </si>
  <si>
    <t>#VALUE!</t>
  </si>
  <si>
    <t>Current Price</t>
  </si>
  <si>
    <t>Shares outstading</t>
  </si>
  <si>
    <t>Other Balance Sheet Changes</t>
  </si>
  <si>
    <t>Market Cap</t>
  </si>
  <si>
    <t>(+) Financial Debt</t>
  </si>
  <si>
    <t>(-)/(+) Working Capital</t>
  </si>
  <si>
    <t>Maintenance CapEx</t>
  </si>
  <si>
    <t>(+) Other</t>
  </si>
  <si>
    <t>Growth CapEx</t>
  </si>
  <si>
    <t>(-) Cash</t>
  </si>
  <si>
    <t>EV</t>
  </si>
  <si>
    <t>WACC</t>
  </si>
  <si>
    <t>Discount Factor</t>
  </si>
  <si>
    <t>EBIT LTM</t>
  </si>
  <si>
    <t>EV/EBIT</t>
  </si>
  <si>
    <t>Terminal Value - on FCF</t>
  </si>
  <si>
    <t>UFCF plus TV</t>
  </si>
  <si>
    <t>Net Profit LTM</t>
  </si>
  <si>
    <t>Operating Cash Flow LTM</t>
  </si>
  <si>
    <t>PV of UFCF plus TV</t>
  </si>
  <si>
    <t>PE</t>
  </si>
  <si>
    <t>EV/OCF LTM</t>
  </si>
  <si>
    <t>Enterprise Value</t>
  </si>
  <si>
    <t>PE Ex-Cash</t>
  </si>
  <si>
    <t>EqV/OCF LTM</t>
  </si>
  <si>
    <t>Less Current Net Debt at 31/12/2021</t>
  </si>
  <si>
    <t>Equity Value</t>
  </si>
  <si>
    <t>EBITDA LTM</t>
  </si>
  <si>
    <t>Normalized FCF</t>
  </si>
  <si>
    <t>Shares Outstanding</t>
  </si>
  <si>
    <t>EV/EBITDA LTM</t>
  </si>
  <si>
    <t>Normalized FCF Yield</t>
  </si>
  <si>
    <t>Equity Value per Share in USD</t>
  </si>
  <si>
    <t>WACC and TV Multiple Impact on Equity Value per Share</t>
  </si>
  <si>
    <t>Exit TV Multiple</t>
  </si>
  <si>
    <t xml:space="preserve">WACC 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</si>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</sst>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0;\(#,##0.00\);&quot;-&quot;"/>
    <numFmt numFmtId="165" formatCode="#,##0;\(#,##0\);&quot;-&quot;"/>
    <numFmt numFmtId="166" formatCode="0.0%"/>
    <numFmt numFmtId="167" formatCode="#,##0_);\(#,##0\);&quot;-&quot;"/>
    <numFmt numFmtId="168" formatCode="#,##0.0;\(#,##0.0\);&quot;-&quot;"/>
    <numFmt numFmtId="169" formatCode="#,##0.0\x_);\(#,##0.0\x\);&quot;-&quot;"/>
    <numFmt numFmtId="170" formatCode="_([$$-409]* #,##0.00_);_([$$-409]* \(#,##0.00\);_([$$-409]* &quot;-&quot;??_);_(@_)"/>
    <numFmt numFmtId="171" formatCode="0.000"/>
    <numFmt numFmtId="172" formatCode="#,##0.00_);\(#,##0.00\);&quot;-&quot;"/>
  </numFmts>
  <fonts count="14">
    <font>
      <sz val="11.0"/>
      <color theme="1"/>
      <name val="Calibri"/>
      <scheme val="minor"/>
    </font>
    <font>
      <sz val="10.0"/>
      <color theme="1"/>
      <name val="Arial Narrow"/>
    </font>
    <font>
      <b/>
      <sz val="10.0"/>
      <color theme="0"/>
      <name val="Arial Narrow"/>
    </font>
    <font>
      <b/>
      <i/>
      <sz val="10.0"/>
      <color theme="1"/>
      <name val="Arial Narrow"/>
    </font>
    <font>
      <b/>
      <sz val="10.0"/>
      <color theme="1"/>
      <name val="Arial Narrow"/>
    </font>
    <font>
      <b/>
      <i/>
      <sz val="10.0"/>
      <color theme="0"/>
      <name val="Arial Narrow"/>
    </font>
    <font>
      <sz val="10.0"/>
      <color rgb="FF0000FF"/>
      <name val="Arial Narrow"/>
    </font>
    <font>
      <sz val="10.0"/>
      <color rgb="FF00B050"/>
      <name val="Arial Narrow"/>
    </font>
    <font>
      <i/>
      <sz val="10.0"/>
      <color theme="1"/>
      <name val="Arial Narrow"/>
    </font>
    <font>
      <b/>
      <u/>
      <sz val="10.0"/>
      <color theme="1"/>
      <name val="Arial Narrow"/>
    </font>
    <font>
      <sz val="10.0"/>
      <color theme="0"/>
      <name val="Arial Narrow"/>
    </font>
    <font>
      <b/>
      <u/>
      <sz val="10.0"/>
      <color theme="1"/>
      <name val="Arial Narrow"/>
    </font>
    <font>
      <b/>
      <u/>
      <sz val="10.0"/>
      <color theme="1"/>
      <name val="Arial Narrow"/>
    </font>
    <font>
      <b/>
      <u/>
      <sz val="10.0"/>
      <color theme="1"/>
      <name val="Arial Narrow"/>
    </font>
  </fonts>
  <fills count="8">
    <fill>
      <patternFill patternType="none"/>
    </fill>
    <fill>
      <patternFill patternType="lightGray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rgb="FFF7F5F0"/>
        <bgColor rgb="FFF7F5F0"/>
      </patternFill>
    </fill>
    <fill>
      <patternFill patternType="solid">
        <fgColor theme="5"/>
        <bgColor theme="5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dotted">
        <color theme="5"/>
      </left>
      <right style="dotted">
        <color theme="5"/>
      </right>
      <top style="dotted">
        <color theme="5"/>
      </top>
      <bottom/>
    </border>
    <border>
      <left style="dotted">
        <color theme="5"/>
      </left>
      <right style="dotted">
        <color theme="5"/>
      </right>
    </border>
    <border>
      <left style="dotted">
        <color theme="5"/>
      </left>
      <right/>
      <top style="dotted">
        <color theme="5"/>
      </top>
      <bottom style="dotted">
        <color theme="5"/>
      </bottom>
    </border>
    <border>
      <top style="dotted">
        <color theme="5"/>
      </top>
      <bottom style="dotted">
        <color theme="5"/>
      </bottom>
    </border>
    <border>
      <left style="dotted">
        <color theme="5"/>
      </left>
      <right style="dotted">
        <color theme="5"/>
      </right>
      <top style="dotted">
        <color theme="5"/>
      </top>
      <bottom style="dotted">
        <color theme="5"/>
      </bottom>
    </border>
    <border>
      <right style="dotted">
        <color theme="5"/>
      </right>
      <top style="dotted">
        <color theme="5"/>
      </top>
      <bottom style="dotted">
        <color theme="5"/>
      </bottom>
    </border>
    <border>
      <left style="dotted">
        <color theme="5"/>
      </left>
      <right style="dotted">
        <color theme="5"/>
      </right>
      <bottom style="dotted">
        <color theme="5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center"/>
    </xf>
    <xf borderId="1" fillId="2" fontId="1" numFmtId="0" xfId="0" applyAlignment="1" applyBorder="1" applyFont="1">
      <alignment horizontal="right" vertical="center"/>
    </xf>
    <xf borderId="1" fillId="3" fontId="3" numFmtId="0" xfId="0" applyAlignment="1" applyBorder="1" applyFill="1" applyFont="1">
      <alignment horizontal="left" vertical="center"/>
    </xf>
    <xf borderId="1" fillId="3" fontId="4" numFmtId="0" xfId="0" applyAlignment="1" applyBorder="1" applyFont="1">
      <alignment vertical="center"/>
    </xf>
    <xf borderId="1" fillId="2" fontId="5" numFmtId="0" xfId="0" applyAlignment="1" applyBorder="1" applyFont="1">
      <alignment vertical="center"/>
    </xf>
    <xf borderId="1" fillId="3" fontId="1" numFmtId="0" xfId="0" applyAlignment="1" applyBorder="1" applyFont="1">
      <alignment vertical="center"/>
    </xf>
    <xf borderId="1" fillId="3" fontId="3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left" vertical="center"/>
    </xf>
    <xf borderId="1" fillId="2" fontId="2" numFmtId="17" xfId="0" applyAlignment="1" applyBorder="1" applyFont="1" applyNumberFormat="1">
      <alignment horizontal="right" vertical="center"/>
    </xf>
    <xf borderId="2" fillId="0" fontId="4" numFmtId="0" xfId="0" applyBorder="1" applyFont="1"/>
    <xf borderId="2" fillId="0" fontId="4" numFmtId="164" xfId="0" applyAlignment="1" applyBorder="1" applyFont="1" applyNumberFormat="1">
      <alignment horizontal="right" vertical="center"/>
    </xf>
    <xf borderId="2" fillId="0" fontId="1" numFmtId="165" xfId="0" applyAlignment="1" applyBorder="1" applyFont="1" applyNumberFormat="1">
      <alignment horizontal="right" vertical="center"/>
    </xf>
    <xf borderId="0" fillId="0" fontId="6" numFmtId="164" xfId="0" applyAlignment="1" applyFont="1" applyNumberFormat="1">
      <alignment horizontal="right" vertical="center"/>
    </xf>
    <xf borderId="0" fillId="0" fontId="1" numFmtId="165" xfId="0" applyAlignment="1" applyFont="1" applyNumberFormat="1">
      <alignment horizontal="right" vertical="center"/>
    </xf>
    <xf borderId="0" fillId="0" fontId="6" numFmtId="165" xfId="0" applyAlignment="1" applyFont="1" applyNumberFormat="1">
      <alignment horizontal="right" vertical="center"/>
    </xf>
    <xf borderId="2" fillId="0" fontId="1" numFmtId="10" xfId="0" applyAlignment="1" applyBorder="1" applyFont="1" applyNumberFormat="1">
      <alignment horizontal="right" vertical="center"/>
    </xf>
    <xf borderId="0" fillId="0" fontId="6" numFmtId="10" xfId="0" applyAlignment="1" applyFont="1" applyNumberFormat="1">
      <alignment horizontal="right" vertical="center"/>
    </xf>
    <xf borderId="2" fillId="0" fontId="1" numFmtId="164" xfId="0" applyAlignment="1" applyBorder="1" applyFont="1" applyNumberFormat="1">
      <alignment horizontal="right" vertical="center"/>
    </xf>
    <xf borderId="0" fillId="0" fontId="1" numFmtId="164" xfId="0" applyAlignment="1" applyFont="1" applyNumberFormat="1">
      <alignment horizontal="right" vertical="center"/>
    </xf>
    <xf borderId="0" fillId="0" fontId="7" numFmtId="164" xfId="0" applyAlignment="1" applyFont="1" applyNumberFormat="1">
      <alignment horizontal="right" vertical="center"/>
    </xf>
    <xf borderId="0" fillId="0" fontId="1" numFmtId="165" xfId="0" applyAlignment="1" applyFont="1" applyNumberFormat="1">
      <alignment horizontal="left" vertical="center"/>
    </xf>
    <xf borderId="1" fillId="4" fontId="2" numFmtId="165" xfId="0" applyAlignment="1" applyBorder="1" applyFill="1" applyFont="1" applyNumberFormat="1">
      <alignment horizontal="left" vertical="center"/>
    </xf>
    <xf borderId="1" fillId="4" fontId="2" numFmtId="165" xfId="0" applyAlignment="1" applyBorder="1" applyFont="1" applyNumberFormat="1">
      <alignment horizontal="right" vertical="center"/>
    </xf>
    <xf borderId="1" fillId="5" fontId="2" numFmtId="165" xfId="0" applyAlignment="1" applyBorder="1" applyFill="1" applyFont="1" applyNumberFormat="1">
      <alignment horizontal="right" vertical="center"/>
    </xf>
    <xf borderId="3" fillId="0" fontId="4" numFmtId="0" xfId="0" applyBorder="1" applyFont="1"/>
    <xf borderId="3" fillId="0" fontId="4" numFmtId="165" xfId="0" applyAlignment="1" applyBorder="1" applyFont="1" applyNumberFormat="1">
      <alignment horizontal="right" vertical="center"/>
    </xf>
    <xf borderId="0" fillId="0" fontId="8" numFmtId="0" xfId="0" applyFont="1"/>
    <xf borderId="0" fillId="0" fontId="1" numFmtId="166" xfId="0" applyAlignment="1" applyFont="1" applyNumberFormat="1">
      <alignment horizontal="right" vertical="center"/>
    </xf>
    <xf borderId="0" fillId="0" fontId="4" numFmtId="0" xfId="0" applyFont="1"/>
    <xf borderId="0" fillId="0" fontId="4" numFmtId="165" xfId="0" applyAlignment="1" applyFont="1" applyNumberFormat="1">
      <alignment horizontal="right" vertical="center"/>
    </xf>
    <xf borderId="4" fillId="0" fontId="4" numFmtId="0" xfId="0" applyBorder="1" applyFont="1"/>
    <xf borderId="4" fillId="0" fontId="4" numFmtId="165" xfId="0" applyAlignment="1" applyBorder="1" applyFont="1" applyNumberFormat="1">
      <alignment horizontal="right" vertical="center"/>
    </xf>
    <xf borderId="1" fillId="4" fontId="2" numFmtId="0" xfId="0" applyBorder="1" applyFont="1"/>
    <xf borderId="1" fillId="4" fontId="2" numFmtId="0" xfId="0" applyAlignment="1" applyBorder="1" applyFont="1">
      <alignment horizontal="right"/>
    </xf>
    <xf borderId="0" fillId="0" fontId="1" numFmtId="9" xfId="0" applyFont="1" applyNumberFormat="1"/>
    <xf borderId="0" fillId="0" fontId="9" numFmtId="165" xfId="0" applyAlignment="1" applyFont="1" applyNumberFormat="1">
      <alignment horizontal="left" vertical="center"/>
    </xf>
    <xf borderId="0" fillId="0" fontId="1" numFmtId="10" xfId="0" applyAlignment="1" applyFont="1" applyNumberFormat="1">
      <alignment horizontal="right" vertical="center"/>
    </xf>
    <xf borderId="3" fillId="0" fontId="4" numFmtId="165" xfId="0" applyAlignment="1" applyBorder="1" applyFont="1" applyNumberFormat="1">
      <alignment horizontal="left" vertical="center"/>
    </xf>
    <xf borderId="0" fillId="0" fontId="8" numFmtId="165" xfId="0" applyAlignment="1" applyFont="1" applyNumberFormat="1">
      <alignment horizontal="left" vertical="center"/>
    </xf>
    <xf borderId="0" fillId="0" fontId="8" numFmtId="166" xfId="0" applyAlignment="1" applyFont="1" applyNumberFormat="1">
      <alignment horizontal="right" vertical="center"/>
    </xf>
    <xf borderId="4" fillId="0" fontId="4" numFmtId="165" xfId="0" applyAlignment="1" applyBorder="1" applyFont="1" applyNumberFormat="1">
      <alignment horizontal="left" vertical="center"/>
    </xf>
    <xf borderId="0" fillId="0" fontId="4" numFmtId="165" xfId="0" applyAlignment="1" applyFont="1" applyNumberFormat="1">
      <alignment horizontal="left" vertical="center"/>
    </xf>
    <xf borderId="3" fillId="0" fontId="4" numFmtId="10" xfId="0" applyAlignment="1" applyBorder="1" applyFont="1" applyNumberFormat="1">
      <alignment horizontal="right" vertical="center"/>
    </xf>
    <xf borderId="3" fillId="0" fontId="1" numFmtId="165" xfId="0" applyAlignment="1" applyBorder="1" applyFont="1" applyNumberFormat="1">
      <alignment horizontal="right" vertical="center"/>
    </xf>
    <xf borderId="5" fillId="6" fontId="4" numFmtId="165" xfId="0" applyAlignment="1" applyBorder="1" applyFill="1" applyFont="1" applyNumberFormat="1">
      <alignment horizontal="left" vertical="center"/>
    </xf>
    <xf borderId="5" fillId="6" fontId="1" numFmtId="165" xfId="0" applyAlignment="1" applyBorder="1" applyFont="1" applyNumberFormat="1">
      <alignment horizontal="right" vertical="center"/>
    </xf>
    <xf borderId="5" fillId="6" fontId="4" numFmtId="165" xfId="0" applyAlignment="1" applyBorder="1" applyFont="1" applyNumberFormat="1">
      <alignment horizontal="right" vertical="center"/>
    </xf>
    <xf borderId="0" fillId="0" fontId="1" numFmtId="10" xfId="0" applyFont="1" applyNumberFormat="1"/>
    <xf borderId="0" fillId="0" fontId="10" numFmtId="0" xfId="0" applyFont="1"/>
    <xf borderId="1" fillId="2" fontId="2" numFmtId="0" xfId="0" applyAlignment="1" applyBorder="1" applyFont="1">
      <alignment horizontal="right" vertical="center"/>
    </xf>
    <xf borderId="0" fillId="0" fontId="1" numFmtId="164" xfId="0" applyFont="1" applyNumberFormat="1"/>
    <xf borderId="3" fillId="0" fontId="4" numFmtId="165" xfId="0" applyBorder="1" applyFont="1" applyNumberFormat="1"/>
    <xf borderId="0" fillId="0" fontId="1" numFmtId="165" xfId="0" applyFont="1" applyNumberFormat="1"/>
    <xf borderId="1" fillId="3" fontId="4" numFmtId="167" xfId="0" applyAlignment="1" applyBorder="1" applyFont="1" applyNumberFormat="1">
      <alignment horizontal="left" vertical="center"/>
    </xf>
    <xf borderId="1" fillId="3" fontId="4" numFmtId="167" xfId="0" applyAlignment="1" applyBorder="1" applyFont="1" applyNumberFormat="1">
      <alignment horizontal="right" vertical="center"/>
    </xf>
    <xf borderId="0" fillId="0" fontId="4" numFmtId="165" xfId="0" applyFont="1" applyNumberForma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1" fillId="3" fontId="6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horizontal="right" vertical="center"/>
    </xf>
    <xf borderId="0" fillId="0" fontId="1" numFmtId="166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right" vertical="center"/>
    </xf>
    <xf borderId="3" fillId="0" fontId="1" numFmtId="0" xfId="0" applyAlignment="1" applyBorder="1" applyFont="1">
      <alignment horizontal="left" vertical="center"/>
    </xf>
    <xf borderId="3" fillId="0" fontId="1" numFmtId="0" xfId="0" applyAlignment="1" applyBorder="1" applyFont="1">
      <alignment vertical="center"/>
    </xf>
    <xf borderId="3" fillId="0" fontId="1" numFmtId="167" xfId="0" applyAlignment="1" applyBorder="1" applyFont="1" applyNumberFormat="1">
      <alignment horizontal="right" vertical="center"/>
    </xf>
    <xf borderId="0" fillId="0" fontId="4" numFmtId="168" xfId="0" applyAlignment="1" applyFont="1" applyNumberFormat="1">
      <alignment horizontal="right" vertical="center"/>
    </xf>
    <xf borderId="2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vertical="center"/>
    </xf>
    <xf borderId="6" fillId="3" fontId="6" numFmtId="169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right" vertical="center"/>
    </xf>
    <xf borderId="2" fillId="0" fontId="8" numFmtId="0" xfId="0" applyAlignment="1" applyBorder="1" applyFont="1">
      <alignment horizontal="right" vertical="center"/>
    </xf>
    <xf borderId="2" fillId="0" fontId="1" numFmtId="167" xfId="0" applyAlignment="1" applyBorder="1" applyFont="1" applyNumberFormat="1">
      <alignment horizontal="right" vertical="center"/>
    </xf>
    <xf borderId="0" fillId="0" fontId="1" numFmtId="170" xfId="0" applyFont="1" applyNumberFormat="1"/>
    <xf borderId="2" fillId="0" fontId="1" numFmtId="166" xfId="0" applyAlignment="1" applyBorder="1" applyFont="1" applyNumberForma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167" xfId="0" applyAlignment="1" applyFont="1" applyNumberFormat="1">
      <alignment horizontal="right" vertical="center"/>
    </xf>
    <xf borderId="0" fillId="0" fontId="1" numFmtId="168" xfId="0" applyAlignment="1" applyFont="1" applyNumberFormat="1">
      <alignment horizontal="right" vertical="center"/>
    </xf>
    <xf borderId="0" fillId="0" fontId="1" numFmtId="167" xfId="0" applyAlignment="1" applyFont="1" applyNumberFormat="1">
      <alignment horizontal="right" vertical="center"/>
    </xf>
    <xf borderId="5" fillId="3" fontId="4" numFmtId="0" xfId="0" applyAlignment="1" applyBorder="1" applyFont="1">
      <alignment horizontal="left" vertical="center"/>
    </xf>
    <xf borderId="5" fillId="3" fontId="4" numFmtId="167" xfId="0" applyAlignment="1" applyBorder="1" applyFont="1" applyNumberFormat="1">
      <alignment horizontal="right" vertical="center"/>
    </xf>
    <xf borderId="0" fillId="0" fontId="1" numFmtId="167" xfId="0" applyFont="1" applyNumberFormat="1"/>
    <xf borderId="0" fillId="0" fontId="1" numFmtId="1" xfId="0" applyFont="1" applyNumberFormat="1"/>
    <xf borderId="1" fillId="7" fontId="4" numFmtId="0" xfId="0" applyBorder="1" applyFill="1" applyFont="1"/>
    <xf borderId="1" fillId="7" fontId="4" numFmtId="166" xfId="0" applyBorder="1" applyFont="1" applyNumberFormat="1"/>
    <xf borderId="0" fillId="0" fontId="4" numFmtId="164" xfId="0" applyAlignment="1" applyFont="1" applyNumberFormat="1">
      <alignment horizontal="right" vertical="center"/>
    </xf>
    <xf borderId="1" fillId="2" fontId="2" numFmtId="167" xfId="0" applyAlignment="1" applyBorder="1" applyFont="1" applyNumberFormat="1">
      <alignment horizontal="right" vertical="center"/>
    </xf>
    <xf borderId="0" fillId="0" fontId="11" numFmtId="167" xfId="0" applyAlignment="1" applyFont="1" applyNumberFormat="1">
      <alignment horizontal="right" vertical="center"/>
    </xf>
    <xf borderId="0" fillId="0" fontId="1" numFmtId="171" xfId="0" applyFont="1" applyNumberFormat="1"/>
    <xf borderId="0" fillId="0" fontId="2" numFmtId="164" xfId="0" applyAlignment="1" applyFont="1" applyNumberFormat="1">
      <alignment horizontal="right" vertical="center"/>
    </xf>
    <xf borderId="1" fillId="2" fontId="2" numFmtId="169" xfId="0" applyAlignment="1" applyBorder="1" applyFont="1" applyNumberFormat="1">
      <alignment horizontal="center" vertical="center"/>
    </xf>
    <xf borderId="7" fillId="2" fontId="2" numFmtId="169" xfId="0" applyAlignment="1" applyBorder="1" applyFont="1" applyNumberFormat="1">
      <alignment horizontal="center" vertical="center"/>
    </xf>
    <xf borderId="1" fillId="2" fontId="2" numFmtId="166" xfId="0" applyAlignment="1" applyBorder="1" applyFont="1" applyNumberFormat="1">
      <alignment horizontal="center" vertical="center"/>
    </xf>
    <xf borderId="0" fillId="0" fontId="1" numFmtId="172" xfId="0" applyAlignment="1" applyFont="1" applyNumberFormat="1">
      <alignment horizontal="center" vertical="center"/>
    </xf>
    <xf borderId="8" fillId="0" fontId="1" numFmtId="172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9" fillId="2" fontId="2" numFmtId="166" xfId="0" applyAlignment="1" applyBorder="1" applyFont="1" applyNumberFormat="1">
      <alignment horizontal="center" vertical="center"/>
    </xf>
    <xf borderId="10" fillId="0" fontId="1" numFmtId="172" xfId="0" applyAlignment="1" applyBorder="1" applyFont="1" applyNumberFormat="1">
      <alignment horizontal="center" vertical="center"/>
    </xf>
    <xf borderId="11" fillId="3" fontId="4" numFmtId="172" xfId="0" applyAlignment="1" applyBorder="1" applyFont="1" applyNumberFormat="1">
      <alignment horizontal="center" vertical="center"/>
    </xf>
    <xf borderId="12" fillId="0" fontId="1" numFmtId="172" xfId="0" applyAlignment="1" applyBorder="1" applyFont="1" applyNumberFormat="1">
      <alignment horizontal="center" vertical="center"/>
    </xf>
    <xf borderId="0" fillId="0" fontId="13" numFmtId="0" xfId="0" applyAlignment="1" applyFont="1">
      <alignment horizontal="left" vertical="center"/>
    </xf>
    <xf borderId="13" fillId="0" fontId="1" numFmtId="172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4976"/>
      </a:accent1>
      <a:accent2>
        <a:srgbClr val="B1CEBC"/>
      </a:accent2>
      <a:accent3>
        <a:srgbClr val="71697A"/>
      </a:accent3>
      <a:accent4>
        <a:srgbClr val="D9D2B6"/>
      </a:accent4>
      <a:accent5>
        <a:srgbClr val="7F9C90"/>
      </a:accent5>
      <a:accent6>
        <a:srgbClr val="E4BE9E"/>
      </a:accent6>
      <a:hlink>
        <a:srgbClr val="0079BF"/>
      </a:hlink>
      <a:folHlink>
        <a:srgbClr val="0079B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3.57"/>
    <col customWidth="1" min="2" max="2" width="46.57"/>
    <col customWidth="1" min="3" max="3" width="9.57"/>
    <col customWidth="1" min="4" max="10" width="15.71"/>
    <col customWidth="1" min="11" max="26" width="9.14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2" t="s">
        <v>0</v>
      </c>
      <c r="C2" s="3"/>
      <c r="D2" s="3"/>
      <c r="E2" s="4" t="s">
        <v>1</v>
      </c>
      <c r="F2" s="5"/>
      <c r="G2" s="5">
        <f>+Valuation!M2</f>
        <v>1</v>
      </c>
      <c r="H2" s="1" t="s">
        <v>2</v>
      </c>
      <c r="I2" s="1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6" t="s">
        <v>4</v>
      </c>
      <c r="C3" s="3"/>
      <c r="D3" s="3"/>
      <c r="E3" s="7"/>
      <c r="F3" s="7"/>
      <c r="G3" s="8" t="str">
        <f>IF(G2=1,"Base Case", IF(G2=2,"Bull Case", IF(G2=3,"Bear Case","-")))</f>
        <v>Base Case</v>
      </c>
      <c r="H3" s="1"/>
      <c r="I3" s="1" t="s">
        <v>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9" t="s">
        <v>6</v>
      </c>
      <c r="C5" s="10"/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 t="s">
        <v>13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1" t="s">
        <v>14</v>
      </c>
      <c r="C7" s="12"/>
      <c r="D7" s="13">
        <f>OFFSET(D7,$G$2,,,)</f>
        <v>12972100</v>
      </c>
      <c r="E7" s="13">
        <f t="array" ref="E7">OFFSET(E7,$G$2,,,)</f>
        <v>13893119.1</v>
      </c>
      <c r="F7" s="13">
        <f t="array" ref="F7">OFFSET(F7,$G$2,,,)</f>
        <v>14879530.56</v>
      </c>
      <c r="G7" s="13">
        <f t="shared" ref="G7:J7" si="1">OFFSET(G7,$G$2,,,)</f>
        <v>15935977.23</v>
      </c>
      <c r="H7" s="13">
        <f t="shared" si="1"/>
        <v>17067431.61</v>
      </c>
      <c r="I7" s="13">
        <f t="shared" si="1"/>
        <v>18279219.25</v>
      </c>
      <c r="J7" s="13">
        <f t="shared" si="1"/>
        <v>19577043.82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 t="s">
        <v>15</v>
      </c>
      <c r="C8" s="14"/>
      <c r="D8" s="15">
        <v>1.29721E7</v>
      </c>
      <c r="E8" s="15">
        <f t="shared" ref="E8:J8" si="2">+E13*E23</f>
        <v>13893119.1</v>
      </c>
      <c r="F8" s="15">
        <f t="shared" si="2"/>
        <v>14879530.56</v>
      </c>
      <c r="G8" s="15">
        <f t="shared" si="2"/>
        <v>15935977.23</v>
      </c>
      <c r="H8" s="15">
        <f t="shared" si="2"/>
        <v>17067431.61</v>
      </c>
      <c r="I8" s="15">
        <f t="shared" si="2"/>
        <v>18279219.25</v>
      </c>
      <c r="J8" s="15">
        <f t="shared" si="2"/>
        <v>19577043.82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 t="s">
        <v>16</v>
      </c>
      <c r="C9" s="14"/>
      <c r="D9" s="15">
        <v>1.29721E7</v>
      </c>
      <c r="E9" s="15">
        <f t="shared" ref="E9:J9" si="3">+E14*E24</f>
        <v>14162938.78</v>
      </c>
      <c r="F9" s="15">
        <f t="shared" si="3"/>
        <v>15463096.56</v>
      </c>
      <c r="G9" s="15">
        <f t="shared" si="3"/>
        <v>16882608.82</v>
      </c>
      <c r="H9" s="15">
        <f t="shared" si="3"/>
        <v>18432432.31</v>
      </c>
      <c r="I9" s="15">
        <f t="shared" si="3"/>
        <v>20124529.6</v>
      </c>
      <c r="J9" s="15">
        <f t="shared" si="3"/>
        <v>21971961.42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 t="s">
        <v>17</v>
      </c>
      <c r="C10" s="14"/>
      <c r="D10" s="15">
        <v>1.29721E7</v>
      </c>
      <c r="E10" s="15">
        <f t="shared" ref="E10:J10" si="4">+E15*E25</f>
        <v>13363857.42</v>
      </c>
      <c r="F10" s="15">
        <f t="shared" si="4"/>
        <v>13767445.91</v>
      </c>
      <c r="G10" s="15">
        <f t="shared" si="4"/>
        <v>14183222.78</v>
      </c>
      <c r="H10" s="15">
        <f t="shared" si="4"/>
        <v>14611556.11</v>
      </c>
      <c r="I10" s="15">
        <f t="shared" si="4"/>
        <v>15052825.1</v>
      </c>
      <c r="J10" s="15">
        <f t="shared" si="4"/>
        <v>15507420.42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1" t="s">
        <v>18</v>
      </c>
      <c r="C12" s="12"/>
      <c r="D12" s="13">
        <f t="shared" ref="D12:J12" si="5">OFFSET(D12,$G$2,,,)</f>
        <v>75215</v>
      </c>
      <c r="E12" s="13">
        <f t="shared" si="5"/>
        <v>76719.3</v>
      </c>
      <c r="F12" s="13">
        <f t="shared" si="5"/>
        <v>78253.686</v>
      </c>
      <c r="G12" s="13">
        <f t="shared" si="5"/>
        <v>79818.75972</v>
      </c>
      <c r="H12" s="13">
        <f t="shared" si="5"/>
        <v>81415.13491</v>
      </c>
      <c r="I12" s="13">
        <f t="shared" si="5"/>
        <v>83043.43761</v>
      </c>
      <c r="J12" s="13">
        <f t="shared" si="5"/>
        <v>84704.30636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 t="s">
        <v>15</v>
      </c>
      <c r="C13" s="14"/>
      <c r="D13" s="15">
        <v>75215.0</v>
      </c>
      <c r="E13" s="15">
        <f t="shared" ref="E13:J13" si="6">+D13*(1+E18)</f>
        <v>76719.3</v>
      </c>
      <c r="F13" s="15">
        <f t="shared" si="6"/>
        <v>78253.686</v>
      </c>
      <c r="G13" s="15">
        <f t="shared" si="6"/>
        <v>79818.75972</v>
      </c>
      <c r="H13" s="15">
        <f t="shared" si="6"/>
        <v>81415.13491</v>
      </c>
      <c r="I13" s="15">
        <f t="shared" si="6"/>
        <v>83043.43761</v>
      </c>
      <c r="J13" s="15">
        <f t="shared" si="6"/>
        <v>84704.30636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 t="s">
        <v>16</v>
      </c>
      <c r="C14" s="14"/>
      <c r="D14" s="15">
        <v>75215.0</v>
      </c>
      <c r="E14" s="15">
        <f t="shared" ref="E14:J14" si="7">+D14*(1+E19)</f>
        <v>77471.45</v>
      </c>
      <c r="F14" s="15">
        <f t="shared" si="7"/>
        <v>79795.5935</v>
      </c>
      <c r="G14" s="15">
        <f t="shared" si="7"/>
        <v>82189.46131</v>
      </c>
      <c r="H14" s="15">
        <f t="shared" si="7"/>
        <v>84655.14514</v>
      </c>
      <c r="I14" s="15">
        <f t="shared" si="7"/>
        <v>87194.7995</v>
      </c>
      <c r="J14" s="15">
        <f t="shared" si="7"/>
        <v>89810.64348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 t="s">
        <v>17</v>
      </c>
      <c r="C15" s="14"/>
      <c r="D15" s="15">
        <v>75215.0</v>
      </c>
      <c r="E15" s="15">
        <f t="shared" ref="E15:J15" si="8">+D15*(1+E20)</f>
        <v>75967.15</v>
      </c>
      <c r="F15" s="15">
        <f t="shared" si="8"/>
        <v>76726.8215</v>
      </c>
      <c r="G15" s="15">
        <f t="shared" si="8"/>
        <v>77494.08972</v>
      </c>
      <c r="H15" s="15">
        <f t="shared" si="8"/>
        <v>78269.03061</v>
      </c>
      <c r="I15" s="15">
        <f t="shared" si="8"/>
        <v>79051.72092</v>
      </c>
      <c r="J15" s="15">
        <f t="shared" si="8"/>
        <v>79842.23813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4"/>
      <c r="D16" s="16"/>
      <c r="E16" s="16"/>
      <c r="F16" s="16"/>
      <c r="G16" s="16"/>
      <c r="H16" s="16"/>
      <c r="I16" s="16"/>
      <c r="J16" s="1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1" t="s">
        <v>19</v>
      </c>
      <c r="C17" s="12"/>
      <c r="D17" s="17" t="str">
        <f t="shared" ref="D17:J17" si="9">OFFSET(D17,$G$2,,,)</f>
        <v/>
      </c>
      <c r="E17" s="17">
        <f t="shared" si="9"/>
        <v>0.02</v>
      </c>
      <c r="F17" s="17">
        <f t="shared" si="9"/>
        <v>0.02</v>
      </c>
      <c r="G17" s="17">
        <f t="shared" si="9"/>
        <v>0.02</v>
      </c>
      <c r="H17" s="17">
        <f t="shared" si="9"/>
        <v>0.02</v>
      </c>
      <c r="I17" s="17">
        <f t="shared" si="9"/>
        <v>0.02</v>
      </c>
      <c r="J17" s="17">
        <f t="shared" si="9"/>
        <v>0.02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 t="s">
        <v>15</v>
      </c>
      <c r="C18" s="14"/>
      <c r="D18" s="18"/>
      <c r="E18" s="18">
        <v>0.02</v>
      </c>
      <c r="F18" s="18">
        <v>0.02</v>
      </c>
      <c r="G18" s="18">
        <v>0.02</v>
      </c>
      <c r="H18" s="18">
        <v>0.02</v>
      </c>
      <c r="I18" s="18">
        <v>0.02</v>
      </c>
      <c r="J18" s="18">
        <v>0.02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 t="s">
        <v>16</v>
      </c>
      <c r="C19" s="14"/>
      <c r="D19" s="18"/>
      <c r="E19" s="18">
        <v>0.03</v>
      </c>
      <c r="F19" s="18">
        <v>0.03</v>
      </c>
      <c r="G19" s="18">
        <v>0.03</v>
      </c>
      <c r="H19" s="18">
        <v>0.03</v>
      </c>
      <c r="I19" s="18">
        <v>0.03</v>
      </c>
      <c r="J19" s="18">
        <v>0.03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 t="s">
        <v>17</v>
      </c>
      <c r="C20" s="14"/>
      <c r="D20" s="18"/>
      <c r="E20" s="18">
        <v>0.01</v>
      </c>
      <c r="F20" s="18">
        <v>0.01</v>
      </c>
      <c r="G20" s="18">
        <v>0.01</v>
      </c>
      <c r="H20" s="18">
        <v>0.01</v>
      </c>
      <c r="I20" s="18">
        <v>0.01</v>
      </c>
      <c r="J20" s="18">
        <v>0.01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4"/>
      <c r="D21" s="16"/>
      <c r="E21" s="16"/>
      <c r="F21" s="16"/>
      <c r="G21" s="16"/>
      <c r="H21" s="16"/>
      <c r="I21" s="16"/>
      <c r="J21" s="1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1" t="s">
        <v>20</v>
      </c>
      <c r="C22" s="12"/>
      <c r="D22" s="13">
        <f t="shared" ref="D22:J22" si="10">OFFSET(D22,$G$2,,,)</f>
        <v>172.4669281</v>
      </c>
      <c r="E22" s="13">
        <f t="shared" si="10"/>
        <v>181.0902745</v>
      </c>
      <c r="F22" s="13">
        <f t="shared" si="10"/>
        <v>190.1447883</v>
      </c>
      <c r="G22" s="13">
        <f t="shared" si="10"/>
        <v>199.6520277</v>
      </c>
      <c r="H22" s="13">
        <f t="shared" si="10"/>
        <v>209.6346291</v>
      </c>
      <c r="I22" s="13">
        <f t="shared" si="10"/>
        <v>220.1163605</v>
      </c>
      <c r="J22" s="13">
        <f t="shared" si="10"/>
        <v>231.1221786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 t="s">
        <v>15</v>
      </c>
      <c r="C23" s="14"/>
      <c r="D23" s="15">
        <f t="shared" ref="D23:D25" si="12">+D8/D13</f>
        <v>172.4669281</v>
      </c>
      <c r="E23" s="15">
        <f t="shared" ref="E23:J23" si="11">+D23*(1+E28)</f>
        <v>181.0902745</v>
      </c>
      <c r="F23" s="15">
        <f t="shared" si="11"/>
        <v>190.1447883</v>
      </c>
      <c r="G23" s="15">
        <f t="shared" si="11"/>
        <v>199.6520277</v>
      </c>
      <c r="H23" s="15">
        <f t="shared" si="11"/>
        <v>209.6346291</v>
      </c>
      <c r="I23" s="15">
        <f t="shared" si="11"/>
        <v>220.1163605</v>
      </c>
      <c r="J23" s="15">
        <f t="shared" si="11"/>
        <v>231.1221786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 t="s">
        <v>16</v>
      </c>
      <c r="C24" s="14"/>
      <c r="D24" s="15">
        <f t="shared" si="12"/>
        <v>172.4669281</v>
      </c>
      <c r="E24" s="15">
        <f t="shared" ref="E24:J24" si="13">+D24*(1+E29)</f>
        <v>182.8149438</v>
      </c>
      <c r="F24" s="15">
        <f t="shared" si="13"/>
        <v>193.7838405</v>
      </c>
      <c r="G24" s="15">
        <f t="shared" si="13"/>
        <v>205.4108709</v>
      </c>
      <c r="H24" s="15">
        <f t="shared" si="13"/>
        <v>217.7355231</v>
      </c>
      <c r="I24" s="15">
        <f t="shared" si="13"/>
        <v>230.7996545</v>
      </c>
      <c r="J24" s="15">
        <f t="shared" si="13"/>
        <v>244.6476338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 t="s">
        <v>17</v>
      </c>
      <c r="C25" s="14"/>
      <c r="D25" s="15">
        <f t="shared" si="12"/>
        <v>172.4669281</v>
      </c>
      <c r="E25" s="15">
        <f t="shared" ref="E25:J25" si="14">+D25*(1+E30)</f>
        <v>175.9162667</v>
      </c>
      <c r="F25" s="15">
        <f t="shared" si="14"/>
        <v>179.434592</v>
      </c>
      <c r="G25" s="15">
        <f t="shared" si="14"/>
        <v>183.0232839</v>
      </c>
      <c r="H25" s="15">
        <f t="shared" si="14"/>
        <v>186.6837496</v>
      </c>
      <c r="I25" s="15">
        <f t="shared" si="14"/>
        <v>190.4174245</v>
      </c>
      <c r="J25" s="15">
        <f t="shared" si="14"/>
        <v>194.225773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1" t="s">
        <v>21</v>
      </c>
      <c r="C27" s="12"/>
      <c r="D27" s="17" t="str">
        <f t="shared" ref="D27:J27" si="15">OFFSET(D27,$G$2,,,)</f>
        <v/>
      </c>
      <c r="E27" s="17">
        <f t="shared" si="15"/>
        <v>0.05</v>
      </c>
      <c r="F27" s="17">
        <f t="shared" si="15"/>
        <v>0.05</v>
      </c>
      <c r="G27" s="17">
        <f t="shared" si="15"/>
        <v>0.05</v>
      </c>
      <c r="H27" s="17">
        <f t="shared" si="15"/>
        <v>0.05</v>
      </c>
      <c r="I27" s="17">
        <f t="shared" si="15"/>
        <v>0.05</v>
      </c>
      <c r="J27" s="17">
        <f t="shared" si="15"/>
        <v>0.05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 t="s">
        <v>15</v>
      </c>
      <c r="C28" s="14"/>
      <c r="D28" s="18"/>
      <c r="E28" s="18">
        <v>0.05</v>
      </c>
      <c r="F28" s="18">
        <v>0.05</v>
      </c>
      <c r="G28" s="18">
        <v>0.05</v>
      </c>
      <c r="H28" s="18">
        <v>0.05</v>
      </c>
      <c r="I28" s="18">
        <v>0.05</v>
      </c>
      <c r="J28" s="18">
        <v>0.05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 t="s">
        <v>16</v>
      </c>
      <c r="C29" s="14"/>
      <c r="D29" s="18"/>
      <c r="E29" s="18">
        <v>0.06</v>
      </c>
      <c r="F29" s="18">
        <v>0.06</v>
      </c>
      <c r="G29" s="18">
        <v>0.06</v>
      </c>
      <c r="H29" s="18">
        <v>0.06</v>
      </c>
      <c r="I29" s="18">
        <v>0.06</v>
      </c>
      <c r="J29" s="18">
        <v>0.06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 t="s">
        <v>17</v>
      </c>
      <c r="C30" s="14"/>
      <c r="D30" s="18"/>
      <c r="E30" s="18">
        <v>0.02</v>
      </c>
      <c r="F30" s="18">
        <v>0.02</v>
      </c>
      <c r="G30" s="18">
        <v>0.02</v>
      </c>
      <c r="H30" s="18">
        <v>0.02</v>
      </c>
      <c r="I30" s="18">
        <v>0.02</v>
      </c>
      <c r="J30" s="18">
        <v>0.02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1" t="s">
        <v>22</v>
      </c>
      <c r="C32" s="12"/>
      <c r="D32" s="13">
        <f t="shared" ref="D32:J32" si="16">OFFSET(D32,$G$2,,,)</f>
        <v>9699819</v>
      </c>
      <c r="E32" s="13">
        <f t="shared" si="16"/>
        <v>10541278.3</v>
      </c>
      <c r="F32" s="13">
        <f t="shared" si="16"/>
        <v>11455734.19</v>
      </c>
      <c r="G32" s="13">
        <f t="shared" si="16"/>
        <v>12449519.13</v>
      </c>
      <c r="H32" s="13">
        <f t="shared" si="16"/>
        <v>13529514.92</v>
      </c>
      <c r="I32" s="13">
        <f t="shared" si="16"/>
        <v>14703200.34</v>
      </c>
      <c r="J32" s="13">
        <f t="shared" si="16"/>
        <v>15978702.96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 t="s">
        <v>15</v>
      </c>
      <c r="C33" s="14"/>
      <c r="D33" s="15">
        <v>9699819.0</v>
      </c>
      <c r="E33" s="15">
        <f t="shared" ref="E33:J33" si="17">+E38*E48</f>
        <v>10541278.3</v>
      </c>
      <c r="F33" s="15">
        <f t="shared" si="17"/>
        <v>11455734.19</v>
      </c>
      <c r="G33" s="15">
        <f t="shared" si="17"/>
        <v>12449519.13</v>
      </c>
      <c r="H33" s="15">
        <f t="shared" si="17"/>
        <v>13529514.92</v>
      </c>
      <c r="I33" s="15">
        <f t="shared" si="17"/>
        <v>14703200.34</v>
      </c>
      <c r="J33" s="15">
        <f t="shared" si="17"/>
        <v>15978702.96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 t="s">
        <v>16</v>
      </c>
      <c r="C34" s="14"/>
      <c r="D34" s="15">
        <v>9699819.0</v>
      </c>
      <c r="E34" s="15">
        <f t="shared" ref="E34:J34" si="18">+E39*E49</f>
        <v>10795898.55</v>
      </c>
      <c r="F34" s="15">
        <f t="shared" si="18"/>
        <v>12015835.08</v>
      </c>
      <c r="G34" s="15">
        <f t="shared" si="18"/>
        <v>13373624.45</v>
      </c>
      <c r="H34" s="15">
        <f t="shared" si="18"/>
        <v>14884844.01</v>
      </c>
      <c r="I34" s="15">
        <f t="shared" si="18"/>
        <v>16566831.38</v>
      </c>
      <c r="J34" s="15">
        <f t="shared" si="18"/>
        <v>18438883.33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 t="s">
        <v>17</v>
      </c>
      <c r="C35" s="14"/>
      <c r="D35" s="15">
        <v>9699819.0</v>
      </c>
      <c r="E35" s="15">
        <f t="shared" ref="E35:J35" si="19">+E40*E50</f>
        <v>10240098.92</v>
      </c>
      <c r="F35" s="15">
        <f t="shared" si="19"/>
        <v>10810472.43</v>
      </c>
      <c r="G35" s="15">
        <f t="shared" si="19"/>
        <v>11412615.74</v>
      </c>
      <c r="H35" s="15">
        <f t="shared" si="19"/>
        <v>12048298.44</v>
      </c>
      <c r="I35" s="15">
        <f t="shared" si="19"/>
        <v>12719388.66</v>
      </c>
      <c r="J35" s="15">
        <f t="shared" si="19"/>
        <v>13427858.61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1" t="s">
        <v>23</v>
      </c>
      <c r="C37" s="12"/>
      <c r="D37" s="13">
        <f t="shared" ref="D37:J37" si="20">OFFSET(D37,$G$2,,,)</f>
        <v>74036</v>
      </c>
      <c r="E37" s="13">
        <f t="shared" si="20"/>
        <v>77737.8</v>
      </c>
      <c r="F37" s="13">
        <f t="shared" si="20"/>
        <v>81624.69</v>
      </c>
      <c r="G37" s="13">
        <f t="shared" si="20"/>
        <v>85705.9245</v>
      </c>
      <c r="H37" s="13">
        <f t="shared" si="20"/>
        <v>89991.22073</v>
      </c>
      <c r="I37" s="13">
        <f t="shared" si="20"/>
        <v>94490.78176</v>
      </c>
      <c r="J37" s="13">
        <f t="shared" si="20"/>
        <v>99215.32085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 t="s">
        <v>15</v>
      </c>
      <c r="C38" s="14"/>
      <c r="D38" s="15">
        <v>74036.0</v>
      </c>
      <c r="E38" s="15">
        <f t="shared" ref="E38:J38" si="21">+D38*(1+E43)</f>
        <v>77737.8</v>
      </c>
      <c r="F38" s="15">
        <f t="shared" si="21"/>
        <v>81624.69</v>
      </c>
      <c r="G38" s="15">
        <f t="shared" si="21"/>
        <v>85705.9245</v>
      </c>
      <c r="H38" s="15">
        <f t="shared" si="21"/>
        <v>89991.22073</v>
      </c>
      <c r="I38" s="15">
        <f t="shared" si="21"/>
        <v>94490.78176</v>
      </c>
      <c r="J38" s="15">
        <f t="shared" si="21"/>
        <v>99215.32085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 t="s">
        <v>16</v>
      </c>
      <c r="C39" s="14"/>
      <c r="D39" s="15">
        <v>74036.0</v>
      </c>
      <c r="E39" s="15">
        <f t="shared" ref="E39:J39" si="22">+D39*(1+E44)</f>
        <v>78478.16</v>
      </c>
      <c r="F39" s="15">
        <f t="shared" si="22"/>
        <v>83186.8496</v>
      </c>
      <c r="G39" s="15">
        <f t="shared" si="22"/>
        <v>88178.06058</v>
      </c>
      <c r="H39" s="15">
        <f t="shared" si="22"/>
        <v>93468.74421</v>
      </c>
      <c r="I39" s="15">
        <f t="shared" si="22"/>
        <v>99076.86886</v>
      </c>
      <c r="J39" s="15">
        <f t="shared" si="22"/>
        <v>105021.481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 t="s">
        <v>17</v>
      </c>
      <c r="C40" s="14"/>
      <c r="D40" s="15">
        <v>74036.0</v>
      </c>
      <c r="E40" s="15">
        <f t="shared" ref="E40:J40" si="23">+D40*(1+E45)</f>
        <v>76627.26</v>
      </c>
      <c r="F40" s="15">
        <f t="shared" si="23"/>
        <v>79309.2141</v>
      </c>
      <c r="G40" s="15">
        <f t="shared" si="23"/>
        <v>82085.03659</v>
      </c>
      <c r="H40" s="15">
        <f t="shared" si="23"/>
        <v>84958.01287</v>
      </c>
      <c r="I40" s="15">
        <f t="shared" si="23"/>
        <v>87931.54332</v>
      </c>
      <c r="J40" s="15">
        <f t="shared" si="23"/>
        <v>91009.14734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4"/>
      <c r="D41" s="16"/>
      <c r="E41" s="16"/>
      <c r="F41" s="16"/>
      <c r="G41" s="16"/>
      <c r="H41" s="16"/>
      <c r="I41" s="16"/>
      <c r="J41" s="1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1" t="s">
        <v>24</v>
      </c>
      <c r="C42" s="12"/>
      <c r="D42" s="17" t="str">
        <f t="shared" ref="D42:J42" si="24">OFFSET(D42,$G$2,,,)</f>
        <v/>
      </c>
      <c r="E42" s="17">
        <f t="shared" si="24"/>
        <v>0.05</v>
      </c>
      <c r="F42" s="17">
        <f t="shared" si="24"/>
        <v>0.05</v>
      </c>
      <c r="G42" s="17">
        <f t="shared" si="24"/>
        <v>0.05</v>
      </c>
      <c r="H42" s="17">
        <f t="shared" si="24"/>
        <v>0.05</v>
      </c>
      <c r="I42" s="17">
        <f t="shared" si="24"/>
        <v>0.05</v>
      </c>
      <c r="J42" s="17">
        <f t="shared" si="24"/>
        <v>0.05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 t="s">
        <v>15</v>
      </c>
      <c r="C43" s="14"/>
      <c r="D43" s="18"/>
      <c r="E43" s="18">
        <v>0.05</v>
      </c>
      <c r="F43" s="18">
        <v>0.05</v>
      </c>
      <c r="G43" s="18">
        <v>0.05</v>
      </c>
      <c r="H43" s="18">
        <v>0.05</v>
      </c>
      <c r="I43" s="18">
        <v>0.05</v>
      </c>
      <c r="J43" s="18">
        <v>0.05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 t="s">
        <v>16</v>
      </c>
      <c r="C44" s="14"/>
      <c r="D44" s="18"/>
      <c r="E44" s="18">
        <v>0.06</v>
      </c>
      <c r="F44" s="18">
        <v>0.06</v>
      </c>
      <c r="G44" s="18">
        <v>0.06</v>
      </c>
      <c r="H44" s="18">
        <v>0.06</v>
      </c>
      <c r="I44" s="18">
        <v>0.06</v>
      </c>
      <c r="J44" s="18">
        <v>0.06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 t="s">
        <v>17</v>
      </c>
      <c r="C45" s="14"/>
      <c r="D45" s="18"/>
      <c r="E45" s="18">
        <v>0.035</v>
      </c>
      <c r="F45" s="18">
        <v>0.035</v>
      </c>
      <c r="G45" s="18">
        <v>0.035</v>
      </c>
      <c r="H45" s="18">
        <v>0.035</v>
      </c>
      <c r="I45" s="18">
        <v>0.035</v>
      </c>
      <c r="J45" s="18">
        <v>0.035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4"/>
      <c r="D46" s="16"/>
      <c r="E46" s="16"/>
      <c r="F46" s="16"/>
      <c r="G46" s="16"/>
      <c r="H46" s="16"/>
      <c r="I46" s="16"/>
      <c r="J46" s="1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1" t="s">
        <v>25</v>
      </c>
      <c r="C47" s="12"/>
      <c r="D47" s="13">
        <f t="shared" ref="D47:J47" si="25">OFFSET(D47,$G$2,,,)</f>
        <v>131.0148982</v>
      </c>
      <c r="E47" s="13">
        <f t="shared" si="25"/>
        <v>135.6004196</v>
      </c>
      <c r="F47" s="13">
        <f t="shared" si="25"/>
        <v>140.3464343</v>
      </c>
      <c r="G47" s="13">
        <f t="shared" si="25"/>
        <v>145.2585595</v>
      </c>
      <c r="H47" s="13">
        <f t="shared" si="25"/>
        <v>150.3426091</v>
      </c>
      <c r="I47" s="13">
        <f t="shared" si="25"/>
        <v>155.6046004</v>
      </c>
      <c r="J47" s="13">
        <f t="shared" si="25"/>
        <v>161.0507614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 t="s">
        <v>15</v>
      </c>
      <c r="C48" s="14"/>
      <c r="D48" s="15">
        <v>131.01489815765302</v>
      </c>
      <c r="E48" s="15">
        <f t="shared" ref="E48:J48" si="26">+D48*(1+E53)</f>
        <v>135.6004196</v>
      </c>
      <c r="F48" s="15">
        <f t="shared" si="26"/>
        <v>140.3464343</v>
      </c>
      <c r="G48" s="15">
        <f t="shared" si="26"/>
        <v>145.2585595</v>
      </c>
      <c r="H48" s="15">
        <f t="shared" si="26"/>
        <v>150.3426091</v>
      </c>
      <c r="I48" s="15">
        <f t="shared" si="26"/>
        <v>155.6046004</v>
      </c>
      <c r="J48" s="15">
        <f t="shared" si="26"/>
        <v>161.0507614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 t="s">
        <v>16</v>
      </c>
      <c r="C49" s="14"/>
      <c r="D49" s="15">
        <v>131.01489815765302</v>
      </c>
      <c r="E49" s="15">
        <f t="shared" ref="E49:J49" si="27">+D49*(1+E54)</f>
        <v>137.5656431</v>
      </c>
      <c r="F49" s="15">
        <f t="shared" si="27"/>
        <v>144.4439252</v>
      </c>
      <c r="G49" s="15">
        <f t="shared" si="27"/>
        <v>151.6661215</v>
      </c>
      <c r="H49" s="15">
        <f t="shared" si="27"/>
        <v>159.2494276</v>
      </c>
      <c r="I49" s="15">
        <f t="shared" si="27"/>
        <v>167.2118989</v>
      </c>
      <c r="J49" s="15">
        <f t="shared" si="27"/>
        <v>175.5724939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 t="s">
        <v>17</v>
      </c>
      <c r="C50" s="14"/>
      <c r="D50" s="15">
        <v>131.01489815765302</v>
      </c>
      <c r="E50" s="15">
        <f t="shared" ref="E50:J50" si="28">+D50*(1+E55)</f>
        <v>133.6351961</v>
      </c>
      <c r="F50" s="15">
        <f t="shared" si="28"/>
        <v>136.3079</v>
      </c>
      <c r="G50" s="15">
        <f t="shared" si="28"/>
        <v>139.034058</v>
      </c>
      <c r="H50" s="15">
        <f t="shared" si="28"/>
        <v>141.8147392</v>
      </c>
      <c r="I50" s="15">
        <f t="shared" si="28"/>
        <v>144.651034</v>
      </c>
      <c r="J50" s="15">
        <f t="shared" si="28"/>
        <v>147.5440547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1" t="s">
        <v>26</v>
      </c>
      <c r="C52" s="12"/>
      <c r="D52" s="17" t="str">
        <f t="shared" ref="D52:J52" si="29">OFFSET(D52,$G$2,,,)</f>
        <v/>
      </c>
      <c r="E52" s="17">
        <f t="shared" si="29"/>
        <v>0.035</v>
      </c>
      <c r="F52" s="17">
        <f t="shared" si="29"/>
        <v>0.035</v>
      </c>
      <c r="G52" s="17">
        <f t="shared" si="29"/>
        <v>0.035</v>
      </c>
      <c r="H52" s="17">
        <f t="shared" si="29"/>
        <v>0.035</v>
      </c>
      <c r="I52" s="17">
        <f t="shared" si="29"/>
        <v>0.035</v>
      </c>
      <c r="J52" s="17">
        <f t="shared" si="29"/>
        <v>0.035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 t="s">
        <v>15</v>
      </c>
      <c r="C53" s="14"/>
      <c r="D53" s="18"/>
      <c r="E53" s="18">
        <v>0.035</v>
      </c>
      <c r="F53" s="18">
        <v>0.035</v>
      </c>
      <c r="G53" s="18">
        <v>0.035</v>
      </c>
      <c r="H53" s="18">
        <v>0.035</v>
      </c>
      <c r="I53" s="18">
        <v>0.035</v>
      </c>
      <c r="J53" s="18">
        <v>0.035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 t="s">
        <v>16</v>
      </c>
      <c r="C54" s="14"/>
      <c r="D54" s="18"/>
      <c r="E54" s="18">
        <v>0.05</v>
      </c>
      <c r="F54" s="18">
        <v>0.05</v>
      </c>
      <c r="G54" s="18">
        <v>0.05</v>
      </c>
      <c r="H54" s="18">
        <v>0.05</v>
      </c>
      <c r="I54" s="18">
        <v>0.05</v>
      </c>
      <c r="J54" s="18">
        <v>0.05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 t="s">
        <v>17</v>
      </c>
      <c r="C55" s="14"/>
      <c r="D55" s="18"/>
      <c r="E55" s="18">
        <v>0.02</v>
      </c>
      <c r="F55" s="18">
        <v>0.02</v>
      </c>
      <c r="G55" s="18">
        <v>0.02</v>
      </c>
      <c r="H55" s="18">
        <v>0.02</v>
      </c>
      <c r="I55" s="18">
        <v>0.02</v>
      </c>
      <c r="J55" s="18">
        <v>0.02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1" t="s">
        <v>27</v>
      </c>
      <c r="C57" s="12"/>
      <c r="D57" s="13">
        <f t="shared" ref="D57:J57" si="30">OFFSET(D57,$G$2,,,)</f>
        <v>3576976</v>
      </c>
      <c r="E57" s="13">
        <f t="shared" si="30"/>
        <v>3887278.668</v>
      </c>
      <c r="F57" s="13">
        <f t="shared" si="30"/>
        <v>4224500.092</v>
      </c>
      <c r="G57" s="13">
        <f t="shared" si="30"/>
        <v>4590975.475</v>
      </c>
      <c r="H57" s="13">
        <f t="shared" si="30"/>
        <v>4989242.598</v>
      </c>
      <c r="I57" s="13">
        <f t="shared" si="30"/>
        <v>5422059.393</v>
      </c>
      <c r="J57" s="13">
        <f t="shared" si="30"/>
        <v>5892423.046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 t="s">
        <v>15</v>
      </c>
      <c r="C58" s="14"/>
      <c r="D58" s="15">
        <v>3576976.0</v>
      </c>
      <c r="E58" s="15">
        <f t="shared" ref="E58:J58" si="31">+E63*E73</f>
        <v>3887278.668</v>
      </c>
      <c r="F58" s="15">
        <f t="shared" si="31"/>
        <v>4224500.092</v>
      </c>
      <c r="G58" s="15">
        <f t="shared" si="31"/>
        <v>4590975.475</v>
      </c>
      <c r="H58" s="15">
        <f t="shared" si="31"/>
        <v>4989242.598</v>
      </c>
      <c r="I58" s="15">
        <f t="shared" si="31"/>
        <v>5422059.393</v>
      </c>
      <c r="J58" s="15">
        <f t="shared" si="31"/>
        <v>5892423.046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 t="s">
        <v>16</v>
      </c>
      <c r="C59" s="14"/>
      <c r="D59" s="15">
        <v>3576976.0</v>
      </c>
      <c r="E59" s="15">
        <f t="shared" ref="E59:J59" si="32">+E64*E74</f>
        <v>3943258.342</v>
      </c>
      <c r="F59" s="15">
        <f t="shared" si="32"/>
        <v>4347047.997</v>
      </c>
      <c r="G59" s="15">
        <f t="shared" si="32"/>
        <v>4792185.712</v>
      </c>
      <c r="H59" s="15">
        <f t="shared" si="32"/>
        <v>5282905.528</v>
      </c>
      <c r="I59" s="15">
        <f t="shared" si="32"/>
        <v>5823875.054</v>
      </c>
      <c r="J59" s="15">
        <f t="shared" si="32"/>
        <v>6420239.86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 t="s">
        <v>17</v>
      </c>
      <c r="C60" s="14"/>
      <c r="D60" s="15">
        <v>3576976.0</v>
      </c>
      <c r="E60" s="15">
        <f t="shared" ref="E60:J60" si="33">+E65*E75</f>
        <v>3757970.986</v>
      </c>
      <c r="F60" s="15">
        <f t="shared" si="33"/>
        <v>3948124.317</v>
      </c>
      <c r="G60" s="15">
        <f t="shared" si="33"/>
        <v>4147899.408</v>
      </c>
      <c r="H60" s="15">
        <f t="shared" si="33"/>
        <v>4357783.118</v>
      </c>
      <c r="I60" s="15">
        <f t="shared" si="33"/>
        <v>4578286.944</v>
      </c>
      <c r="J60" s="15">
        <f t="shared" si="33"/>
        <v>4809948.263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1" t="s">
        <v>28</v>
      </c>
      <c r="C62" s="12"/>
      <c r="D62" s="13">
        <f t="shared" ref="D62:J62" si="34">OFFSET(D62,$G$2,,,)</f>
        <v>39961</v>
      </c>
      <c r="E62" s="13">
        <f t="shared" si="34"/>
        <v>41959.05</v>
      </c>
      <c r="F62" s="13">
        <f t="shared" si="34"/>
        <v>44057.0025</v>
      </c>
      <c r="G62" s="13">
        <f t="shared" si="34"/>
        <v>46259.85263</v>
      </c>
      <c r="H62" s="13">
        <f t="shared" si="34"/>
        <v>48572.84526</v>
      </c>
      <c r="I62" s="13">
        <f t="shared" si="34"/>
        <v>51001.48752</v>
      </c>
      <c r="J62" s="13">
        <f t="shared" si="34"/>
        <v>53551.5619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 t="s">
        <v>15</v>
      </c>
      <c r="C63" s="14"/>
      <c r="D63" s="15">
        <v>39961.0</v>
      </c>
      <c r="E63" s="15">
        <f t="shared" ref="E63:J63" si="35">+D63*(1+E68)</f>
        <v>41959.05</v>
      </c>
      <c r="F63" s="15">
        <f t="shared" si="35"/>
        <v>44057.0025</v>
      </c>
      <c r="G63" s="15">
        <f t="shared" si="35"/>
        <v>46259.85263</v>
      </c>
      <c r="H63" s="15">
        <f t="shared" si="35"/>
        <v>48572.84526</v>
      </c>
      <c r="I63" s="15">
        <f t="shared" si="35"/>
        <v>51001.48752</v>
      </c>
      <c r="J63" s="15">
        <f t="shared" si="35"/>
        <v>53551.5619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 t="s">
        <v>16</v>
      </c>
      <c r="C64" s="14"/>
      <c r="D64" s="15">
        <v>39961.0</v>
      </c>
      <c r="E64" s="15">
        <f t="shared" ref="E64:J64" si="36">+D64*(1+E69)</f>
        <v>42358.66</v>
      </c>
      <c r="F64" s="15">
        <f t="shared" si="36"/>
        <v>44900.1796</v>
      </c>
      <c r="G64" s="15">
        <f t="shared" si="36"/>
        <v>47594.19038</v>
      </c>
      <c r="H64" s="15">
        <f t="shared" si="36"/>
        <v>50449.8418</v>
      </c>
      <c r="I64" s="15">
        <f t="shared" si="36"/>
        <v>53476.83231</v>
      </c>
      <c r="J64" s="15">
        <f t="shared" si="36"/>
        <v>56685.44224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 t="s">
        <v>17</v>
      </c>
      <c r="C65" s="14"/>
      <c r="D65" s="15">
        <v>39961.0</v>
      </c>
      <c r="E65" s="15">
        <f t="shared" ref="E65:J65" si="37">+D65*(1+E70)</f>
        <v>41159.83</v>
      </c>
      <c r="F65" s="15">
        <f t="shared" si="37"/>
        <v>42394.6249</v>
      </c>
      <c r="G65" s="15">
        <f t="shared" si="37"/>
        <v>43666.46365</v>
      </c>
      <c r="H65" s="15">
        <f t="shared" si="37"/>
        <v>44976.45756</v>
      </c>
      <c r="I65" s="15">
        <f t="shared" si="37"/>
        <v>46325.75128</v>
      </c>
      <c r="J65" s="15">
        <f t="shared" si="37"/>
        <v>47715.52382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4"/>
      <c r="D66" s="16"/>
      <c r="E66" s="16"/>
      <c r="F66" s="16"/>
      <c r="G66" s="16"/>
      <c r="H66" s="16"/>
      <c r="I66" s="16"/>
      <c r="J66" s="1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1" t="s">
        <v>29</v>
      </c>
      <c r="C67" s="12"/>
      <c r="D67" s="17" t="str">
        <f t="shared" ref="D67:J67" si="38">OFFSET(D67,$G$2,,,)</f>
        <v/>
      </c>
      <c r="E67" s="17">
        <f t="shared" si="38"/>
        <v>0.05</v>
      </c>
      <c r="F67" s="17">
        <f t="shared" si="38"/>
        <v>0.05</v>
      </c>
      <c r="G67" s="17">
        <f t="shared" si="38"/>
        <v>0.05</v>
      </c>
      <c r="H67" s="17">
        <f t="shared" si="38"/>
        <v>0.05</v>
      </c>
      <c r="I67" s="17">
        <f t="shared" si="38"/>
        <v>0.05</v>
      </c>
      <c r="J67" s="17">
        <f t="shared" si="38"/>
        <v>0.05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 t="s">
        <v>15</v>
      </c>
      <c r="C68" s="14"/>
      <c r="D68" s="18"/>
      <c r="E68" s="18">
        <v>0.05</v>
      </c>
      <c r="F68" s="18">
        <v>0.05</v>
      </c>
      <c r="G68" s="18">
        <v>0.05</v>
      </c>
      <c r="H68" s="18">
        <v>0.05</v>
      </c>
      <c r="I68" s="18">
        <v>0.05</v>
      </c>
      <c r="J68" s="18">
        <v>0.05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 t="s">
        <v>16</v>
      </c>
      <c r="C69" s="14"/>
      <c r="D69" s="18"/>
      <c r="E69" s="18">
        <v>0.06</v>
      </c>
      <c r="F69" s="18">
        <v>0.06</v>
      </c>
      <c r="G69" s="18">
        <v>0.06</v>
      </c>
      <c r="H69" s="18">
        <v>0.06</v>
      </c>
      <c r="I69" s="18">
        <v>0.06</v>
      </c>
      <c r="J69" s="18">
        <v>0.06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 t="s">
        <v>17</v>
      </c>
      <c r="C70" s="14"/>
      <c r="D70" s="18"/>
      <c r="E70" s="18">
        <v>0.03</v>
      </c>
      <c r="F70" s="18">
        <v>0.03</v>
      </c>
      <c r="G70" s="18">
        <v>0.03</v>
      </c>
      <c r="H70" s="18">
        <v>0.03</v>
      </c>
      <c r="I70" s="18">
        <v>0.03</v>
      </c>
      <c r="J70" s="18">
        <v>0.03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4"/>
      <c r="D71" s="16"/>
      <c r="E71" s="16"/>
      <c r="F71" s="16"/>
      <c r="G71" s="16"/>
      <c r="H71" s="16"/>
      <c r="I71" s="16"/>
      <c r="J71" s="1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1" t="s">
        <v>30</v>
      </c>
      <c r="C72" s="12"/>
      <c r="D72" s="13">
        <f t="shared" ref="D72:J72" si="39">OFFSET(D72,$G$2,,,)</f>
        <v>89.51167388</v>
      </c>
      <c r="E72" s="13">
        <f t="shared" si="39"/>
        <v>92.64458247</v>
      </c>
      <c r="F72" s="13">
        <f t="shared" si="39"/>
        <v>95.88714285</v>
      </c>
      <c r="G72" s="13">
        <f t="shared" si="39"/>
        <v>99.24319285</v>
      </c>
      <c r="H72" s="13">
        <f t="shared" si="39"/>
        <v>102.7167046</v>
      </c>
      <c r="I72" s="13">
        <f t="shared" si="39"/>
        <v>106.3117893</v>
      </c>
      <c r="J72" s="13">
        <f t="shared" si="39"/>
        <v>110.0327019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 t="s">
        <v>15</v>
      </c>
      <c r="C73" s="14"/>
      <c r="D73" s="15">
        <v>89.51167388203498</v>
      </c>
      <c r="E73" s="15">
        <f t="shared" ref="E73:J73" si="40">+D73*(1+E78)</f>
        <v>92.64458247</v>
      </c>
      <c r="F73" s="15">
        <f t="shared" si="40"/>
        <v>95.88714285</v>
      </c>
      <c r="G73" s="15">
        <f t="shared" si="40"/>
        <v>99.24319285</v>
      </c>
      <c r="H73" s="15">
        <f t="shared" si="40"/>
        <v>102.7167046</v>
      </c>
      <c r="I73" s="15">
        <f t="shared" si="40"/>
        <v>106.3117893</v>
      </c>
      <c r="J73" s="15">
        <f t="shared" si="40"/>
        <v>110.0327019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 t="s">
        <v>16</v>
      </c>
      <c r="C74" s="14"/>
      <c r="D74" s="15">
        <v>89.51167388203498</v>
      </c>
      <c r="E74" s="15">
        <f t="shared" ref="E74:J74" si="41">+D74*(1+E79)</f>
        <v>93.09214084</v>
      </c>
      <c r="F74" s="15">
        <f t="shared" si="41"/>
        <v>96.81582647</v>
      </c>
      <c r="G74" s="15">
        <f t="shared" si="41"/>
        <v>100.6884595</v>
      </c>
      <c r="H74" s="15">
        <f t="shared" si="41"/>
        <v>104.7159979</v>
      </c>
      <c r="I74" s="15">
        <f t="shared" si="41"/>
        <v>108.9046378</v>
      </c>
      <c r="J74" s="15">
        <f t="shared" si="41"/>
        <v>113.2608233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 t="s">
        <v>17</v>
      </c>
      <c r="C75" s="14"/>
      <c r="D75" s="15">
        <v>89.51167388203498</v>
      </c>
      <c r="E75" s="15">
        <f t="shared" ref="E75:J75" si="42">+D75*(1+E80)</f>
        <v>91.30190736</v>
      </c>
      <c r="F75" s="15">
        <f t="shared" si="42"/>
        <v>93.12794551</v>
      </c>
      <c r="G75" s="15">
        <f t="shared" si="42"/>
        <v>94.99050442</v>
      </c>
      <c r="H75" s="15">
        <f t="shared" si="42"/>
        <v>96.89031451</v>
      </c>
      <c r="I75" s="15">
        <f t="shared" si="42"/>
        <v>98.8281208</v>
      </c>
      <c r="J75" s="15">
        <f t="shared" si="42"/>
        <v>100.8046832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1" t="s">
        <v>31</v>
      </c>
      <c r="C77" s="12"/>
      <c r="D77" s="17" t="str">
        <f t="shared" ref="D77:J77" si="43">OFFSET(D77,$G$2,,,)</f>
        <v/>
      </c>
      <c r="E77" s="17">
        <f t="shared" si="43"/>
        <v>0.035</v>
      </c>
      <c r="F77" s="17">
        <f t="shared" si="43"/>
        <v>0.035</v>
      </c>
      <c r="G77" s="17">
        <f t="shared" si="43"/>
        <v>0.035</v>
      </c>
      <c r="H77" s="17">
        <f t="shared" si="43"/>
        <v>0.035</v>
      </c>
      <c r="I77" s="17">
        <f t="shared" si="43"/>
        <v>0.035</v>
      </c>
      <c r="J77" s="17">
        <f t="shared" si="43"/>
        <v>0.035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 t="s">
        <v>15</v>
      </c>
      <c r="C78" s="14"/>
      <c r="D78" s="18"/>
      <c r="E78" s="18">
        <v>0.035</v>
      </c>
      <c r="F78" s="18">
        <v>0.035</v>
      </c>
      <c r="G78" s="18">
        <v>0.035</v>
      </c>
      <c r="H78" s="18">
        <v>0.035</v>
      </c>
      <c r="I78" s="18">
        <v>0.035</v>
      </c>
      <c r="J78" s="18">
        <v>0.035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 t="s">
        <v>16</v>
      </c>
      <c r="C79" s="14"/>
      <c r="D79" s="18"/>
      <c r="E79" s="18">
        <v>0.04</v>
      </c>
      <c r="F79" s="18">
        <v>0.04</v>
      </c>
      <c r="G79" s="18">
        <v>0.04</v>
      </c>
      <c r="H79" s="18">
        <v>0.04</v>
      </c>
      <c r="I79" s="18">
        <v>0.04</v>
      </c>
      <c r="J79" s="18">
        <v>0.04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 t="s">
        <v>17</v>
      </c>
      <c r="C80" s="14"/>
      <c r="D80" s="18"/>
      <c r="E80" s="18">
        <v>0.02</v>
      </c>
      <c r="F80" s="18">
        <v>0.02</v>
      </c>
      <c r="G80" s="18">
        <v>0.02</v>
      </c>
      <c r="H80" s="18">
        <v>0.02</v>
      </c>
      <c r="I80" s="18">
        <v>0.02</v>
      </c>
      <c r="J80" s="18">
        <v>0.02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1" t="s">
        <v>32</v>
      </c>
      <c r="C82" s="12"/>
      <c r="D82" s="13">
        <f t="shared" ref="D82:J82" si="44">OFFSET(D82,$G$2,,,)</f>
        <v>3266601</v>
      </c>
      <c r="E82" s="13">
        <f t="shared" si="44"/>
        <v>3944420.708</v>
      </c>
      <c r="F82" s="13">
        <f t="shared" si="44"/>
        <v>4717527.166</v>
      </c>
      <c r="G82" s="13">
        <f t="shared" si="44"/>
        <v>5223481.955</v>
      </c>
      <c r="H82" s="13">
        <f t="shared" si="44"/>
        <v>5649195.734</v>
      </c>
      <c r="I82" s="13">
        <f t="shared" si="44"/>
        <v>5964138.396</v>
      </c>
      <c r="J82" s="13">
        <f t="shared" si="44"/>
        <v>6296639.112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 t="s">
        <v>15</v>
      </c>
      <c r="C83" s="14"/>
      <c r="D83" s="15">
        <v>3266601.0</v>
      </c>
      <c r="E83" s="15">
        <f t="shared" ref="E83:J83" si="45">+E88*E98</f>
        <v>3944420.708</v>
      </c>
      <c r="F83" s="15">
        <f t="shared" si="45"/>
        <v>4717527.166</v>
      </c>
      <c r="G83" s="15">
        <f t="shared" si="45"/>
        <v>5223481.955</v>
      </c>
      <c r="H83" s="15">
        <f t="shared" si="45"/>
        <v>5649195.734</v>
      </c>
      <c r="I83" s="15">
        <f t="shared" si="45"/>
        <v>5964138.396</v>
      </c>
      <c r="J83" s="15">
        <f t="shared" si="45"/>
        <v>6296639.112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 t="s">
        <v>16</v>
      </c>
      <c r="C84" s="14"/>
      <c r="D84" s="15">
        <v>3266601.0</v>
      </c>
      <c r="E84" s="15">
        <f t="shared" ref="E84:J84" si="46">+E89*E99</f>
        <v>4155116.472</v>
      </c>
      <c r="F84" s="15">
        <f t="shared" si="46"/>
        <v>5235446.755</v>
      </c>
      <c r="G84" s="15">
        <f t="shared" si="46"/>
        <v>5989351.087</v>
      </c>
      <c r="H84" s="15">
        <f t="shared" si="46"/>
        <v>6696094.516</v>
      </c>
      <c r="I84" s="15">
        <f t="shared" si="46"/>
        <v>7312135.211</v>
      </c>
      <c r="J84" s="15">
        <f t="shared" si="46"/>
        <v>7832759.238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 t="s">
        <v>17</v>
      </c>
      <c r="C85" s="14"/>
      <c r="D85" s="15">
        <v>3266601.0</v>
      </c>
      <c r="E85" s="15">
        <f t="shared" ref="E85:J85" si="47">+E90*E100</f>
        <v>3736991.544</v>
      </c>
      <c r="F85" s="15">
        <f t="shared" si="47"/>
        <v>4234011.419</v>
      </c>
      <c r="G85" s="15">
        <f t="shared" si="47"/>
        <v>4579083.35</v>
      </c>
      <c r="H85" s="15">
        <f t="shared" si="47"/>
        <v>4834367.247</v>
      </c>
      <c r="I85" s="15">
        <f t="shared" si="47"/>
        <v>5078986.229</v>
      </c>
      <c r="J85" s="15">
        <f t="shared" si="47"/>
        <v>5335982.933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1" t="s">
        <v>33</v>
      </c>
      <c r="C87" s="12"/>
      <c r="D87" s="13">
        <f t="shared" ref="D87:J87" si="48">OFFSET(D87,$G$2,,,)</f>
        <v>32632</v>
      </c>
      <c r="E87" s="13">
        <f t="shared" si="48"/>
        <v>37526.8</v>
      </c>
      <c r="F87" s="13">
        <f t="shared" si="48"/>
        <v>43155.82</v>
      </c>
      <c r="G87" s="13">
        <f t="shared" si="48"/>
        <v>46392.5065</v>
      </c>
      <c r="H87" s="13">
        <f t="shared" si="48"/>
        <v>48712.13183</v>
      </c>
      <c r="I87" s="13">
        <f t="shared" si="48"/>
        <v>49929.93512</v>
      </c>
      <c r="J87" s="13">
        <f t="shared" si="48"/>
        <v>51178.1835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 t="s">
        <v>15</v>
      </c>
      <c r="C88" s="14"/>
      <c r="D88" s="15">
        <v>32632.0</v>
      </c>
      <c r="E88" s="15">
        <f t="shared" ref="E88:J88" si="49">+D88*(1+E93)</f>
        <v>37526.8</v>
      </c>
      <c r="F88" s="15">
        <f t="shared" si="49"/>
        <v>43155.82</v>
      </c>
      <c r="G88" s="15">
        <f t="shared" si="49"/>
        <v>46392.5065</v>
      </c>
      <c r="H88" s="15">
        <f t="shared" si="49"/>
        <v>48712.13183</v>
      </c>
      <c r="I88" s="15">
        <f t="shared" si="49"/>
        <v>49929.93512</v>
      </c>
      <c r="J88" s="15">
        <f t="shared" si="49"/>
        <v>51178.1835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 t="s">
        <v>16</v>
      </c>
      <c r="C89" s="14"/>
      <c r="D89" s="15">
        <v>32632.0</v>
      </c>
      <c r="E89" s="15">
        <f t="shared" ref="E89:J89" si="50">+D89*(1+E94)</f>
        <v>39158.4</v>
      </c>
      <c r="F89" s="15">
        <f t="shared" si="50"/>
        <v>46990.08</v>
      </c>
      <c r="G89" s="15">
        <f t="shared" si="50"/>
        <v>51689.088</v>
      </c>
      <c r="H89" s="15">
        <f t="shared" si="50"/>
        <v>55565.7696</v>
      </c>
      <c r="I89" s="15">
        <f t="shared" si="50"/>
        <v>58344.05808</v>
      </c>
      <c r="J89" s="15">
        <f t="shared" si="50"/>
        <v>60094.37982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 t="s">
        <v>17</v>
      </c>
      <c r="C90" s="14"/>
      <c r="D90" s="15">
        <v>32632.0</v>
      </c>
      <c r="E90" s="15">
        <f t="shared" ref="E90:J90" si="51">+D90*(1+E95)</f>
        <v>35895.2</v>
      </c>
      <c r="F90" s="15">
        <f t="shared" si="51"/>
        <v>39484.72</v>
      </c>
      <c r="G90" s="15">
        <f t="shared" si="51"/>
        <v>41458.956</v>
      </c>
      <c r="H90" s="15">
        <f t="shared" si="51"/>
        <v>42495.4299</v>
      </c>
      <c r="I90" s="15">
        <f t="shared" si="51"/>
        <v>43345.3385</v>
      </c>
      <c r="J90" s="15">
        <f t="shared" si="51"/>
        <v>44212.24527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4"/>
      <c r="D91" s="16"/>
      <c r="E91" s="16"/>
      <c r="F91" s="16"/>
      <c r="G91" s="16"/>
      <c r="H91" s="16"/>
      <c r="I91" s="16"/>
      <c r="J91" s="16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1" t="s">
        <v>34</v>
      </c>
      <c r="C92" s="12"/>
      <c r="D92" s="17" t="str">
        <f t="shared" ref="D92:J92" si="52">OFFSET(D92,$G$2,,,)</f>
        <v/>
      </c>
      <c r="E92" s="17">
        <f t="shared" si="52"/>
        <v>0.15</v>
      </c>
      <c r="F92" s="17">
        <f t="shared" si="52"/>
        <v>0.15</v>
      </c>
      <c r="G92" s="17">
        <f t="shared" si="52"/>
        <v>0.075</v>
      </c>
      <c r="H92" s="17">
        <f t="shared" si="52"/>
        <v>0.05</v>
      </c>
      <c r="I92" s="17">
        <f t="shared" si="52"/>
        <v>0.025</v>
      </c>
      <c r="J92" s="17">
        <f t="shared" si="52"/>
        <v>0.025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 t="s">
        <v>15</v>
      </c>
      <c r="C93" s="14"/>
      <c r="D93" s="18"/>
      <c r="E93" s="18">
        <v>0.15</v>
      </c>
      <c r="F93" s="18">
        <v>0.15</v>
      </c>
      <c r="G93" s="18">
        <v>0.075</v>
      </c>
      <c r="H93" s="18">
        <v>0.05</v>
      </c>
      <c r="I93" s="18">
        <v>0.025</v>
      </c>
      <c r="J93" s="18">
        <v>0.025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 t="s">
        <v>16</v>
      </c>
      <c r="C94" s="14"/>
      <c r="D94" s="18"/>
      <c r="E94" s="18">
        <v>0.2</v>
      </c>
      <c r="F94" s="18">
        <v>0.2</v>
      </c>
      <c r="G94" s="18">
        <v>0.1</v>
      </c>
      <c r="H94" s="18">
        <v>0.075</v>
      </c>
      <c r="I94" s="18">
        <v>0.05</v>
      </c>
      <c r="J94" s="18">
        <v>0.03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 t="s">
        <v>17</v>
      </c>
      <c r="C95" s="14"/>
      <c r="D95" s="18"/>
      <c r="E95" s="18">
        <v>0.1</v>
      </c>
      <c r="F95" s="18">
        <v>0.1</v>
      </c>
      <c r="G95" s="18">
        <v>0.05</v>
      </c>
      <c r="H95" s="18">
        <v>0.025</v>
      </c>
      <c r="I95" s="18">
        <v>0.02</v>
      </c>
      <c r="J95" s="18">
        <v>0.02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4"/>
      <c r="D96" s="16"/>
      <c r="E96" s="16"/>
      <c r="F96" s="16"/>
      <c r="G96" s="16"/>
      <c r="H96" s="16"/>
      <c r="I96" s="16"/>
      <c r="J96" s="1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1" t="s">
        <v>35</v>
      </c>
      <c r="C97" s="12"/>
      <c r="D97" s="13">
        <f t="shared" ref="D97:J97" si="53">OFFSET(D97,$G$2,,,)</f>
        <v>100.1042228</v>
      </c>
      <c r="E97" s="13">
        <f t="shared" si="53"/>
        <v>105.109434</v>
      </c>
      <c r="F97" s="13">
        <f t="shared" si="53"/>
        <v>109.3138114</v>
      </c>
      <c r="G97" s="13">
        <f t="shared" si="53"/>
        <v>112.5932257</v>
      </c>
      <c r="H97" s="13">
        <f t="shared" si="53"/>
        <v>115.9710225</v>
      </c>
      <c r="I97" s="13">
        <f t="shared" si="53"/>
        <v>119.4501531</v>
      </c>
      <c r="J97" s="13">
        <f t="shared" si="53"/>
        <v>123.0336577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 t="s">
        <v>15</v>
      </c>
      <c r="C98" s="14"/>
      <c r="D98" s="15">
        <v>100.10422284873744</v>
      </c>
      <c r="E98" s="15">
        <f t="shared" ref="E98:J98" si="54">+D98*(1+E103)</f>
        <v>105.109434</v>
      </c>
      <c r="F98" s="15">
        <f t="shared" si="54"/>
        <v>109.3138114</v>
      </c>
      <c r="G98" s="15">
        <f t="shared" si="54"/>
        <v>112.5932257</v>
      </c>
      <c r="H98" s="15">
        <f t="shared" si="54"/>
        <v>115.9710225</v>
      </c>
      <c r="I98" s="15">
        <f t="shared" si="54"/>
        <v>119.4501531</v>
      </c>
      <c r="J98" s="15">
        <f t="shared" si="54"/>
        <v>123.0336577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 t="s">
        <v>16</v>
      </c>
      <c r="C99" s="14"/>
      <c r="D99" s="15">
        <v>100.10422284873744</v>
      </c>
      <c r="E99" s="15">
        <f t="shared" ref="E99:J99" si="55">+D99*(1+E104)</f>
        <v>106.1104762</v>
      </c>
      <c r="F99" s="15">
        <f t="shared" si="55"/>
        <v>111.416</v>
      </c>
      <c r="G99" s="15">
        <f t="shared" si="55"/>
        <v>115.87264</v>
      </c>
      <c r="H99" s="15">
        <f t="shared" si="55"/>
        <v>120.5075456</v>
      </c>
      <c r="I99" s="15">
        <f t="shared" si="55"/>
        <v>125.3278475</v>
      </c>
      <c r="J99" s="15">
        <f t="shared" si="55"/>
        <v>130.3409614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 t="s">
        <v>17</v>
      </c>
      <c r="C100" s="14"/>
      <c r="D100" s="15">
        <v>100.10422284873744</v>
      </c>
      <c r="E100" s="15">
        <f t="shared" ref="E100:J100" si="56">+D100*(1+E105)</f>
        <v>104.1083918</v>
      </c>
      <c r="F100" s="15">
        <f t="shared" si="56"/>
        <v>107.2316435</v>
      </c>
      <c r="G100" s="15">
        <f t="shared" si="56"/>
        <v>110.4485928</v>
      </c>
      <c r="H100" s="15">
        <f t="shared" si="56"/>
        <v>113.7620506</v>
      </c>
      <c r="I100" s="15">
        <f t="shared" si="56"/>
        <v>117.1749121</v>
      </c>
      <c r="J100" s="15">
        <f t="shared" si="56"/>
        <v>120.6901595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1" t="s">
        <v>36</v>
      </c>
      <c r="C102" s="12"/>
      <c r="D102" s="17" t="str">
        <f t="shared" ref="D102:J102" si="57">OFFSET(D102,$G$2,,,)</f>
        <v/>
      </c>
      <c r="E102" s="17">
        <f t="shared" si="57"/>
        <v>0.05</v>
      </c>
      <c r="F102" s="17">
        <f t="shared" si="57"/>
        <v>0.04</v>
      </c>
      <c r="G102" s="17">
        <f t="shared" si="57"/>
        <v>0.03</v>
      </c>
      <c r="H102" s="17">
        <f t="shared" si="57"/>
        <v>0.03</v>
      </c>
      <c r="I102" s="17">
        <f t="shared" si="57"/>
        <v>0.03</v>
      </c>
      <c r="J102" s="17">
        <f t="shared" si="57"/>
        <v>0.03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 t="s">
        <v>15</v>
      </c>
      <c r="C103" s="14"/>
      <c r="D103" s="18"/>
      <c r="E103" s="18">
        <v>0.05</v>
      </c>
      <c r="F103" s="18">
        <v>0.04</v>
      </c>
      <c r="G103" s="18">
        <v>0.03</v>
      </c>
      <c r="H103" s="18">
        <v>0.03</v>
      </c>
      <c r="I103" s="18">
        <v>0.03</v>
      </c>
      <c r="J103" s="18">
        <v>0.03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 t="s">
        <v>16</v>
      </c>
      <c r="C104" s="14"/>
      <c r="D104" s="18"/>
      <c r="E104" s="18">
        <v>0.06</v>
      </c>
      <c r="F104" s="18">
        <v>0.05</v>
      </c>
      <c r="G104" s="18">
        <v>0.04</v>
      </c>
      <c r="H104" s="18">
        <v>0.04</v>
      </c>
      <c r="I104" s="18">
        <v>0.04</v>
      </c>
      <c r="J104" s="18">
        <v>0.04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 t="s">
        <v>17</v>
      </c>
      <c r="C105" s="14"/>
      <c r="D105" s="18"/>
      <c r="E105" s="18">
        <v>0.04</v>
      </c>
      <c r="F105" s="18">
        <v>0.03</v>
      </c>
      <c r="G105" s="18">
        <v>0.03</v>
      </c>
      <c r="H105" s="18">
        <v>0.03</v>
      </c>
      <c r="I105" s="18">
        <v>0.03</v>
      </c>
      <c r="J105" s="18">
        <v>0.03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1" t="s">
        <v>37</v>
      </c>
      <c r="C107" s="12"/>
      <c r="D107" s="13">
        <f t="shared" ref="D107:J107" si="58">OFFSET(D107,$G$2,,,)</f>
        <v>182348</v>
      </c>
      <c r="E107" s="13">
        <f t="shared" si="58"/>
        <v>136761</v>
      </c>
      <c r="F107" s="13">
        <f t="shared" si="58"/>
        <v>95732.7</v>
      </c>
      <c r="G107" s="13">
        <f t="shared" si="58"/>
        <v>62226.255</v>
      </c>
      <c r="H107" s="13">
        <f t="shared" si="58"/>
        <v>31113.1275</v>
      </c>
      <c r="I107" s="13">
        <f t="shared" si="58"/>
        <v>0</v>
      </c>
      <c r="J107" s="13">
        <f t="shared" si="58"/>
        <v>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 t="s">
        <v>15</v>
      </c>
      <c r="C108" s="14"/>
      <c r="D108" s="15">
        <f>+Model!$H$38</f>
        <v>182348</v>
      </c>
      <c r="E108" s="15">
        <f t="shared" ref="E108:J108" si="59">+D108*(1+E113)</f>
        <v>136761</v>
      </c>
      <c r="F108" s="15">
        <f t="shared" si="59"/>
        <v>95732.7</v>
      </c>
      <c r="G108" s="15">
        <f t="shared" si="59"/>
        <v>62226.255</v>
      </c>
      <c r="H108" s="15">
        <f t="shared" si="59"/>
        <v>31113.1275</v>
      </c>
      <c r="I108" s="15">
        <f t="shared" si="59"/>
        <v>0</v>
      </c>
      <c r="J108" s="15">
        <f t="shared" si="59"/>
        <v>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 t="s">
        <v>16</v>
      </c>
      <c r="C109" s="14"/>
      <c r="D109" s="15">
        <f>+Model!$H$38</f>
        <v>182348</v>
      </c>
      <c r="E109" s="15">
        <f t="shared" ref="E109:J109" si="60">+D109*(1+E114)</f>
        <v>145878.4</v>
      </c>
      <c r="F109" s="15">
        <f t="shared" si="60"/>
        <v>109408.8</v>
      </c>
      <c r="G109" s="15">
        <f t="shared" si="60"/>
        <v>65645.28</v>
      </c>
      <c r="H109" s="15">
        <f t="shared" si="60"/>
        <v>39387.168</v>
      </c>
      <c r="I109" s="15">
        <f t="shared" si="60"/>
        <v>0</v>
      </c>
      <c r="J109" s="15">
        <f t="shared" si="60"/>
        <v>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 t="s">
        <v>17</v>
      </c>
      <c r="C110" s="14"/>
      <c r="D110" s="15">
        <f>+Model!$H$38</f>
        <v>182348</v>
      </c>
      <c r="E110" s="15">
        <f t="shared" ref="E110:J110" si="61">+D110*(1+E115)</f>
        <v>127643.6</v>
      </c>
      <c r="F110" s="15">
        <f t="shared" si="61"/>
        <v>82968.34</v>
      </c>
      <c r="G110" s="15">
        <f t="shared" si="61"/>
        <v>58077.838</v>
      </c>
      <c r="H110" s="15">
        <f t="shared" si="61"/>
        <v>23231.1352</v>
      </c>
      <c r="I110" s="15">
        <f t="shared" si="61"/>
        <v>0</v>
      </c>
      <c r="J110" s="15">
        <f t="shared" si="61"/>
        <v>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1" t="s">
        <v>38</v>
      </c>
      <c r="C112" s="12"/>
      <c r="D112" s="17" t="str">
        <f t="shared" ref="D112:J112" si="62">OFFSET(D112,$G$2,,,)</f>
        <v/>
      </c>
      <c r="E112" s="17">
        <f t="shared" si="62"/>
        <v>-0.25</v>
      </c>
      <c r="F112" s="17">
        <f t="shared" si="62"/>
        <v>-0.3</v>
      </c>
      <c r="G112" s="17">
        <f t="shared" si="62"/>
        <v>-0.35</v>
      </c>
      <c r="H112" s="17">
        <f t="shared" si="62"/>
        <v>-0.5</v>
      </c>
      <c r="I112" s="17">
        <f t="shared" si="62"/>
        <v>-1</v>
      </c>
      <c r="J112" s="17">
        <f t="shared" si="62"/>
        <v>-1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 t="s">
        <v>15</v>
      </c>
      <c r="C113" s="14"/>
      <c r="D113" s="18"/>
      <c r="E113" s="18">
        <v>-0.25</v>
      </c>
      <c r="F113" s="18">
        <v>-0.3</v>
      </c>
      <c r="G113" s="18">
        <v>-0.35</v>
      </c>
      <c r="H113" s="18">
        <v>-0.5</v>
      </c>
      <c r="I113" s="18">
        <v>-1.0</v>
      </c>
      <c r="J113" s="18">
        <v>-1.0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 t="s">
        <v>16</v>
      </c>
      <c r="C114" s="14"/>
      <c r="D114" s="18"/>
      <c r="E114" s="18">
        <v>-0.2</v>
      </c>
      <c r="F114" s="18">
        <v>-0.25</v>
      </c>
      <c r="G114" s="18">
        <v>-0.4</v>
      </c>
      <c r="H114" s="18">
        <v>-0.4</v>
      </c>
      <c r="I114" s="18">
        <v>-1.0</v>
      </c>
      <c r="J114" s="18">
        <v>-1.0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 t="s">
        <v>17</v>
      </c>
      <c r="C115" s="14"/>
      <c r="D115" s="18"/>
      <c r="E115" s="18">
        <v>-0.3</v>
      </c>
      <c r="F115" s="18">
        <v>-0.35</v>
      </c>
      <c r="G115" s="18">
        <v>-0.3</v>
      </c>
      <c r="H115" s="18">
        <v>-0.6</v>
      </c>
      <c r="I115" s="18">
        <v>-1.0</v>
      </c>
      <c r="J115" s="18">
        <v>-1.0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1" t="s">
        <v>39</v>
      </c>
      <c r="C117" s="12"/>
      <c r="D117" s="17" t="str">
        <f t="shared" ref="D117:J117" si="63">OFFSET(D117,$G$2,,,)</f>
        <v/>
      </c>
      <c r="E117" s="17">
        <f t="shared" si="63"/>
        <v>0.151</v>
      </c>
      <c r="F117" s="17">
        <f t="shared" si="63"/>
        <v>0.151</v>
      </c>
      <c r="G117" s="17">
        <f t="shared" si="63"/>
        <v>0.151</v>
      </c>
      <c r="H117" s="17">
        <f t="shared" si="63"/>
        <v>0.151</v>
      </c>
      <c r="I117" s="17">
        <f t="shared" si="63"/>
        <v>0.151</v>
      </c>
      <c r="J117" s="17">
        <f t="shared" si="63"/>
        <v>0.151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 t="s">
        <v>15</v>
      </c>
      <c r="C118" s="14"/>
      <c r="D118" s="18"/>
      <c r="E118" s="18">
        <v>0.151</v>
      </c>
      <c r="F118" s="18">
        <v>0.151</v>
      </c>
      <c r="G118" s="18">
        <v>0.151</v>
      </c>
      <c r="H118" s="18">
        <v>0.151</v>
      </c>
      <c r="I118" s="18">
        <v>0.151</v>
      </c>
      <c r="J118" s="18">
        <v>0.151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 t="s">
        <v>16</v>
      </c>
      <c r="C119" s="14"/>
      <c r="D119" s="18"/>
      <c r="E119" s="18">
        <v>0.151</v>
      </c>
      <c r="F119" s="18">
        <v>0.151</v>
      </c>
      <c r="G119" s="18">
        <v>0.151</v>
      </c>
      <c r="H119" s="18">
        <v>0.151</v>
      </c>
      <c r="I119" s="18">
        <v>0.151</v>
      </c>
      <c r="J119" s="18">
        <v>0.151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 t="s">
        <v>17</v>
      </c>
      <c r="C120" s="14"/>
      <c r="D120" s="18"/>
      <c r="E120" s="18">
        <v>0.151</v>
      </c>
      <c r="F120" s="18">
        <v>0.151</v>
      </c>
      <c r="G120" s="18">
        <v>0.151</v>
      </c>
      <c r="H120" s="18">
        <v>0.151</v>
      </c>
      <c r="I120" s="18">
        <v>0.151</v>
      </c>
      <c r="J120" s="18">
        <v>0.151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1" t="s">
        <v>40</v>
      </c>
      <c r="C122" s="12"/>
      <c r="D122" s="17" t="str">
        <f t="shared" ref="D122:J122" si="64">OFFSET(D122,$G$2,,,)</f>
        <v/>
      </c>
      <c r="E122" s="17">
        <f t="shared" si="64"/>
        <v>0.08</v>
      </c>
      <c r="F122" s="17">
        <f t="shared" si="64"/>
        <v>0.0775</v>
      </c>
      <c r="G122" s="17">
        <f t="shared" si="64"/>
        <v>0.075</v>
      </c>
      <c r="H122" s="17">
        <f t="shared" si="64"/>
        <v>0.0725</v>
      </c>
      <c r="I122" s="17">
        <f t="shared" si="64"/>
        <v>0.07</v>
      </c>
      <c r="J122" s="17">
        <f t="shared" si="64"/>
        <v>0.07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 t="s">
        <v>15</v>
      </c>
      <c r="C123" s="14"/>
      <c r="D123" s="18"/>
      <c r="E123" s="18">
        <v>0.08</v>
      </c>
      <c r="F123" s="18">
        <f t="shared" ref="F123:I123" si="65">+E123-0.25%</f>
        <v>0.0775</v>
      </c>
      <c r="G123" s="18">
        <f t="shared" si="65"/>
        <v>0.075</v>
      </c>
      <c r="H123" s="18">
        <f t="shared" si="65"/>
        <v>0.0725</v>
      </c>
      <c r="I123" s="18">
        <f t="shared" si="65"/>
        <v>0.07</v>
      </c>
      <c r="J123" s="18">
        <v>0.06999999999999999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 t="s">
        <v>16</v>
      </c>
      <c r="C124" s="14"/>
      <c r="D124" s="18"/>
      <c r="E124" s="18">
        <v>0.075</v>
      </c>
      <c r="F124" s="18">
        <f t="shared" ref="F124:I124" si="66">+E124-0.25%</f>
        <v>0.0725</v>
      </c>
      <c r="G124" s="18">
        <f t="shared" si="66"/>
        <v>0.07</v>
      </c>
      <c r="H124" s="18">
        <f t="shared" si="66"/>
        <v>0.0675</v>
      </c>
      <c r="I124" s="18">
        <f t="shared" si="66"/>
        <v>0.065</v>
      </c>
      <c r="J124" s="18">
        <v>0.06499999999999999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 t="s">
        <v>17</v>
      </c>
      <c r="C125" s="14"/>
      <c r="D125" s="18"/>
      <c r="E125" s="18">
        <v>0.085</v>
      </c>
      <c r="F125" s="18">
        <f t="shared" ref="F125:I125" si="67">+E125-0.25%</f>
        <v>0.0825</v>
      </c>
      <c r="G125" s="18">
        <f t="shared" si="67"/>
        <v>0.08</v>
      </c>
      <c r="H125" s="18">
        <f t="shared" si="67"/>
        <v>0.0775</v>
      </c>
      <c r="I125" s="18">
        <f t="shared" si="67"/>
        <v>0.075</v>
      </c>
      <c r="J125" s="18">
        <v>0.075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1" t="s">
        <v>41</v>
      </c>
      <c r="C127" s="12"/>
      <c r="D127" s="17" t="str">
        <f t="shared" ref="D127:J127" si="68">OFFSET(D127,$G$2,,,)</f>
        <v/>
      </c>
      <c r="E127" s="17">
        <f t="shared" si="68"/>
        <v>0.085</v>
      </c>
      <c r="F127" s="17">
        <f t="shared" si="68"/>
        <v>0.0825</v>
      </c>
      <c r="G127" s="17">
        <f t="shared" si="68"/>
        <v>0.08</v>
      </c>
      <c r="H127" s="17">
        <f t="shared" si="68"/>
        <v>0.08</v>
      </c>
      <c r="I127" s="17">
        <f t="shared" si="68"/>
        <v>0.08</v>
      </c>
      <c r="J127" s="17">
        <f t="shared" si="68"/>
        <v>0.08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 t="s">
        <v>15</v>
      </c>
      <c r="C128" s="14"/>
      <c r="D128" s="18"/>
      <c r="E128" s="18">
        <v>0.085</v>
      </c>
      <c r="F128" s="18">
        <v>0.0825</v>
      </c>
      <c r="G128" s="18">
        <v>0.08</v>
      </c>
      <c r="H128" s="18">
        <v>0.08</v>
      </c>
      <c r="I128" s="18">
        <v>0.08</v>
      </c>
      <c r="J128" s="18">
        <v>0.08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 t="s">
        <v>16</v>
      </c>
      <c r="C129" s="14"/>
      <c r="D129" s="18"/>
      <c r="E129" s="18">
        <v>0.08</v>
      </c>
      <c r="F129" s="18">
        <v>0.0775</v>
      </c>
      <c r="G129" s="18">
        <v>0.075</v>
      </c>
      <c r="H129" s="18">
        <v>0.075</v>
      </c>
      <c r="I129" s="18">
        <v>0.075</v>
      </c>
      <c r="J129" s="18">
        <v>0.075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 t="s">
        <v>17</v>
      </c>
      <c r="C130" s="14"/>
      <c r="D130" s="18"/>
      <c r="E130" s="18">
        <v>0.09</v>
      </c>
      <c r="F130" s="18">
        <v>0.0875</v>
      </c>
      <c r="G130" s="18">
        <v>0.085</v>
      </c>
      <c r="H130" s="18">
        <v>0.085</v>
      </c>
      <c r="I130" s="18">
        <v>0.085</v>
      </c>
      <c r="J130" s="18">
        <v>0.085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1" t="s">
        <v>42</v>
      </c>
      <c r="C132" s="12"/>
      <c r="D132" s="17" t="str">
        <f t="shared" ref="D132:J132" si="69">OFFSET(D132,$G$2,,,)</f>
        <v/>
      </c>
      <c r="E132" s="17">
        <f t="shared" si="69"/>
        <v>0.045</v>
      </c>
      <c r="F132" s="17">
        <f t="shared" si="69"/>
        <v>0.0475</v>
      </c>
      <c r="G132" s="17">
        <f t="shared" si="69"/>
        <v>0.0475</v>
      </c>
      <c r="H132" s="17">
        <f t="shared" si="69"/>
        <v>0.05</v>
      </c>
      <c r="I132" s="17">
        <f t="shared" si="69"/>
        <v>0.05</v>
      </c>
      <c r="J132" s="17">
        <f t="shared" si="69"/>
        <v>0.05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 t="s">
        <v>15</v>
      </c>
      <c r="C133" s="14"/>
      <c r="D133" s="18"/>
      <c r="E133" s="18">
        <v>0.045</v>
      </c>
      <c r="F133" s="18">
        <v>0.0475</v>
      </c>
      <c r="G133" s="18">
        <v>0.0475</v>
      </c>
      <c r="H133" s="18">
        <v>0.05</v>
      </c>
      <c r="I133" s="18">
        <v>0.05</v>
      </c>
      <c r="J133" s="18">
        <v>0.05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 t="s">
        <v>16</v>
      </c>
      <c r="C134" s="14"/>
      <c r="D134" s="18"/>
      <c r="E134" s="18">
        <v>0.0425</v>
      </c>
      <c r="F134" s="18">
        <v>0.045</v>
      </c>
      <c r="G134" s="18">
        <v>0.045</v>
      </c>
      <c r="H134" s="18">
        <v>0.045</v>
      </c>
      <c r="I134" s="18">
        <v>0.045</v>
      </c>
      <c r="J134" s="18">
        <v>0.045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 t="s">
        <v>17</v>
      </c>
      <c r="C135" s="14"/>
      <c r="D135" s="18"/>
      <c r="E135" s="18">
        <v>0.0475</v>
      </c>
      <c r="F135" s="18">
        <v>0.05</v>
      </c>
      <c r="G135" s="18">
        <v>0.05</v>
      </c>
      <c r="H135" s="18">
        <v>0.0525</v>
      </c>
      <c r="I135" s="18">
        <v>0.0525</v>
      </c>
      <c r="J135" s="18">
        <v>0.0525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1" t="s">
        <v>43</v>
      </c>
      <c r="C137" s="12"/>
      <c r="D137" s="13">
        <f t="shared" ref="D137:J137" si="70">OFFSET(D137,$G$2,,,)</f>
        <v>17702202</v>
      </c>
      <c r="E137" s="13">
        <f t="shared" si="70"/>
        <v>18144757.05</v>
      </c>
      <c r="F137" s="13">
        <f t="shared" si="70"/>
        <v>18598375.98</v>
      </c>
      <c r="G137" s="13">
        <f t="shared" si="70"/>
        <v>19063335.38</v>
      </c>
      <c r="H137" s="13">
        <f t="shared" si="70"/>
        <v>19539918.76</v>
      </c>
      <c r="I137" s="13">
        <f t="shared" si="70"/>
        <v>20028416.73</v>
      </c>
      <c r="J137" s="13">
        <f t="shared" si="70"/>
        <v>20529127.15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 t="s">
        <v>15</v>
      </c>
      <c r="C138" s="14"/>
      <c r="D138" s="15">
        <f>+Model!$H$139</f>
        <v>17702202</v>
      </c>
      <c r="E138" s="15">
        <f t="shared" ref="E138:J138" si="71">D138*(1+E143)</f>
        <v>18144757.05</v>
      </c>
      <c r="F138" s="15">
        <f t="shared" si="71"/>
        <v>18598375.98</v>
      </c>
      <c r="G138" s="15">
        <f t="shared" si="71"/>
        <v>19063335.38</v>
      </c>
      <c r="H138" s="15">
        <f t="shared" si="71"/>
        <v>19539918.76</v>
      </c>
      <c r="I138" s="15">
        <f t="shared" si="71"/>
        <v>20028416.73</v>
      </c>
      <c r="J138" s="15">
        <f t="shared" si="71"/>
        <v>20529127.15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 t="s">
        <v>16</v>
      </c>
      <c r="C139" s="14"/>
      <c r="D139" s="15">
        <f>+Model!$H$139</f>
        <v>17702202</v>
      </c>
      <c r="E139" s="15">
        <f t="shared" ref="E139:J139" si="72">D139*(1+E144)</f>
        <v>17702202</v>
      </c>
      <c r="F139" s="15">
        <f t="shared" si="72"/>
        <v>18056246.04</v>
      </c>
      <c r="G139" s="15">
        <f t="shared" si="72"/>
        <v>18417370.96</v>
      </c>
      <c r="H139" s="15">
        <f t="shared" si="72"/>
        <v>18785718.38</v>
      </c>
      <c r="I139" s="15">
        <f t="shared" si="72"/>
        <v>19161432.75</v>
      </c>
      <c r="J139" s="15">
        <f t="shared" si="72"/>
        <v>19544661.4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 t="s">
        <v>17</v>
      </c>
      <c r="C140" s="14"/>
      <c r="D140" s="15">
        <f>+Model!$H$139</f>
        <v>17702202</v>
      </c>
      <c r="E140" s="15">
        <f t="shared" ref="E140:J140" si="73">D140*(1+E145)</f>
        <v>18587312.1</v>
      </c>
      <c r="F140" s="15">
        <f t="shared" si="73"/>
        <v>19144931.46</v>
      </c>
      <c r="G140" s="15">
        <f t="shared" si="73"/>
        <v>19719279.41</v>
      </c>
      <c r="H140" s="15">
        <f t="shared" si="73"/>
        <v>20310857.79</v>
      </c>
      <c r="I140" s="15">
        <f t="shared" si="73"/>
        <v>20920183.52</v>
      </c>
      <c r="J140" s="15">
        <f t="shared" si="73"/>
        <v>21547789.03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1" t="s">
        <v>44</v>
      </c>
      <c r="C142" s="12"/>
      <c r="D142" s="17" t="str">
        <f t="shared" ref="D142:J142" si="74">OFFSET(D142,$G$2,,,)</f>
        <v/>
      </c>
      <c r="E142" s="17">
        <f t="shared" si="74"/>
        <v>0.025</v>
      </c>
      <c r="F142" s="17">
        <f t="shared" si="74"/>
        <v>0.025</v>
      </c>
      <c r="G142" s="17">
        <f t="shared" si="74"/>
        <v>0.025</v>
      </c>
      <c r="H142" s="17">
        <f t="shared" si="74"/>
        <v>0.025</v>
      </c>
      <c r="I142" s="17">
        <f t="shared" si="74"/>
        <v>0.025</v>
      </c>
      <c r="J142" s="17">
        <f t="shared" si="74"/>
        <v>0.025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 t="s">
        <v>15</v>
      </c>
      <c r="C143" s="14"/>
      <c r="D143" s="18"/>
      <c r="E143" s="18">
        <v>0.025</v>
      </c>
      <c r="F143" s="18">
        <v>0.025</v>
      </c>
      <c r="G143" s="18">
        <v>0.025</v>
      </c>
      <c r="H143" s="18">
        <v>0.025</v>
      </c>
      <c r="I143" s="18">
        <v>0.025</v>
      </c>
      <c r="J143" s="18">
        <v>0.025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 t="s">
        <v>16</v>
      </c>
      <c r="C144" s="14"/>
      <c r="D144" s="18"/>
      <c r="E144" s="18">
        <v>0.0</v>
      </c>
      <c r="F144" s="18">
        <v>0.02</v>
      </c>
      <c r="G144" s="18">
        <v>0.02</v>
      </c>
      <c r="H144" s="18">
        <v>0.02</v>
      </c>
      <c r="I144" s="18">
        <v>0.02</v>
      </c>
      <c r="J144" s="18">
        <v>0.02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 t="s">
        <v>17</v>
      </c>
      <c r="C145" s="14"/>
      <c r="D145" s="18"/>
      <c r="E145" s="18">
        <v>0.05</v>
      </c>
      <c r="F145" s="18">
        <v>0.03</v>
      </c>
      <c r="G145" s="18">
        <v>0.03</v>
      </c>
      <c r="H145" s="18">
        <v>0.03</v>
      </c>
      <c r="I145" s="18">
        <v>0.03</v>
      </c>
      <c r="J145" s="18">
        <v>0.03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1" t="s">
        <v>45</v>
      </c>
      <c r="C147" s="12"/>
      <c r="D147" s="17" t="str">
        <f t="shared" ref="D147:J147" si="75">OFFSET(D147,$G$2,,,)</f>
        <v/>
      </c>
      <c r="E147" s="17">
        <f t="shared" si="75"/>
        <v>0.013</v>
      </c>
      <c r="F147" s="17">
        <f t="shared" si="75"/>
        <v>0.013</v>
      </c>
      <c r="G147" s="17">
        <f t="shared" si="75"/>
        <v>0.013</v>
      </c>
      <c r="H147" s="17">
        <f t="shared" si="75"/>
        <v>0.013</v>
      </c>
      <c r="I147" s="17">
        <f t="shared" si="75"/>
        <v>0.013</v>
      </c>
      <c r="J147" s="17">
        <f t="shared" si="75"/>
        <v>0.013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 t="s">
        <v>15</v>
      </c>
      <c r="C148" s="14"/>
      <c r="D148" s="18"/>
      <c r="E148" s="18">
        <v>0.013</v>
      </c>
      <c r="F148" s="18">
        <v>0.013</v>
      </c>
      <c r="G148" s="18">
        <v>0.013</v>
      </c>
      <c r="H148" s="18">
        <v>0.013</v>
      </c>
      <c r="I148" s="18">
        <v>0.013</v>
      </c>
      <c r="J148" s="18">
        <v>0.013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 t="s">
        <v>16</v>
      </c>
      <c r="C149" s="14"/>
      <c r="D149" s="18"/>
      <c r="E149" s="18">
        <v>0.013</v>
      </c>
      <c r="F149" s="18">
        <v>0.013</v>
      </c>
      <c r="G149" s="18">
        <v>0.013</v>
      </c>
      <c r="H149" s="18">
        <v>0.013</v>
      </c>
      <c r="I149" s="18">
        <v>0.013</v>
      </c>
      <c r="J149" s="18">
        <v>0.013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 t="s">
        <v>17</v>
      </c>
      <c r="C150" s="14"/>
      <c r="D150" s="18"/>
      <c r="E150" s="18">
        <v>0.013</v>
      </c>
      <c r="F150" s="18">
        <v>0.013</v>
      </c>
      <c r="G150" s="18">
        <v>0.013</v>
      </c>
      <c r="H150" s="18">
        <v>0.013</v>
      </c>
      <c r="I150" s="18">
        <v>0.013</v>
      </c>
      <c r="J150" s="18">
        <v>0.013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1" t="s">
        <v>46</v>
      </c>
      <c r="C152" s="12"/>
      <c r="D152" s="13" t="str">
        <f t="shared" ref="D152:J152" si="76">OFFSET(D152,$G$2,,,)</f>
        <v/>
      </c>
      <c r="E152" s="13">
        <f t="shared" si="76"/>
        <v>4</v>
      </c>
      <c r="F152" s="13">
        <f t="shared" si="76"/>
        <v>4</v>
      </c>
      <c r="G152" s="13">
        <f t="shared" si="76"/>
        <v>4</v>
      </c>
      <c r="H152" s="13">
        <f t="shared" si="76"/>
        <v>4</v>
      </c>
      <c r="I152" s="13">
        <f t="shared" si="76"/>
        <v>4</v>
      </c>
      <c r="J152" s="13">
        <f t="shared" si="76"/>
        <v>4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 t="s">
        <v>15</v>
      </c>
      <c r="C153" s="14"/>
      <c r="D153" s="15"/>
      <c r="E153" s="16">
        <v>4.0</v>
      </c>
      <c r="F153" s="16">
        <v>4.0</v>
      </c>
      <c r="G153" s="16">
        <v>4.0</v>
      </c>
      <c r="H153" s="16">
        <v>4.0</v>
      </c>
      <c r="I153" s="16">
        <v>4.0</v>
      </c>
      <c r="J153" s="16">
        <v>4.0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 t="s">
        <v>16</v>
      </c>
      <c r="C154" s="14"/>
      <c r="D154" s="15"/>
      <c r="E154" s="16">
        <v>4.0</v>
      </c>
      <c r="F154" s="16">
        <v>4.0</v>
      </c>
      <c r="G154" s="16">
        <v>4.0</v>
      </c>
      <c r="H154" s="16">
        <v>4.0</v>
      </c>
      <c r="I154" s="16">
        <v>4.0</v>
      </c>
      <c r="J154" s="16">
        <v>4.0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 t="s">
        <v>17</v>
      </c>
      <c r="C155" s="14"/>
      <c r="D155" s="15"/>
      <c r="E155" s="16">
        <v>4.0</v>
      </c>
      <c r="F155" s="16">
        <v>4.0</v>
      </c>
      <c r="G155" s="16">
        <v>4.0</v>
      </c>
      <c r="H155" s="16">
        <v>4.0</v>
      </c>
      <c r="I155" s="16">
        <v>4.0</v>
      </c>
      <c r="J155" s="16">
        <v>4.0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1" t="s">
        <v>47</v>
      </c>
      <c r="C157" s="12"/>
      <c r="D157" s="19">
        <f t="shared" ref="D157:J157" si="77">OFFSET(D157,$G$2,,,)</f>
        <v>6.350176573</v>
      </c>
      <c r="E157" s="19">
        <f t="shared" si="77"/>
        <v>6.350176573</v>
      </c>
      <c r="F157" s="19">
        <f t="shared" si="77"/>
        <v>6.350176573</v>
      </c>
      <c r="G157" s="19">
        <f t="shared" si="77"/>
        <v>6.350176573</v>
      </c>
      <c r="H157" s="19">
        <f t="shared" si="77"/>
        <v>6.350176573</v>
      </c>
      <c r="I157" s="19">
        <f t="shared" si="77"/>
        <v>6.350176573</v>
      </c>
      <c r="J157" s="19">
        <f t="shared" si="77"/>
        <v>6.350176573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 t="s">
        <v>15</v>
      </c>
      <c r="C158" s="14"/>
      <c r="D158" s="20">
        <f>+Model!$H$77/Model!$H$45</f>
        <v>6.350176573</v>
      </c>
      <c r="E158" s="21">
        <f t="shared" ref="E158:J158" si="78">+$D$158</f>
        <v>6.350176573</v>
      </c>
      <c r="F158" s="21">
        <f t="shared" si="78"/>
        <v>6.350176573</v>
      </c>
      <c r="G158" s="21">
        <f t="shared" si="78"/>
        <v>6.350176573</v>
      </c>
      <c r="H158" s="21">
        <f t="shared" si="78"/>
        <v>6.350176573</v>
      </c>
      <c r="I158" s="21">
        <f t="shared" si="78"/>
        <v>6.350176573</v>
      </c>
      <c r="J158" s="21">
        <f t="shared" si="78"/>
        <v>6.350176573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 t="s">
        <v>16</v>
      </c>
      <c r="C159" s="14"/>
      <c r="D159" s="20">
        <f>+Model!$H$77/Model!$H$45</f>
        <v>6.350176573</v>
      </c>
      <c r="E159" s="21">
        <f t="shared" ref="E159:J159" si="79">+$D$158</f>
        <v>6.350176573</v>
      </c>
      <c r="F159" s="21">
        <f t="shared" si="79"/>
        <v>6.350176573</v>
      </c>
      <c r="G159" s="21">
        <f t="shared" si="79"/>
        <v>6.350176573</v>
      </c>
      <c r="H159" s="21">
        <f t="shared" si="79"/>
        <v>6.350176573</v>
      </c>
      <c r="I159" s="21">
        <f t="shared" si="79"/>
        <v>6.350176573</v>
      </c>
      <c r="J159" s="21">
        <f t="shared" si="79"/>
        <v>6.350176573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 t="s">
        <v>17</v>
      </c>
      <c r="C160" s="14"/>
      <c r="D160" s="20">
        <f>+Model!$H$77/Model!$H$45</f>
        <v>6.350176573</v>
      </c>
      <c r="E160" s="21">
        <f t="shared" ref="E160:J160" si="80">+$D$158</f>
        <v>6.350176573</v>
      </c>
      <c r="F160" s="21">
        <f t="shared" si="80"/>
        <v>6.350176573</v>
      </c>
      <c r="G160" s="21">
        <f t="shared" si="80"/>
        <v>6.350176573</v>
      </c>
      <c r="H160" s="21">
        <f t="shared" si="80"/>
        <v>6.350176573</v>
      </c>
      <c r="I160" s="21">
        <f t="shared" si="80"/>
        <v>6.350176573</v>
      </c>
      <c r="J160" s="21">
        <f t="shared" si="80"/>
        <v>6.350176573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1" t="s">
        <v>48</v>
      </c>
      <c r="C162" s="12"/>
      <c r="D162" s="17" t="str">
        <f t="shared" ref="D162:J162" si="81">OFFSET(D162,$G$2,,,)</f>
        <v/>
      </c>
      <c r="E162" s="17">
        <f t="shared" si="81"/>
        <v>0.135</v>
      </c>
      <c r="F162" s="17">
        <f t="shared" si="81"/>
        <v>0.135</v>
      </c>
      <c r="G162" s="17">
        <f t="shared" si="81"/>
        <v>0.135</v>
      </c>
      <c r="H162" s="17">
        <f t="shared" si="81"/>
        <v>0.135</v>
      </c>
      <c r="I162" s="17">
        <f t="shared" si="81"/>
        <v>0.135</v>
      </c>
      <c r="J162" s="17">
        <f t="shared" si="81"/>
        <v>0.135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 t="s">
        <v>15</v>
      </c>
      <c r="C163" s="14"/>
      <c r="D163" s="18"/>
      <c r="E163" s="18">
        <v>0.135</v>
      </c>
      <c r="F163" s="18">
        <v>0.135</v>
      </c>
      <c r="G163" s="18">
        <v>0.135</v>
      </c>
      <c r="H163" s="18">
        <v>0.135</v>
      </c>
      <c r="I163" s="18">
        <v>0.135</v>
      </c>
      <c r="J163" s="18">
        <v>0.135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 t="s">
        <v>16</v>
      </c>
      <c r="C164" s="14"/>
      <c r="D164" s="18"/>
      <c r="E164" s="18">
        <v>0.135</v>
      </c>
      <c r="F164" s="18">
        <v>0.135</v>
      </c>
      <c r="G164" s="18">
        <v>0.135</v>
      </c>
      <c r="H164" s="18">
        <v>0.135</v>
      </c>
      <c r="I164" s="18">
        <v>0.135</v>
      </c>
      <c r="J164" s="18">
        <v>0.135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 t="s">
        <v>17</v>
      </c>
      <c r="C165" s="14"/>
      <c r="D165" s="18"/>
      <c r="E165" s="18">
        <v>0.135</v>
      </c>
      <c r="F165" s="18">
        <v>0.135</v>
      </c>
      <c r="G165" s="18">
        <v>0.135</v>
      </c>
      <c r="H165" s="18">
        <v>0.135</v>
      </c>
      <c r="I165" s="18">
        <v>0.135</v>
      </c>
      <c r="J165" s="18">
        <v>0.135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1" t="s">
        <v>49</v>
      </c>
      <c r="C167" s="12"/>
      <c r="D167" s="17" t="str">
        <f t="shared" ref="D167:J167" si="82">OFFSET(D167,$G$2,,,)</f>
        <v/>
      </c>
      <c r="E167" s="17">
        <f t="shared" si="82"/>
        <v>0.0688</v>
      </c>
      <c r="F167" s="17">
        <f t="shared" si="82"/>
        <v>0.0688</v>
      </c>
      <c r="G167" s="17">
        <f t="shared" si="82"/>
        <v>0.0688</v>
      </c>
      <c r="H167" s="17">
        <f t="shared" si="82"/>
        <v>0.0688</v>
      </c>
      <c r="I167" s="17">
        <f t="shared" si="82"/>
        <v>0.0688</v>
      </c>
      <c r="J167" s="17">
        <f t="shared" si="82"/>
        <v>0.0688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 t="s">
        <v>15</v>
      </c>
      <c r="C168" s="14"/>
      <c r="D168" s="18"/>
      <c r="E168" s="18">
        <v>0.0688</v>
      </c>
      <c r="F168" s="18">
        <v>0.0688</v>
      </c>
      <c r="G168" s="18">
        <v>0.0688</v>
      </c>
      <c r="H168" s="18">
        <v>0.0688</v>
      </c>
      <c r="I168" s="18">
        <v>0.0688</v>
      </c>
      <c r="J168" s="18">
        <v>0.0688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 t="s">
        <v>16</v>
      </c>
      <c r="C169" s="14"/>
      <c r="D169" s="18"/>
      <c r="E169" s="18">
        <v>0.0688</v>
      </c>
      <c r="F169" s="18">
        <v>0.0688</v>
      </c>
      <c r="G169" s="18">
        <v>0.0688</v>
      </c>
      <c r="H169" s="18">
        <v>0.0688</v>
      </c>
      <c r="I169" s="18">
        <v>0.0688</v>
      </c>
      <c r="J169" s="18">
        <v>0.0688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 t="s">
        <v>17</v>
      </c>
      <c r="C170" s="14"/>
      <c r="D170" s="18"/>
      <c r="E170" s="18">
        <v>0.0688</v>
      </c>
      <c r="F170" s="18">
        <v>0.0688</v>
      </c>
      <c r="G170" s="18">
        <v>0.0688</v>
      </c>
      <c r="H170" s="18">
        <v>0.0688</v>
      </c>
      <c r="I170" s="18">
        <v>0.0688</v>
      </c>
      <c r="J170" s="18">
        <v>0.0688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1" t="s">
        <v>50</v>
      </c>
      <c r="C172" s="12"/>
      <c r="D172" s="13" t="str">
        <f t="shared" ref="D172:J172" si="83">OFFSET(D172,$G$2,,,)</f>
        <v/>
      </c>
      <c r="E172" s="13">
        <f t="shared" si="83"/>
        <v>60</v>
      </c>
      <c r="F172" s="13">
        <f t="shared" si="83"/>
        <v>60</v>
      </c>
      <c r="G172" s="13">
        <f t="shared" si="83"/>
        <v>60</v>
      </c>
      <c r="H172" s="13">
        <f t="shared" si="83"/>
        <v>60</v>
      </c>
      <c r="I172" s="13">
        <f t="shared" si="83"/>
        <v>60</v>
      </c>
      <c r="J172" s="13">
        <f t="shared" si="83"/>
        <v>60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 t="s">
        <v>15</v>
      </c>
      <c r="C173" s="14"/>
      <c r="D173" s="15"/>
      <c r="E173" s="16">
        <v>60.0</v>
      </c>
      <c r="F173" s="16">
        <v>60.0</v>
      </c>
      <c r="G173" s="16">
        <v>60.0</v>
      </c>
      <c r="H173" s="16">
        <v>60.0</v>
      </c>
      <c r="I173" s="16">
        <v>60.0</v>
      </c>
      <c r="J173" s="16">
        <v>60.0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 t="s">
        <v>16</v>
      </c>
      <c r="C174" s="14"/>
      <c r="D174" s="15"/>
      <c r="E174" s="16">
        <v>60.0</v>
      </c>
      <c r="F174" s="16">
        <v>60.0</v>
      </c>
      <c r="G174" s="16">
        <v>60.0</v>
      </c>
      <c r="H174" s="16">
        <v>60.0</v>
      </c>
      <c r="I174" s="16">
        <v>60.0</v>
      </c>
      <c r="J174" s="16">
        <v>60.0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 t="s">
        <v>17</v>
      </c>
      <c r="C175" s="14"/>
      <c r="D175" s="15"/>
      <c r="E175" s="16">
        <v>60.0</v>
      </c>
      <c r="F175" s="16">
        <v>60.0</v>
      </c>
      <c r="G175" s="16">
        <v>60.0</v>
      </c>
      <c r="H175" s="16">
        <v>60.0</v>
      </c>
      <c r="I175" s="16">
        <v>60.0</v>
      </c>
      <c r="J175" s="16">
        <v>60.0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1" t="s">
        <v>51</v>
      </c>
      <c r="C177" s="12"/>
      <c r="D177" s="17" t="str">
        <f t="shared" ref="D177:J177" si="84">OFFSET(D177,$G$2,,,)</f>
        <v/>
      </c>
      <c r="E177" s="17">
        <f t="shared" si="84"/>
        <v>0.05</v>
      </c>
      <c r="F177" s="17">
        <f t="shared" si="84"/>
        <v>0.05</v>
      </c>
      <c r="G177" s="17">
        <f t="shared" si="84"/>
        <v>0.05</v>
      </c>
      <c r="H177" s="17">
        <f t="shared" si="84"/>
        <v>0.05</v>
      </c>
      <c r="I177" s="17">
        <f t="shared" si="84"/>
        <v>0.05</v>
      </c>
      <c r="J177" s="17">
        <f t="shared" si="84"/>
        <v>0.05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 t="s">
        <v>15</v>
      </c>
      <c r="C178" s="14"/>
      <c r="D178" s="18"/>
      <c r="E178" s="18">
        <v>0.05</v>
      </c>
      <c r="F178" s="18">
        <v>0.05</v>
      </c>
      <c r="G178" s="18">
        <v>0.05</v>
      </c>
      <c r="H178" s="18">
        <v>0.05</v>
      </c>
      <c r="I178" s="18">
        <v>0.05</v>
      </c>
      <c r="J178" s="18">
        <v>0.05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 t="s">
        <v>16</v>
      </c>
      <c r="C179" s="14"/>
      <c r="D179" s="18"/>
      <c r="E179" s="18">
        <v>0.05</v>
      </c>
      <c r="F179" s="18">
        <v>0.05</v>
      </c>
      <c r="G179" s="18">
        <v>0.05</v>
      </c>
      <c r="H179" s="18">
        <v>0.05</v>
      </c>
      <c r="I179" s="18">
        <v>0.05</v>
      </c>
      <c r="J179" s="18">
        <v>0.05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 t="s">
        <v>17</v>
      </c>
      <c r="C180" s="14"/>
      <c r="D180" s="18"/>
      <c r="E180" s="18">
        <v>0.05</v>
      </c>
      <c r="F180" s="18">
        <v>0.05</v>
      </c>
      <c r="G180" s="18">
        <v>0.05</v>
      </c>
      <c r="H180" s="18">
        <v>0.05</v>
      </c>
      <c r="I180" s="18">
        <v>0.05</v>
      </c>
      <c r="J180" s="18">
        <v>0.05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1" t="s">
        <v>52</v>
      </c>
      <c r="C182" s="12"/>
      <c r="D182" s="17" t="str">
        <f t="shared" ref="D182:J182" si="85">OFFSET(D182,$G$2,,,)</f>
        <v/>
      </c>
      <c r="E182" s="17">
        <f t="shared" si="85"/>
        <v>0.04</v>
      </c>
      <c r="F182" s="17">
        <f t="shared" si="85"/>
        <v>0.04</v>
      </c>
      <c r="G182" s="17">
        <f t="shared" si="85"/>
        <v>0.04</v>
      </c>
      <c r="H182" s="17">
        <f t="shared" si="85"/>
        <v>0.04</v>
      </c>
      <c r="I182" s="17">
        <f t="shared" si="85"/>
        <v>0.04</v>
      </c>
      <c r="J182" s="17">
        <f t="shared" si="85"/>
        <v>0.04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 t="s">
        <v>15</v>
      </c>
      <c r="C183" s="14"/>
      <c r="D183" s="18"/>
      <c r="E183" s="18">
        <v>0.04</v>
      </c>
      <c r="F183" s="18">
        <v>0.04</v>
      </c>
      <c r="G183" s="18">
        <v>0.04</v>
      </c>
      <c r="H183" s="18">
        <v>0.04</v>
      </c>
      <c r="I183" s="18">
        <v>0.04</v>
      </c>
      <c r="J183" s="18">
        <v>0.04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 t="s">
        <v>16</v>
      </c>
      <c r="C184" s="14"/>
      <c r="D184" s="18"/>
      <c r="E184" s="18">
        <v>0.04</v>
      </c>
      <c r="F184" s="18">
        <v>0.04</v>
      </c>
      <c r="G184" s="18">
        <v>0.04</v>
      </c>
      <c r="H184" s="18">
        <v>0.04</v>
      </c>
      <c r="I184" s="18">
        <v>0.04</v>
      </c>
      <c r="J184" s="18">
        <v>0.04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 t="s">
        <v>17</v>
      </c>
      <c r="C185" s="14"/>
      <c r="D185" s="18"/>
      <c r="E185" s="18">
        <v>0.04</v>
      </c>
      <c r="F185" s="18">
        <v>0.04</v>
      </c>
      <c r="G185" s="18">
        <v>0.04</v>
      </c>
      <c r="H185" s="18">
        <v>0.04</v>
      </c>
      <c r="I185" s="18">
        <v>0.04</v>
      </c>
      <c r="J185" s="18">
        <v>0.04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1" t="s">
        <v>53</v>
      </c>
      <c r="C187" s="12"/>
      <c r="D187" s="17" t="str">
        <f t="shared" ref="D187:J187" si="86">OFFSET(D187,$G$2,,,)</f>
        <v/>
      </c>
      <c r="E187" s="17">
        <f t="shared" si="86"/>
        <v>0.083</v>
      </c>
      <c r="F187" s="17">
        <f t="shared" si="86"/>
        <v>0.083</v>
      </c>
      <c r="G187" s="17">
        <f t="shared" si="86"/>
        <v>0.083</v>
      </c>
      <c r="H187" s="17">
        <f t="shared" si="86"/>
        <v>0.083</v>
      </c>
      <c r="I187" s="17">
        <f t="shared" si="86"/>
        <v>0.083</v>
      </c>
      <c r="J187" s="17">
        <f t="shared" si="86"/>
        <v>0.083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 t="s">
        <v>15</v>
      </c>
      <c r="C188" s="14"/>
      <c r="D188" s="18"/>
      <c r="E188" s="18">
        <v>0.083</v>
      </c>
      <c r="F188" s="18">
        <v>0.083</v>
      </c>
      <c r="G188" s="18">
        <v>0.083</v>
      </c>
      <c r="H188" s="18">
        <v>0.083</v>
      </c>
      <c r="I188" s="18">
        <v>0.083</v>
      </c>
      <c r="J188" s="18">
        <v>0.083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 t="s">
        <v>16</v>
      </c>
      <c r="C189" s="14"/>
      <c r="D189" s="18"/>
      <c r="E189" s="18">
        <v>0.083</v>
      </c>
      <c r="F189" s="18">
        <v>0.083</v>
      </c>
      <c r="G189" s="18">
        <v>0.083</v>
      </c>
      <c r="H189" s="18">
        <v>0.083</v>
      </c>
      <c r="I189" s="18">
        <v>0.083</v>
      </c>
      <c r="J189" s="18">
        <v>0.083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 t="s">
        <v>17</v>
      </c>
      <c r="C190" s="14"/>
      <c r="D190" s="18"/>
      <c r="E190" s="18">
        <v>0.083</v>
      </c>
      <c r="F190" s="18">
        <v>0.083</v>
      </c>
      <c r="G190" s="18">
        <v>0.083</v>
      </c>
      <c r="H190" s="18">
        <v>0.083</v>
      </c>
      <c r="I190" s="18">
        <v>0.083</v>
      </c>
      <c r="J190" s="18">
        <v>0.083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1" t="s">
        <v>54</v>
      </c>
      <c r="C192" s="12"/>
      <c r="D192" s="13" t="str">
        <f t="shared" ref="D192:J192" si="87">OFFSET(D192,$G$2,,,)</f>
        <v/>
      </c>
      <c r="E192" s="13">
        <f t="shared" si="87"/>
        <v>220</v>
      </c>
      <c r="F192" s="13">
        <f t="shared" si="87"/>
        <v>220</v>
      </c>
      <c r="G192" s="13">
        <f t="shared" si="87"/>
        <v>220</v>
      </c>
      <c r="H192" s="13">
        <f t="shared" si="87"/>
        <v>220</v>
      </c>
      <c r="I192" s="13">
        <f t="shared" si="87"/>
        <v>220</v>
      </c>
      <c r="J192" s="13">
        <f t="shared" si="87"/>
        <v>220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 t="s">
        <v>15</v>
      </c>
      <c r="C193" s="14"/>
      <c r="D193" s="15"/>
      <c r="E193" s="16">
        <v>220.0</v>
      </c>
      <c r="F193" s="16">
        <v>220.0</v>
      </c>
      <c r="G193" s="16">
        <v>220.0</v>
      </c>
      <c r="H193" s="16">
        <v>220.0</v>
      </c>
      <c r="I193" s="16">
        <v>220.0</v>
      </c>
      <c r="J193" s="16">
        <v>220.0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 t="s">
        <v>16</v>
      </c>
      <c r="C194" s="14"/>
      <c r="D194" s="15"/>
      <c r="E194" s="16">
        <v>220.0</v>
      </c>
      <c r="F194" s="16">
        <v>220.0</v>
      </c>
      <c r="G194" s="16">
        <v>220.0</v>
      </c>
      <c r="H194" s="16">
        <v>220.0</v>
      </c>
      <c r="I194" s="16">
        <v>220.0</v>
      </c>
      <c r="J194" s="16">
        <v>220.0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 t="s">
        <v>17</v>
      </c>
      <c r="C195" s="14"/>
      <c r="D195" s="15"/>
      <c r="E195" s="16">
        <v>220.0</v>
      </c>
      <c r="F195" s="16">
        <v>220.0</v>
      </c>
      <c r="G195" s="16">
        <v>220.0</v>
      </c>
      <c r="H195" s="16">
        <v>220.0</v>
      </c>
      <c r="I195" s="16">
        <v>220.0</v>
      </c>
      <c r="J195" s="16">
        <v>220.0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1" t="s">
        <v>55</v>
      </c>
      <c r="C197" s="12"/>
      <c r="D197" s="17"/>
      <c r="E197" s="17">
        <f t="shared" ref="E197:J197" si="88">OFFSET(E197,$G$2,,,)</f>
        <v>0.25</v>
      </c>
      <c r="F197" s="17">
        <f t="shared" si="88"/>
        <v>0.25</v>
      </c>
      <c r="G197" s="17">
        <f t="shared" si="88"/>
        <v>0.25</v>
      </c>
      <c r="H197" s="17">
        <f t="shared" si="88"/>
        <v>0.25</v>
      </c>
      <c r="I197" s="17">
        <f t="shared" si="88"/>
        <v>0.25</v>
      </c>
      <c r="J197" s="17">
        <f t="shared" si="88"/>
        <v>0.25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 t="s">
        <v>15</v>
      </c>
      <c r="C198" s="14"/>
      <c r="D198" s="18"/>
      <c r="E198" s="18">
        <v>0.25</v>
      </c>
      <c r="F198" s="18">
        <v>0.25</v>
      </c>
      <c r="G198" s="18">
        <v>0.25</v>
      </c>
      <c r="H198" s="18">
        <v>0.25</v>
      </c>
      <c r="I198" s="18">
        <v>0.25</v>
      </c>
      <c r="J198" s="18">
        <v>0.25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 t="s">
        <v>16</v>
      </c>
      <c r="C199" s="14"/>
      <c r="D199" s="18"/>
      <c r="E199" s="18">
        <v>0.25</v>
      </c>
      <c r="F199" s="18">
        <v>0.25</v>
      </c>
      <c r="G199" s="18">
        <v>0.25</v>
      </c>
      <c r="H199" s="18">
        <v>0.25</v>
      </c>
      <c r="I199" s="18">
        <v>0.25</v>
      </c>
      <c r="J199" s="18">
        <v>0.25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 t="s">
        <v>17</v>
      </c>
      <c r="C200" s="14"/>
      <c r="D200" s="18"/>
      <c r="E200" s="18">
        <v>0.25</v>
      </c>
      <c r="F200" s="18">
        <v>0.25</v>
      </c>
      <c r="G200" s="18">
        <v>0.25</v>
      </c>
      <c r="H200" s="18">
        <v>0.25</v>
      </c>
      <c r="I200" s="18">
        <v>0.25</v>
      </c>
      <c r="J200" s="18">
        <v>0.25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1" t="s">
        <v>56</v>
      </c>
      <c r="C202" s="12"/>
      <c r="D202" s="17"/>
      <c r="E202" s="17">
        <f t="shared" ref="E202:J202" si="89">OFFSET(E202,$G$2,,,)</f>
        <v>0</v>
      </c>
      <c r="F202" s="17">
        <f t="shared" si="89"/>
        <v>0</v>
      </c>
      <c r="G202" s="17">
        <f t="shared" si="89"/>
        <v>0</v>
      </c>
      <c r="H202" s="17">
        <f t="shared" si="89"/>
        <v>0</v>
      </c>
      <c r="I202" s="17">
        <f t="shared" si="89"/>
        <v>0</v>
      </c>
      <c r="J202" s="17">
        <f t="shared" si="89"/>
        <v>0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 t="s">
        <v>15</v>
      </c>
      <c r="C203" s="14"/>
      <c r="D203" s="18"/>
      <c r="E203" s="18">
        <v>0.0</v>
      </c>
      <c r="F203" s="18">
        <v>0.0</v>
      </c>
      <c r="G203" s="18">
        <v>0.0</v>
      </c>
      <c r="H203" s="18">
        <v>0.0</v>
      </c>
      <c r="I203" s="18">
        <v>0.0</v>
      </c>
      <c r="J203" s="18">
        <v>0.0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 t="s">
        <v>16</v>
      </c>
      <c r="C204" s="14"/>
      <c r="D204" s="18"/>
      <c r="E204" s="18">
        <v>0.0</v>
      </c>
      <c r="F204" s="18">
        <v>0.0</v>
      </c>
      <c r="G204" s="18">
        <v>0.0</v>
      </c>
      <c r="H204" s="18">
        <v>0.0</v>
      </c>
      <c r="I204" s="18">
        <v>0.0</v>
      </c>
      <c r="J204" s="18">
        <v>0.0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 t="s">
        <v>17</v>
      </c>
      <c r="C205" s="14"/>
      <c r="D205" s="18"/>
      <c r="E205" s="18">
        <v>0.0</v>
      </c>
      <c r="F205" s="18">
        <v>0.0</v>
      </c>
      <c r="G205" s="18">
        <v>0.0</v>
      </c>
      <c r="H205" s="18">
        <v>0.0</v>
      </c>
      <c r="I205" s="18">
        <v>0.0</v>
      </c>
      <c r="J205" s="18">
        <v>0.0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1" t="s">
        <v>57</v>
      </c>
      <c r="C207" s="12"/>
      <c r="D207" s="13"/>
      <c r="E207" s="13">
        <f t="shared" ref="E207:J207" si="90">OFFSET(E207,$G$2,,,)</f>
        <v>3000000</v>
      </c>
      <c r="F207" s="13">
        <f t="shared" si="90"/>
        <v>3000000</v>
      </c>
      <c r="G207" s="13">
        <f t="shared" si="90"/>
        <v>3000000</v>
      </c>
      <c r="H207" s="13">
        <f t="shared" si="90"/>
        <v>3000000</v>
      </c>
      <c r="I207" s="13">
        <f t="shared" si="90"/>
        <v>3000000</v>
      </c>
      <c r="J207" s="13">
        <f t="shared" si="90"/>
        <v>3000000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 t="s">
        <v>15</v>
      </c>
      <c r="C208" s="14"/>
      <c r="D208" s="15"/>
      <c r="E208" s="16">
        <v>3000000.0</v>
      </c>
      <c r="F208" s="16">
        <v>3000000.0</v>
      </c>
      <c r="G208" s="16">
        <v>3000000.0</v>
      </c>
      <c r="H208" s="16">
        <v>3000000.0</v>
      </c>
      <c r="I208" s="16">
        <v>3000000.0</v>
      </c>
      <c r="J208" s="16">
        <v>3000000.0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 t="s">
        <v>16</v>
      </c>
      <c r="C209" s="14"/>
      <c r="D209" s="15"/>
      <c r="E209" s="16">
        <v>3000000.0</v>
      </c>
      <c r="F209" s="16">
        <v>3000000.0</v>
      </c>
      <c r="G209" s="16">
        <v>3000000.0</v>
      </c>
      <c r="H209" s="16">
        <v>3000000.0</v>
      </c>
      <c r="I209" s="16">
        <v>3000000.0</v>
      </c>
      <c r="J209" s="16">
        <v>3000000.0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 t="s">
        <v>17</v>
      </c>
      <c r="C210" s="14"/>
      <c r="D210" s="15"/>
      <c r="E210" s="16">
        <v>3000000.0</v>
      </c>
      <c r="F210" s="16">
        <v>3000000.0</v>
      </c>
      <c r="G210" s="16">
        <v>3000000.0</v>
      </c>
      <c r="H210" s="16">
        <v>3000000.0</v>
      </c>
      <c r="I210" s="16">
        <v>3000000.0</v>
      </c>
      <c r="J210" s="16">
        <v>3000000.0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 outlineLevelCol="1"/>
  <cols>
    <col customWidth="1" min="1" max="2" width="2.71"/>
    <col customWidth="1" min="3" max="3" width="35.57"/>
    <col customWidth="1" min="4" max="9" width="12.57" outlineLevel="1"/>
    <col customWidth="1" min="10" max="10" width="12.57"/>
    <col customWidth="1" min="11" max="14" width="12.57" outlineLevel="1"/>
    <col customWidth="1" min="15" max="18" width="12.57"/>
    <col customWidth="1" min="19" max="26" width="9.14"/>
  </cols>
  <sheetData>
    <row r="1" ht="12.75" customHeight="1">
      <c r="A1" s="15"/>
      <c r="B1" s="15"/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2.75" customHeight="1">
      <c r="A2" s="15"/>
      <c r="B2" s="15"/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5"/>
      <c r="T2" s="15"/>
      <c r="U2" s="15"/>
      <c r="V2" s="15"/>
      <c r="W2" s="15"/>
      <c r="X2" s="15"/>
      <c r="Y2" s="15"/>
      <c r="Z2" s="15"/>
    </row>
    <row r="3" ht="12.75" customHeight="1">
      <c r="A3" s="15"/>
      <c r="B3" s="15"/>
      <c r="C3" s="6" t="s">
        <v>58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5"/>
      <c r="T3" s="15"/>
      <c r="U3" s="15"/>
      <c r="V3" s="15"/>
      <c r="W3" s="15"/>
      <c r="X3" s="15"/>
      <c r="Y3" s="15"/>
      <c r="Z3" s="15"/>
    </row>
    <row r="4" ht="12.75" customHeight="1">
      <c r="A4" s="15"/>
      <c r="B4" s="15"/>
      <c r="C4" s="22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2.75" customHeight="1">
      <c r="A5" s="15"/>
      <c r="B5" s="15"/>
      <c r="C5" s="23" t="s">
        <v>59</v>
      </c>
      <c r="D5" s="24" t="s">
        <v>60</v>
      </c>
      <c r="E5" s="24" t="s">
        <v>61</v>
      </c>
      <c r="F5" s="24" t="s">
        <v>62</v>
      </c>
      <c r="G5" s="24" t="s">
        <v>63</v>
      </c>
      <c r="H5" s="25" t="s">
        <v>64</v>
      </c>
      <c r="I5" s="25" t="s">
        <v>65</v>
      </c>
      <c r="J5" s="25">
        <v>2022.0</v>
      </c>
      <c r="K5" s="25" t="s">
        <v>66</v>
      </c>
      <c r="L5" s="25" t="s">
        <v>67</v>
      </c>
      <c r="M5" s="25" t="s">
        <v>68</v>
      </c>
      <c r="N5" s="25" t="s">
        <v>69</v>
      </c>
      <c r="O5" s="25">
        <v>2023.0</v>
      </c>
      <c r="P5" s="25">
        <v>2024.0</v>
      </c>
      <c r="Q5" s="25">
        <v>2025.0</v>
      </c>
      <c r="R5" s="25"/>
      <c r="S5" s="15"/>
      <c r="T5" s="15"/>
      <c r="U5" s="15"/>
      <c r="V5" s="15"/>
      <c r="W5" s="15"/>
      <c r="X5" s="15"/>
      <c r="Y5" s="15"/>
      <c r="Z5" s="15"/>
    </row>
    <row r="6" ht="12.75" customHeight="1">
      <c r="A6" s="15"/>
      <c r="B6" s="15"/>
      <c r="C6" s="1" t="s">
        <v>70</v>
      </c>
      <c r="D6" s="15">
        <v>7867767.0</v>
      </c>
      <c r="E6" s="15">
        <v>7970141.0</v>
      </c>
      <c r="F6" s="15">
        <f t="shared" ref="F6:F7" si="1">+E6+D6</f>
        <v>15837908</v>
      </c>
      <c r="G6" s="15">
        <f t="shared" ref="G6:G7" si="2">+F6*2</f>
        <v>31675816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15"/>
      <c r="B7" s="15"/>
      <c r="C7" s="1" t="s">
        <v>71</v>
      </c>
      <c r="D7" s="15">
        <v>-4284705.0</v>
      </c>
      <c r="E7" s="15">
        <v>-4690755.0</v>
      </c>
      <c r="F7" s="15">
        <f t="shared" si="1"/>
        <v>-8975460</v>
      </c>
      <c r="G7" s="15">
        <f t="shared" si="2"/>
        <v>-17950920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15"/>
      <c r="B8" s="15"/>
      <c r="C8" s="26" t="s">
        <v>72</v>
      </c>
      <c r="D8" s="27">
        <f t="shared" ref="D8:G8" si="3">+D7+D6</f>
        <v>3583062</v>
      </c>
      <c r="E8" s="27">
        <f t="shared" si="3"/>
        <v>3279386</v>
      </c>
      <c r="F8" s="27">
        <f t="shared" si="3"/>
        <v>6862448</v>
      </c>
      <c r="G8" s="27">
        <f t="shared" si="3"/>
        <v>13724896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15"/>
      <c r="B9" s="15"/>
      <c r="C9" s="28" t="s">
        <v>73</v>
      </c>
      <c r="D9" s="29">
        <f t="shared" ref="D9:G9" si="4">+D8/D$6</f>
        <v>0.4554102835</v>
      </c>
      <c r="E9" s="29">
        <f t="shared" si="4"/>
        <v>0.4114589692</v>
      </c>
      <c r="F9" s="29">
        <f t="shared" si="4"/>
        <v>0.4332925788</v>
      </c>
      <c r="G9" s="29">
        <f t="shared" si="4"/>
        <v>0.4332925788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15"/>
      <c r="B10" s="15"/>
      <c r="C10" s="28"/>
      <c r="D10" s="29"/>
      <c r="E10" s="29"/>
      <c r="F10" s="29"/>
      <c r="G10" s="29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15"/>
      <c r="B11" s="15"/>
      <c r="C11" s="1" t="s">
        <v>74</v>
      </c>
      <c r="D11" s="15"/>
      <c r="E11" s="15"/>
      <c r="F11" s="15"/>
      <c r="G11" s="15">
        <v>-4779280.0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15"/>
      <c r="B12" s="15"/>
      <c r="C12" s="26" t="s">
        <v>75</v>
      </c>
      <c r="D12" s="27"/>
      <c r="E12" s="27"/>
      <c r="F12" s="27"/>
      <c r="G12" s="27">
        <f>+G11+G73+G74</f>
        <v>8392360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15"/>
      <c r="B13" s="15"/>
      <c r="C13" s="28" t="s">
        <v>76</v>
      </c>
      <c r="D13" s="29"/>
      <c r="E13" s="29"/>
      <c r="F13" s="29"/>
      <c r="G13" s="29">
        <v>0.8491189619235066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2.75" customHeight="1">
      <c r="A14" s="15"/>
      <c r="B14" s="15"/>
      <c r="C14" s="30"/>
      <c r="D14" s="31"/>
      <c r="E14" s="31"/>
      <c r="F14" s="31"/>
      <c r="G14" s="31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2.75" customHeight="1">
      <c r="A15" s="15"/>
      <c r="B15" s="15"/>
      <c r="C15" s="1" t="s">
        <v>77</v>
      </c>
      <c r="D15" s="15">
        <v>-555978.0</v>
      </c>
      <c r="E15" s="15">
        <v>-574960.0</v>
      </c>
      <c r="F15" s="15">
        <f>+E15+D15</f>
        <v>-1130938</v>
      </c>
      <c r="G15" s="15">
        <f>+F15*2</f>
        <v>-2261876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15"/>
      <c r="B16" s="15"/>
      <c r="C16" s="1"/>
      <c r="D16" s="15"/>
      <c r="E16" s="15"/>
      <c r="F16" s="15"/>
      <c r="G16" s="29">
        <f>-G15/G$6</f>
        <v>0.07140703179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15"/>
      <c r="B17" s="15"/>
      <c r="C17" s="1" t="s">
        <v>78</v>
      </c>
      <c r="D17" s="15">
        <v>-657530.0</v>
      </c>
      <c r="E17" s="15">
        <v>-716846.0</v>
      </c>
      <c r="F17" s="15">
        <f>+E17+D17</f>
        <v>-1374376</v>
      </c>
      <c r="G17" s="15">
        <f>+F17*2</f>
        <v>-2748752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15"/>
      <c r="B18" s="15"/>
      <c r="C18" s="1"/>
      <c r="D18" s="15"/>
      <c r="E18" s="15"/>
      <c r="F18" s="15"/>
      <c r="G18" s="29">
        <f>-G17/G$6</f>
        <v>0.0867776224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15"/>
      <c r="B19" s="15"/>
      <c r="C19" s="1" t="s">
        <v>79</v>
      </c>
      <c r="D19" s="15">
        <v>-397928.0</v>
      </c>
      <c r="E19" s="15">
        <v>-409297.0</v>
      </c>
      <c r="F19" s="15">
        <f>+E19+D19</f>
        <v>-807225</v>
      </c>
      <c r="G19" s="15">
        <f>+F19*2</f>
        <v>-1614450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5"/>
      <c r="B20" s="15"/>
      <c r="C20" s="1"/>
      <c r="D20" s="15"/>
      <c r="E20" s="15"/>
      <c r="F20" s="15"/>
      <c r="G20" s="29">
        <f>-G19/G$6</f>
        <v>0.05096790561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5"/>
      <c r="B21" s="15"/>
      <c r="C21" s="26" t="s">
        <v>80</v>
      </c>
      <c r="D21" s="27">
        <f t="shared" ref="D21:G21" si="5">+D8+D15+D17+D19</f>
        <v>1971626</v>
      </c>
      <c r="E21" s="27">
        <f t="shared" si="5"/>
        <v>1578283</v>
      </c>
      <c r="F21" s="27">
        <f t="shared" si="5"/>
        <v>3549909</v>
      </c>
      <c r="G21" s="27">
        <f t="shared" si="5"/>
        <v>7099818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15"/>
      <c r="B22" s="15"/>
      <c r="C22" s="28" t="s">
        <v>81</v>
      </c>
      <c r="D22" s="29">
        <f t="shared" ref="D22:G22" si="6">+D21/D$6</f>
        <v>0.2505953722</v>
      </c>
      <c r="E22" s="29">
        <f t="shared" si="6"/>
        <v>0.1980244766</v>
      </c>
      <c r="F22" s="29">
        <f t="shared" si="6"/>
        <v>0.224140019</v>
      </c>
      <c r="G22" s="29">
        <f t="shared" si="6"/>
        <v>0.224140019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15"/>
      <c r="B23" s="15"/>
      <c r="C23" s="30"/>
      <c r="D23" s="31"/>
      <c r="E23" s="31"/>
      <c r="F23" s="31"/>
      <c r="G23" s="31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15"/>
      <c r="B24" s="15"/>
      <c r="C24" s="1" t="s">
        <v>82</v>
      </c>
      <c r="D24" s="15">
        <v>-187579.0</v>
      </c>
      <c r="E24" s="15">
        <v>-175455.0</v>
      </c>
      <c r="F24" s="15">
        <f t="shared" ref="F24:F26" si="7">+E24+D24</f>
        <v>-363034</v>
      </c>
      <c r="G24" s="15">
        <f t="shared" ref="G24:G26" si="8">+F24*2</f>
        <v>-726068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15"/>
      <c r="B25" s="15"/>
      <c r="C25" s="1" t="s">
        <v>83</v>
      </c>
      <c r="D25" s="15">
        <v>195645.0</v>
      </c>
      <c r="E25" s="15">
        <v>220226.0</v>
      </c>
      <c r="F25" s="15">
        <f t="shared" si="7"/>
        <v>415871</v>
      </c>
      <c r="G25" s="15">
        <f t="shared" si="8"/>
        <v>831742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15"/>
      <c r="B26" s="15"/>
      <c r="C26" s="1" t="s">
        <v>84</v>
      </c>
      <c r="D26" s="15">
        <v>-382245.0</v>
      </c>
      <c r="E26" s="15">
        <v>-182103.0</v>
      </c>
      <c r="F26" s="15">
        <f t="shared" si="7"/>
        <v>-564348</v>
      </c>
      <c r="G26" s="15">
        <f t="shared" si="8"/>
        <v>-1128696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15"/>
      <c r="B27" s="15"/>
      <c r="C27" s="26" t="s">
        <v>85</v>
      </c>
      <c r="D27" s="27">
        <f t="shared" ref="D27:G27" si="9">+D21+D24+D25+D26</f>
        <v>1597447</v>
      </c>
      <c r="E27" s="27">
        <f t="shared" si="9"/>
        <v>1440951</v>
      </c>
      <c r="F27" s="27">
        <f t="shared" si="9"/>
        <v>3038398</v>
      </c>
      <c r="G27" s="27">
        <f t="shared" si="9"/>
        <v>6076796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15"/>
      <c r="B28" s="15"/>
      <c r="C28" s="1" t="s">
        <v>86</v>
      </c>
      <c r="D28" s="20">
        <f t="shared" ref="D28:G28" si="10">+D27/D30</f>
        <v>3.526497625</v>
      </c>
      <c r="E28" s="20">
        <f t="shared" si="10"/>
        <v>3.200911213</v>
      </c>
      <c r="F28" s="20">
        <f t="shared" si="10"/>
        <v>6.749460758</v>
      </c>
      <c r="G28" s="20">
        <f t="shared" si="10"/>
        <v>13.49892152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15"/>
      <c r="B29" s="15"/>
      <c r="C29" s="1"/>
      <c r="D29" s="20"/>
      <c r="E29" s="20"/>
      <c r="F29" s="20"/>
      <c r="G29" s="20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15"/>
      <c r="B30" s="15"/>
      <c r="C30" s="1" t="s">
        <v>87</v>
      </c>
      <c r="D30" s="15">
        <v>452984.0</v>
      </c>
      <c r="E30" s="15">
        <v>450169.0</v>
      </c>
      <c r="F30" s="15">
        <f t="shared" ref="F30:G30" si="11">+E30</f>
        <v>450169</v>
      </c>
      <c r="G30" s="15">
        <f t="shared" si="11"/>
        <v>450169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15"/>
      <c r="B31" s="15"/>
      <c r="C31" s="1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15"/>
      <c r="B32" s="15"/>
      <c r="C32" s="32" t="s">
        <v>88</v>
      </c>
      <c r="D32" s="33">
        <f t="shared" ref="D32:G32" si="12">+D21+D73+D74</f>
        <v>5212593</v>
      </c>
      <c r="E32" s="33">
        <f t="shared" si="12"/>
        <v>4923136</v>
      </c>
      <c r="F32" s="33">
        <f t="shared" si="12"/>
        <v>10135729</v>
      </c>
      <c r="G32" s="33">
        <f t="shared" si="12"/>
        <v>20271458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15"/>
      <c r="B33" s="15"/>
      <c r="C33" s="28" t="s">
        <v>89</v>
      </c>
      <c r="D33" s="29">
        <f t="shared" ref="D33:G33" si="13">+D32/D$6</f>
        <v>0.6625250849</v>
      </c>
      <c r="E33" s="29">
        <f t="shared" si="13"/>
        <v>0.6176974786</v>
      </c>
      <c r="F33" s="29">
        <f t="shared" si="13"/>
        <v>0.6399664021</v>
      </c>
      <c r="G33" s="29">
        <f t="shared" si="13"/>
        <v>0.6399664021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15"/>
      <c r="B34" s="15"/>
      <c r="C34" s="30"/>
      <c r="D34" s="31"/>
      <c r="E34" s="31"/>
      <c r="F34" s="31"/>
      <c r="G34" s="31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15"/>
      <c r="B35" s="15"/>
      <c r="C35" s="1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15"/>
      <c r="B36" s="15"/>
      <c r="C36" s="34" t="s">
        <v>90</v>
      </c>
      <c r="D36" s="24" t="s">
        <v>60</v>
      </c>
      <c r="E36" s="35" t="s">
        <v>61</v>
      </c>
      <c r="F36" s="35"/>
      <c r="G36" s="3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15"/>
      <c r="B37" s="15"/>
      <c r="C37" s="1" t="s">
        <v>91</v>
      </c>
      <c r="D37" s="15">
        <v>6008946.0</v>
      </c>
      <c r="E37" s="15">
        <v>5819449.0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15"/>
      <c r="B38" s="15"/>
      <c r="C38" s="1" t="s">
        <v>92</v>
      </c>
      <c r="D38" s="15">
        <v>2089069.0</v>
      </c>
      <c r="E38" s="15">
        <v>2021329.0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15"/>
      <c r="B39" s="15"/>
      <c r="C39" s="26" t="s">
        <v>93</v>
      </c>
      <c r="D39" s="27">
        <f t="shared" ref="D39:E39" si="14">+D37+D38</f>
        <v>8098015</v>
      </c>
      <c r="E39" s="27">
        <f t="shared" si="14"/>
        <v>7840778</v>
      </c>
      <c r="F39" s="31"/>
      <c r="G39" s="31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15"/>
      <c r="B40" s="15"/>
      <c r="C40" s="1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15"/>
      <c r="B41" s="15"/>
      <c r="C41" s="1" t="s">
        <v>94</v>
      </c>
      <c r="D41" s="15">
        <v>3.119192E7</v>
      </c>
      <c r="E41" s="15">
        <v>3.2533199E7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5"/>
      <c r="B42" s="15"/>
      <c r="C42" s="1" t="s">
        <v>95</v>
      </c>
      <c r="D42" s="15">
        <v>1383763.0</v>
      </c>
      <c r="E42" s="15">
        <v>1361920.0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5"/>
      <c r="B43" s="15"/>
      <c r="C43" s="1" t="s">
        <v>96</v>
      </c>
      <c r="D43" s="15">
        <v>4657206.0</v>
      </c>
      <c r="E43" s="15">
        <v>4615038.0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5"/>
      <c r="B44" s="15"/>
      <c r="C44" s="26" t="s">
        <v>97</v>
      </c>
      <c r="D44" s="27">
        <f t="shared" ref="D44:E44" si="15">+D41+D42+D43</f>
        <v>37232889</v>
      </c>
      <c r="E44" s="27">
        <f t="shared" si="15"/>
        <v>38510157</v>
      </c>
      <c r="F44" s="31"/>
      <c r="G44" s="31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5"/>
      <c r="B45" s="15"/>
      <c r="C45" s="1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5"/>
      <c r="B46" s="15"/>
      <c r="C46" s="32" t="s">
        <v>98</v>
      </c>
      <c r="D46" s="33">
        <f t="shared" ref="D46:E46" si="16">+D39+D44</f>
        <v>45330904</v>
      </c>
      <c r="E46" s="33">
        <f t="shared" si="16"/>
        <v>46350935</v>
      </c>
      <c r="F46" s="31"/>
      <c r="G46" s="31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5"/>
      <c r="B47" s="15"/>
      <c r="C47" s="1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5"/>
      <c r="B48" s="15"/>
      <c r="C48" s="1" t="s">
        <v>99</v>
      </c>
      <c r="D48" s="15">
        <v>4066289.0</v>
      </c>
      <c r="E48" s="15">
        <v>4174966.0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5"/>
      <c r="B49" s="15"/>
      <c r="C49" s="1" t="s">
        <v>100</v>
      </c>
      <c r="D49" s="15">
        <v>617202.0</v>
      </c>
      <c r="E49" s="15">
        <v>504278.0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5"/>
      <c r="B50" s="15"/>
      <c r="C50" s="1" t="s">
        <v>101</v>
      </c>
      <c r="D50" s="15">
        <v>1817117.0</v>
      </c>
      <c r="E50" s="15">
        <v>1596035.0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5"/>
      <c r="B51" s="15"/>
      <c r="C51" s="36" t="s">
        <v>102</v>
      </c>
      <c r="D51" s="15">
        <v>1239048.0</v>
      </c>
      <c r="E51" s="15">
        <v>1224743.0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5"/>
      <c r="B52" s="15"/>
      <c r="C52" s="36" t="s">
        <v>103</v>
      </c>
      <c r="D52" s="15">
        <v>0.0</v>
      </c>
      <c r="E52" s="15">
        <v>0.0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5"/>
      <c r="B53" s="15"/>
      <c r="C53" s="26" t="s">
        <v>104</v>
      </c>
      <c r="D53" s="27">
        <f t="shared" ref="D53:E53" si="17">+D48+D49+D50+D51+D52</f>
        <v>7739656</v>
      </c>
      <c r="E53" s="27">
        <f t="shared" si="17"/>
        <v>7500022</v>
      </c>
      <c r="F53" s="31"/>
      <c r="G53" s="31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5"/>
      <c r="B54" s="15"/>
      <c r="C54" s="1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5"/>
      <c r="B55" s="15"/>
      <c r="C55" s="1" t="s">
        <v>105</v>
      </c>
      <c r="D55" s="15">
        <v>2945221.0</v>
      </c>
      <c r="E55" s="15">
        <v>2989961.0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5"/>
      <c r="B56" s="15"/>
      <c r="C56" s="1" t="s">
        <v>106</v>
      </c>
      <c r="D56" s="15">
        <v>1.4534561E7</v>
      </c>
      <c r="E56" s="15">
        <v>1.4233303E7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5"/>
      <c r="B57" s="15"/>
      <c r="C57" s="1" t="s">
        <v>107</v>
      </c>
      <c r="D57" s="15">
        <v>2567427.0</v>
      </c>
      <c r="E57" s="15">
        <v>2551675.0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5"/>
      <c r="B58" s="15"/>
      <c r="C58" s="26" t="s">
        <v>108</v>
      </c>
      <c r="D58" s="27">
        <f t="shared" ref="D58:E58" si="18">+D55+D56+D57</f>
        <v>20047209</v>
      </c>
      <c r="E58" s="27">
        <f t="shared" si="18"/>
        <v>19774939</v>
      </c>
      <c r="F58" s="31"/>
      <c r="G58" s="31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5"/>
      <c r="B59" s="15"/>
      <c r="C59" s="1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5"/>
      <c r="B60" s="15"/>
      <c r="C60" s="30" t="s">
        <v>109</v>
      </c>
      <c r="D60" s="31">
        <v>1.7544039E7</v>
      </c>
      <c r="E60" s="31">
        <v>1.9075974E7</v>
      </c>
      <c r="F60" s="31"/>
      <c r="G60" s="31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5"/>
      <c r="B61" s="15"/>
      <c r="C61" s="1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5"/>
      <c r="B62" s="15"/>
      <c r="C62" s="32" t="s">
        <v>110</v>
      </c>
      <c r="D62" s="33">
        <f t="shared" ref="D62:E62" si="19">+D60+D58+D53</f>
        <v>45330904</v>
      </c>
      <c r="E62" s="33">
        <f t="shared" si="19"/>
        <v>46350935</v>
      </c>
      <c r="F62" s="31"/>
      <c r="G62" s="31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5"/>
      <c r="B63" s="15"/>
      <c r="C63" s="1" t="s">
        <v>111</v>
      </c>
      <c r="D63" s="15">
        <f t="shared" ref="D63:E63" si="20">+D46-D62</f>
        <v>0</v>
      </c>
      <c r="E63" s="15">
        <f t="shared" si="20"/>
        <v>0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5"/>
      <c r="B64" s="15"/>
      <c r="C64" s="1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5"/>
      <c r="B65" s="15"/>
      <c r="C65" s="1" t="s">
        <v>112</v>
      </c>
      <c r="D65" s="15">
        <f t="shared" ref="D65:E65" si="21">+D56-D37</f>
        <v>8525615</v>
      </c>
      <c r="E65" s="15">
        <f t="shared" si="21"/>
        <v>8413854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5"/>
      <c r="B66" s="15"/>
      <c r="C66" s="1" t="s">
        <v>113</v>
      </c>
      <c r="D66" s="15">
        <f t="shared" ref="D66:E66" si="22">+D38-D48-D49-D50-D51-D55</f>
        <v>-8595808</v>
      </c>
      <c r="E66" s="15">
        <f t="shared" si="22"/>
        <v>-8468654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5"/>
      <c r="B67" s="15"/>
      <c r="C67" s="1" t="s">
        <v>114</v>
      </c>
      <c r="D67" s="15">
        <f t="shared" ref="D67:E67" si="23">+D65-D66</f>
        <v>17121423</v>
      </c>
      <c r="E67" s="15">
        <f t="shared" si="23"/>
        <v>16882508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5"/>
      <c r="B68" s="15"/>
      <c r="C68" s="1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5"/>
      <c r="B69" s="15"/>
      <c r="C69" s="34" t="s">
        <v>115</v>
      </c>
      <c r="D69" s="35" t="s">
        <v>60</v>
      </c>
      <c r="E69" s="35" t="s">
        <v>61</v>
      </c>
      <c r="F69" s="24" t="s">
        <v>62</v>
      </c>
      <c r="G69" s="24" t="s">
        <v>63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5"/>
      <c r="B70" s="15"/>
      <c r="C70" s="1" t="s">
        <v>116</v>
      </c>
      <c r="D70" s="15">
        <v>1597447.0</v>
      </c>
      <c r="E70" s="15">
        <v>1440951.0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5"/>
      <c r="B71" s="15"/>
      <c r="C71" s="1" t="s">
        <v>117</v>
      </c>
      <c r="D71" s="15">
        <v>-3584164.0</v>
      </c>
      <c r="E71" s="15">
        <v>-4687011.0</v>
      </c>
      <c r="F71" s="15">
        <f>+D71+E71</f>
        <v>-8271175</v>
      </c>
      <c r="G71" s="15">
        <f>+F71*2</f>
        <v>-16542350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5"/>
      <c r="B72" s="15"/>
      <c r="C72" s="1" t="s">
        <v>118</v>
      </c>
      <c r="D72" s="15">
        <v>-347149.0</v>
      </c>
      <c r="E72" s="15">
        <v>191228.0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5"/>
      <c r="B73" s="15"/>
      <c r="C73" s="1" t="s">
        <v>119</v>
      </c>
      <c r="D73" s="15">
        <v>3166365.0</v>
      </c>
      <c r="E73" s="15">
        <v>3261348.0</v>
      </c>
      <c r="F73" s="15">
        <f t="shared" ref="F73:F74" si="24">+D73+E73</f>
        <v>6427713</v>
      </c>
      <c r="G73" s="15">
        <f t="shared" ref="G73:G74" si="25">+F73*2</f>
        <v>12855426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5"/>
      <c r="B74" s="15"/>
      <c r="C74" s="1" t="s">
        <v>120</v>
      </c>
      <c r="D74" s="15">
        <v>74602.0</v>
      </c>
      <c r="E74" s="15">
        <v>83505.0</v>
      </c>
      <c r="F74" s="15">
        <f t="shared" si="24"/>
        <v>158107</v>
      </c>
      <c r="G74" s="15">
        <f t="shared" si="25"/>
        <v>316214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5"/>
      <c r="B75" s="15"/>
      <c r="C75" s="1" t="s">
        <v>121</v>
      </c>
      <c r="D75" s="15">
        <v>119209.0</v>
      </c>
      <c r="E75" s="15">
        <v>150392.0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5"/>
      <c r="B76" s="15"/>
      <c r="C76" s="1" t="s">
        <v>122</v>
      </c>
      <c r="D76" s="15">
        <v>-161821.0</v>
      </c>
      <c r="E76" s="15">
        <v>-304513.0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5"/>
      <c r="B77" s="15"/>
      <c r="C77" s="1" t="s">
        <v>123</v>
      </c>
      <c r="D77" s="15">
        <v>101968.0</v>
      </c>
      <c r="E77" s="15">
        <v>205374.0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5"/>
      <c r="B78" s="15"/>
      <c r="C78" s="1" t="s">
        <v>124</v>
      </c>
      <c r="D78" s="15">
        <v>-68906.0</v>
      </c>
      <c r="E78" s="15">
        <v>-115820.0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5"/>
      <c r="B79" s="15"/>
      <c r="C79" s="30" t="s">
        <v>125</v>
      </c>
      <c r="D79" s="31">
        <f>SUM(D80:D84)</f>
        <v>25288</v>
      </c>
      <c r="E79" s="31">
        <v>-122704.0</v>
      </c>
      <c r="F79" s="31"/>
      <c r="G79" s="31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5"/>
      <c r="B80" s="15"/>
      <c r="C80" s="1" t="s">
        <v>126</v>
      </c>
      <c r="D80" s="15">
        <v>41157.0</v>
      </c>
      <c r="E80" s="15">
        <v>123399.0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5"/>
      <c r="B81" s="15"/>
      <c r="C81" s="1" t="s">
        <v>127</v>
      </c>
      <c r="D81" s="15">
        <v>-215444.0</v>
      </c>
      <c r="E81" s="15">
        <v>-122048.0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5"/>
      <c r="B82" s="15"/>
      <c r="C82" s="1" t="s">
        <v>128</v>
      </c>
      <c r="D82" s="15">
        <v>350763.0</v>
      </c>
      <c r="E82" s="15">
        <v>-238719.0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5"/>
      <c r="B83" s="15"/>
      <c r="C83" s="1" t="s">
        <v>129</v>
      </c>
      <c r="D83" s="15">
        <v>16743.0</v>
      </c>
      <c r="E83" s="15">
        <v>-10376.0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5"/>
      <c r="B84" s="15"/>
      <c r="C84" s="1" t="s">
        <v>130</v>
      </c>
      <c r="D84" s="15">
        <v>-167931.0</v>
      </c>
      <c r="E84" s="15">
        <v>125040.0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5"/>
      <c r="B85" s="15"/>
      <c r="C85" s="26" t="s">
        <v>131</v>
      </c>
      <c r="D85" s="27">
        <f t="shared" ref="D85:E85" si="26">SUM(D70:D79)</f>
        <v>922839</v>
      </c>
      <c r="E85" s="27">
        <f t="shared" si="26"/>
        <v>102750</v>
      </c>
      <c r="F85" s="31"/>
      <c r="G85" s="31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5"/>
      <c r="B86" s="15"/>
      <c r="C86" s="1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5"/>
      <c r="B87" s="15"/>
      <c r="C87" s="1" t="s">
        <v>132</v>
      </c>
      <c r="D87" s="15">
        <v>-121158.0</v>
      </c>
      <c r="E87" s="15">
        <v>-90018.0</v>
      </c>
      <c r="F87" s="15">
        <f>+D87+E87</f>
        <v>-211176</v>
      </c>
      <c r="G87" s="15">
        <f>+F87*2</f>
        <v>-422352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5"/>
      <c r="B88" s="15"/>
      <c r="C88" s="1" t="s">
        <v>133</v>
      </c>
      <c r="D88" s="15">
        <v>0.0</v>
      </c>
      <c r="E88" s="15">
        <v>0.0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5"/>
      <c r="B89" s="15"/>
      <c r="C89" s="1" t="s">
        <v>134</v>
      </c>
      <c r="D89" s="15">
        <v>-124521.0</v>
      </c>
      <c r="E89" s="15">
        <v>-68876.0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5"/>
      <c r="B90" s="15"/>
      <c r="C90" s="26" t="s">
        <v>135</v>
      </c>
      <c r="D90" s="27">
        <f t="shared" ref="D90:E90" si="27">SUM(D87:D89)</f>
        <v>-245679</v>
      </c>
      <c r="E90" s="27">
        <f t="shared" si="27"/>
        <v>-158894</v>
      </c>
      <c r="F90" s="31"/>
      <c r="G90" s="31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5"/>
      <c r="B91" s="15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5"/>
      <c r="B92" s="15"/>
      <c r="C92" s="32" t="s">
        <v>136</v>
      </c>
      <c r="D92" s="33">
        <f t="shared" ref="D92:E92" si="28">+D85+D90</f>
        <v>677160</v>
      </c>
      <c r="E92" s="33">
        <f t="shared" si="28"/>
        <v>-56144</v>
      </c>
      <c r="F92" s="31"/>
      <c r="G92" s="31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5"/>
      <c r="B93" s="15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5"/>
      <c r="B94" s="15"/>
      <c r="C94" s="1" t="s">
        <v>137</v>
      </c>
      <c r="D94" s="15">
        <v>-700000.0</v>
      </c>
      <c r="E94" s="15">
        <v>0.0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5"/>
      <c r="B95" s="15"/>
      <c r="C95" s="1" t="s">
        <v>138</v>
      </c>
      <c r="D95" s="15">
        <v>13678.0</v>
      </c>
      <c r="E95" s="15">
        <v>11250.0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5"/>
      <c r="B96" s="15"/>
      <c r="C96" s="1" t="s">
        <v>139</v>
      </c>
      <c r="D96" s="15">
        <v>0.0</v>
      </c>
      <c r="E96" s="15">
        <v>0.0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5"/>
      <c r="B97" s="15"/>
      <c r="C97" s="26" t="s">
        <v>140</v>
      </c>
      <c r="D97" s="27">
        <f t="shared" ref="D97:E97" si="29">SUM(D94:D96)</f>
        <v>-686322</v>
      </c>
      <c r="E97" s="27">
        <f t="shared" si="29"/>
        <v>11250</v>
      </c>
      <c r="F97" s="31"/>
      <c r="G97" s="31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5"/>
      <c r="B98" s="15"/>
      <c r="C98" s="1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5"/>
      <c r="B99" s="15"/>
      <c r="C99" s="1" t="s">
        <v>141</v>
      </c>
      <c r="D99" s="15">
        <v>-11448.0</v>
      </c>
      <c r="E99" s="15">
        <v>-145198.0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5"/>
      <c r="B100" s="15"/>
      <c r="C100" s="1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5"/>
      <c r="B101" s="15"/>
      <c r="C101" s="32" t="s">
        <v>142</v>
      </c>
      <c r="D101" s="33">
        <f t="shared" ref="D101:E101" si="30">+D92+D97+D99</f>
        <v>-20610</v>
      </c>
      <c r="E101" s="33">
        <f t="shared" si="30"/>
        <v>-190092</v>
      </c>
      <c r="F101" s="31"/>
      <c r="G101" s="31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5"/>
      <c r="B102" s="15"/>
      <c r="C102" s="1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5"/>
      <c r="B103" s="15"/>
      <c r="C103" s="1" t="s">
        <v>143</v>
      </c>
      <c r="D103" s="15">
        <v>6055111.0</v>
      </c>
      <c r="E103" s="15">
        <f>+D104</f>
        <v>6034501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5"/>
      <c r="B104" s="15"/>
      <c r="C104" s="1" t="s">
        <v>144</v>
      </c>
      <c r="D104" s="15">
        <f t="shared" ref="D104:E104" si="31">+D101+D103</f>
        <v>6034501</v>
      </c>
      <c r="E104" s="15">
        <f t="shared" si="31"/>
        <v>5844409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5"/>
      <c r="B105" s="15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5"/>
      <c r="B106" s="15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5"/>
      <c r="B107" s="15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5"/>
      <c r="B108" s="15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5"/>
      <c r="B109" s="15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5"/>
      <c r="B110" s="15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5"/>
      <c r="B111" s="15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5"/>
      <c r="B112" s="15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5"/>
      <c r="B113" s="15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5"/>
      <c r="B114" s="15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5"/>
      <c r="B115" s="15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5"/>
      <c r="B116" s="15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5"/>
      <c r="B117" s="15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5"/>
      <c r="B118" s="15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5"/>
      <c r="B119" s="15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5"/>
      <c r="B120" s="15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5"/>
      <c r="B121" s="15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5"/>
      <c r="B122" s="15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5"/>
      <c r="B123" s="15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5"/>
      <c r="B124" s="15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5"/>
      <c r="B125" s="15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5"/>
      <c r="B126" s="15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5"/>
      <c r="B127" s="15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5"/>
      <c r="B128" s="15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5"/>
      <c r="B129" s="15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5"/>
      <c r="B130" s="15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5"/>
      <c r="B131" s="15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5"/>
      <c r="B132" s="15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5"/>
      <c r="B133" s="15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5"/>
      <c r="B134" s="15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5"/>
      <c r="B135" s="15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5"/>
      <c r="B136" s="15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5"/>
      <c r="B137" s="15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5"/>
      <c r="B138" s="15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5"/>
      <c r="B139" s="15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5"/>
      <c r="B140" s="15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5"/>
      <c r="B141" s="15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5"/>
      <c r="B142" s="15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5"/>
      <c r="B143" s="15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5"/>
      <c r="B144" s="15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5"/>
      <c r="B145" s="15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5"/>
      <c r="B146" s="15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5"/>
      <c r="B147" s="15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5"/>
      <c r="B148" s="15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5"/>
      <c r="B149" s="15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5"/>
      <c r="B150" s="15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5"/>
      <c r="B151" s="15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5"/>
      <c r="B152" s="15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5"/>
      <c r="B153" s="15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5"/>
      <c r="B154" s="15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5"/>
      <c r="B155" s="15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5"/>
      <c r="B156" s="15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5"/>
      <c r="B157" s="15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5"/>
      <c r="B158" s="15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5"/>
      <c r="B159" s="15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5"/>
      <c r="B160" s="15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5"/>
      <c r="B161" s="15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5"/>
      <c r="B162" s="15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5"/>
      <c r="B163" s="15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5"/>
      <c r="B164" s="15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5"/>
      <c r="B165" s="15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5"/>
      <c r="B166" s="15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5"/>
      <c r="B167" s="15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5"/>
      <c r="B168" s="15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5"/>
      <c r="B169" s="15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5"/>
      <c r="B170" s="15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5"/>
      <c r="B171" s="15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5"/>
      <c r="B172" s="15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5"/>
      <c r="B173" s="15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5"/>
      <c r="B174" s="15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5"/>
      <c r="B175" s="15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5"/>
      <c r="B176" s="15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5"/>
      <c r="B177" s="15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5"/>
      <c r="B178" s="15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5"/>
      <c r="B179" s="15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5"/>
      <c r="B180" s="15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5"/>
      <c r="B181" s="15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5"/>
      <c r="B182" s="15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5"/>
      <c r="B183" s="15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5"/>
      <c r="B184" s="15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5"/>
      <c r="B185" s="15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5"/>
      <c r="B186" s="15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5"/>
      <c r="B187" s="15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5"/>
      <c r="B188" s="15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5"/>
      <c r="B189" s="15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5"/>
      <c r="B190" s="15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5"/>
      <c r="B191" s="15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5"/>
      <c r="B192" s="15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5"/>
      <c r="B193" s="15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5"/>
      <c r="B194" s="15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5"/>
      <c r="B195" s="15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5"/>
      <c r="B196" s="15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5"/>
      <c r="B197" s="15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5"/>
      <c r="B198" s="15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5"/>
      <c r="B199" s="15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5"/>
      <c r="B200" s="15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5"/>
      <c r="B201" s="15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5"/>
      <c r="B202" s="15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5"/>
      <c r="B203" s="15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5"/>
      <c r="B204" s="15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5"/>
      <c r="B205" s="15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5"/>
      <c r="B206" s="15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5"/>
      <c r="B207" s="15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5"/>
      <c r="B208" s="15"/>
      <c r="C208" s="22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5"/>
      <c r="B209" s="15"/>
      <c r="C209" s="22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5"/>
      <c r="B210" s="15"/>
      <c r="C210" s="22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5"/>
      <c r="B211" s="15"/>
      <c r="C211" s="22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5"/>
      <c r="B212" s="15"/>
      <c r="C212" s="22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5"/>
      <c r="B213" s="15"/>
      <c r="C213" s="22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5"/>
      <c r="B214" s="15"/>
      <c r="C214" s="22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5"/>
      <c r="B215" s="15"/>
      <c r="C215" s="22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5"/>
      <c r="B216" s="15"/>
      <c r="C216" s="22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5"/>
      <c r="B217" s="15"/>
      <c r="C217" s="22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5"/>
      <c r="B218" s="15"/>
      <c r="C218" s="22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5"/>
      <c r="B219" s="15"/>
      <c r="C219" s="22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5"/>
      <c r="B220" s="15"/>
      <c r="C220" s="22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5"/>
      <c r="B221" s="15"/>
      <c r="C221" s="22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5"/>
      <c r="B222" s="15"/>
      <c r="C222" s="22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5"/>
      <c r="B223" s="15"/>
      <c r="C223" s="22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5"/>
      <c r="B224" s="15"/>
      <c r="C224" s="22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5"/>
      <c r="B225" s="15"/>
      <c r="C225" s="22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5"/>
      <c r="B226" s="15"/>
      <c r="C226" s="22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5"/>
      <c r="B227" s="15"/>
      <c r="C227" s="22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5"/>
      <c r="B228" s="15"/>
      <c r="C228" s="22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5"/>
      <c r="B229" s="15"/>
      <c r="C229" s="22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5"/>
      <c r="B230" s="15"/>
      <c r="C230" s="22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5"/>
      <c r="B231" s="15"/>
      <c r="C231" s="22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5"/>
      <c r="B232" s="15"/>
      <c r="C232" s="22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5"/>
      <c r="B233" s="15"/>
      <c r="C233" s="22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5"/>
      <c r="B234" s="15"/>
      <c r="C234" s="22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5"/>
      <c r="B235" s="15"/>
      <c r="C235" s="22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5"/>
      <c r="B236" s="15"/>
      <c r="C236" s="22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5"/>
      <c r="B237" s="15"/>
      <c r="C237" s="22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5"/>
      <c r="B238" s="15"/>
      <c r="C238" s="22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5"/>
      <c r="B239" s="15"/>
      <c r="C239" s="22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5"/>
      <c r="B240" s="15"/>
      <c r="C240" s="22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5"/>
      <c r="B241" s="15"/>
      <c r="C241" s="22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5"/>
      <c r="B242" s="15"/>
      <c r="C242" s="22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5"/>
      <c r="B243" s="15"/>
      <c r="C243" s="22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5"/>
      <c r="B244" s="15"/>
      <c r="C244" s="22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5"/>
      <c r="B245" s="15"/>
      <c r="C245" s="22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5"/>
      <c r="B246" s="15"/>
      <c r="C246" s="22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5"/>
      <c r="B247" s="15"/>
      <c r="C247" s="22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5"/>
      <c r="B248" s="15"/>
      <c r="C248" s="22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5"/>
      <c r="B249" s="15"/>
      <c r="C249" s="22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5"/>
      <c r="B250" s="15"/>
      <c r="C250" s="22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5"/>
      <c r="B251" s="15"/>
      <c r="C251" s="22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5"/>
      <c r="B252" s="15"/>
      <c r="C252" s="22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5"/>
      <c r="B253" s="15"/>
      <c r="C253" s="22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5"/>
      <c r="B254" s="15"/>
      <c r="C254" s="22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5"/>
      <c r="B255" s="15"/>
      <c r="C255" s="22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5"/>
      <c r="B256" s="15"/>
      <c r="C256" s="22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5"/>
      <c r="B257" s="15"/>
      <c r="C257" s="22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5"/>
      <c r="B258" s="15"/>
      <c r="C258" s="22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5"/>
      <c r="B259" s="15"/>
      <c r="C259" s="22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5"/>
      <c r="B260" s="15"/>
      <c r="C260" s="22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5"/>
      <c r="B261" s="15"/>
      <c r="C261" s="22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5"/>
      <c r="B262" s="15"/>
      <c r="C262" s="22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5"/>
      <c r="B263" s="15"/>
      <c r="C263" s="22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5"/>
      <c r="B264" s="15"/>
      <c r="C264" s="22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5"/>
      <c r="B265" s="15"/>
      <c r="C265" s="22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5"/>
      <c r="B266" s="15"/>
      <c r="C266" s="22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5"/>
      <c r="B267" s="15"/>
      <c r="C267" s="22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5"/>
      <c r="B268" s="15"/>
      <c r="C268" s="22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5"/>
      <c r="B269" s="15"/>
      <c r="C269" s="22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5"/>
      <c r="B270" s="15"/>
      <c r="C270" s="22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5"/>
      <c r="B271" s="15"/>
      <c r="C271" s="22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5"/>
      <c r="B272" s="15"/>
      <c r="C272" s="22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5"/>
      <c r="B273" s="15"/>
      <c r="C273" s="22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5"/>
      <c r="B274" s="15"/>
      <c r="C274" s="22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5"/>
      <c r="B275" s="15"/>
      <c r="C275" s="22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5"/>
      <c r="B276" s="15"/>
      <c r="C276" s="22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5"/>
      <c r="B277" s="15"/>
      <c r="C277" s="22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5"/>
      <c r="B278" s="15"/>
      <c r="C278" s="22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5"/>
      <c r="B279" s="15"/>
      <c r="C279" s="22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5"/>
      <c r="B280" s="15"/>
      <c r="C280" s="22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5"/>
      <c r="B281" s="15"/>
      <c r="C281" s="22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5"/>
      <c r="B282" s="15"/>
      <c r="C282" s="22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5"/>
      <c r="B283" s="15"/>
      <c r="C283" s="22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5"/>
      <c r="B284" s="15"/>
      <c r="C284" s="22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5"/>
      <c r="B285" s="15"/>
      <c r="C285" s="22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5"/>
      <c r="B286" s="15"/>
      <c r="C286" s="22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5"/>
      <c r="B287" s="15"/>
      <c r="C287" s="22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5"/>
      <c r="B288" s="15"/>
      <c r="C288" s="22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5"/>
      <c r="B289" s="15"/>
      <c r="C289" s="22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5"/>
      <c r="B290" s="15"/>
      <c r="C290" s="22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5"/>
      <c r="B291" s="15"/>
      <c r="C291" s="22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5"/>
      <c r="B292" s="15"/>
      <c r="C292" s="22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5"/>
      <c r="B293" s="15"/>
      <c r="C293" s="22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5"/>
      <c r="B294" s="15"/>
      <c r="C294" s="22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5"/>
      <c r="B295" s="15"/>
      <c r="C295" s="22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5"/>
      <c r="B296" s="15"/>
      <c r="C296" s="22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5"/>
      <c r="B297" s="15"/>
      <c r="C297" s="22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5"/>
      <c r="B298" s="15"/>
      <c r="C298" s="22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5"/>
      <c r="B299" s="15"/>
      <c r="C299" s="22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5"/>
      <c r="B300" s="15"/>
      <c r="C300" s="22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5"/>
      <c r="B301" s="15"/>
      <c r="C301" s="22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5"/>
      <c r="B302" s="15"/>
      <c r="C302" s="22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5"/>
      <c r="B303" s="15"/>
      <c r="C303" s="22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5"/>
      <c r="B304" s="15"/>
      <c r="C304" s="22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5"/>
      <c r="B305" s="15"/>
      <c r="C305" s="22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5"/>
      <c r="B306" s="15"/>
      <c r="C306" s="22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5"/>
      <c r="B307" s="15"/>
      <c r="C307" s="22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5"/>
      <c r="B308" s="15"/>
      <c r="C308" s="22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5"/>
      <c r="B309" s="15"/>
      <c r="C309" s="22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5"/>
      <c r="B310" s="15"/>
      <c r="C310" s="22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5"/>
      <c r="B311" s="15"/>
      <c r="C311" s="22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5"/>
      <c r="B312" s="15"/>
      <c r="C312" s="22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5"/>
      <c r="B313" s="15"/>
      <c r="C313" s="22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5"/>
      <c r="B314" s="15"/>
      <c r="C314" s="22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5"/>
      <c r="B315" s="15"/>
      <c r="C315" s="22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5"/>
      <c r="B316" s="15"/>
      <c r="C316" s="22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5"/>
      <c r="B317" s="15"/>
      <c r="C317" s="22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5"/>
      <c r="B318" s="15"/>
      <c r="C318" s="22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5"/>
      <c r="B319" s="15"/>
      <c r="C319" s="22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5"/>
      <c r="B320" s="15"/>
      <c r="C320" s="22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5"/>
      <c r="B321" s="15"/>
      <c r="C321" s="22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5"/>
      <c r="B322" s="15"/>
      <c r="C322" s="22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5"/>
      <c r="B323" s="15"/>
      <c r="C323" s="22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5"/>
      <c r="B324" s="15"/>
      <c r="C324" s="22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5"/>
      <c r="B325" s="15"/>
      <c r="C325" s="22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5"/>
      <c r="B326" s="15"/>
      <c r="C326" s="22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5"/>
      <c r="B327" s="15"/>
      <c r="C327" s="22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5"/>
      <c r="B328" s="15"/>
      <c r="C328" s="22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5"/>
      <c r="B329" s="15"/>
      <c r="C329" s="22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5"/>
      <c r="B330" s="15"/>
      <c r="C330" s="22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5"/>
      <c r="B331" s="15"/>
      <c r="C331" s="22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5"/>
      <c r="B332" s="15"/>
      <c r="C332" s="22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5"/>
      <c r="B333" s="15"/>
      <c r="C333" s="22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5"/>
      <c r="B334" s="15"/>
      <c r="C334" s="22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5"/>
      <c r="B335" s="15"/>
      <c r="C335" s="22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5"/>
      <c r="B336" s="15"/>
      <c r="C336" s="22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5"/>
      <c r="B337" s="15"/>
      <c r="C337" s="22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5"/>
      <c r="B338" s="15"/>
      <c r="C338" s="22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5"/>
      <c r="B339" s="15"/>
      <c r="C339" s="22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5"/>
      <c r="B340" s="15"/>
      <c r="C340" s="22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5"/>
      <c r="B341" s="15"/>
      <c r="C341" s="22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5"/>
      <c r="B342" s="15"/>
      <c r="C342" s="22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5"/>
      <c r="B343" s="15"/>
      <c r="C343" s="22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5"/>
      <c r="B344" s="15"/>
      <c r="C344" s="22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5"/>
      <c r="B345" s="15"/>
      <c r="C345" s="22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5"/>
      <c r="B346" s="15"/>
      <c r="C346" s="22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5"/>
      <c r="B347" s="15"/>
      <c r="C347" s="22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5"/>
      <c r="B348" s="15"/>
      <c r="C348" s="22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5"/>
      <c r="B349" s="15"/>
      <c r="C349" s="22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5"/>
      <c r="B350" s="15"/>
      <c r="C350" s="22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5"/>
      <c r="B351" s="15"/>
      <c r="C351" s="22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5"/>
      <c r="B352" s="15"/>
      <c r="C352" s="22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5"/>
      <c r="B353" s="15"/>
      <c r="C353" s="22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5"/>
      <c r="B354" s="15"/>
      <c r="C354" s="22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5"/>
      <c r="B355" s="15"/>
      <c r="C355" s="22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5"/>
      <c r="B356" s="15"/>
      <c r="C356" s="22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5"/>
      <c r="B357" s="15"/>
      <c r="C357" s="22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5"/>
      <c r="B358" s="15"/>
      <c r="C358" s="22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5"/>
      <c r="B359" s="15"/>
      <c r="C359" s="22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5"/>
      <c r="B360" s="15"/>
      <c r="C360" s="22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5"/>
      <c r="B361" s="15"/>
      <c r="C361" s="22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5"/>
      <c r="B362" s="15"/>
      <c r="C362" s="22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5"/>
      <c r="B363" s="15"/>
      <c r="C363" s="22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5"/>
      <c r="B364" s="15"/>
      <c r="C364" s="22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5"/>
      <c r="B365" s="15"/>
      <c r="C365" s="22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5"/>
      <c r="B366" s="15"/>
      <c r="C366" s="22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5"/>
      <c r="B367" s="15"/>
      <c r="C367" s="22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5"/>
      <c r="B368" s="15"/>
      <c r="C368" s="22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5"/>
      <c r="B369" s="15"/>
      <c r="C369" s="22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5"/>
      <c r="B370" s="15"/>
      <c r="C370" s="22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5"/>
      <c r="B371" s="15"/>
      <c r="C371" s="22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5"/>
      <c r="B372" s="15"/>
      <c r="C372" s="22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5"/>
      <c r="B373" s="15"/>
      <c r="C373" s="22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5"/>
      <c r="B374" s="15"/>
      <c r="C374" s="22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5"/>
      <c r="B375" s="15"/>
      <c r="C375" s="22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5"/>
      <c r="B376" s="15"/>
      <c r="C376" s="22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5"/>
      <c r="B377" s="15"/>
      <c r="C377" s="22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5"/>
      <c r="B378" s="15"/>
      <c r="C378" s="22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5"/>
      <c r="B379" s="15"/>
      <c r="C379" s="22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5"/>
      <c r="B380" s="15"/>
      <c r="C380" s="22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5"/>
      <c r="B381" s="15"/>
      <c r="C381" s="22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5"/>
      <c r="B382" s="15"/>
      <c r="C382" s="22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5"/>
      <c r="B383" s="15"/>
      <c r="C383" s="22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5"/>
      <c r="B384" s="15"/>
      <c r="C384" s="22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5"/>
      <c r="B385" s="15"/>
      <c r="C385" s="22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5"/>
      <c r="B386" s="15"/>
      <c r="C386" s="22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5"/>
      <c r="B387" s="15"/>
      <c r="C387" s="22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5"/>
      <c r="B388" s="15"/>
      <c r="C388" s="22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5"/>
      <c r="B389" s="15"/>
      <c r="C389" s="22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5"/>
      <c r="B390" s="15"/>
      <c r="C390" s="22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5"/>
      <c r="B391" s="15"/>
      <c r="C391" s="22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5"/>
      <c r="B392" s="15"/>
      <c r="C392" s="22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5"/>
      <c r="B393" s="15"/>
      <c r="C393" s="22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5"/>
      <c r="B394" s="15"/>
      <c r="C394" s="22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5"/>
      <c r="B395" s="15"/>
      <c r="C395" s="22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5"/>
      <c r="B396" s="15"/>
      <c r="C396" s="22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5"/>
      <c r="B397" s="15"/>
      <c r="C397" s="22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5"/>
      <c r="B398" s="15"/>
      <c r="C398" s="22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5"/>
      <c r="B399" s="15"/>
      <c r="C399" s="22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5"/>
      <c r="B400" s="15"/>
      <c r="C400" s="22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5"/>
      <c r="B401" s="15"/>
      <c r="C401" s="22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5"/>
      <c r="B402" s="15"/>
      <c r="C402" s="22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5"/>
      <c r="B403" s="15"/>
      <c r="C403" s="22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5"/>
      <c r="B404" s="15"/>
      <c r="C404" s="22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5"/>
      <c r="B405" s="15"/>
      <c r="C405" s="22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5"/>
      <c r="B406" s="15"/>
      <c r="C406" s="22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5"/>
      <c r="B407" s="15"/>
      <c r="C407" s="22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5"/>
      <c r="B408" s="15"/>
      <c r="C408" s="22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5"/>
      <c r="B409" s="15"/>
      <c r="C409" s="22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5"/>
      <c r="B410" s="15"/>
      <c r="C410" s="22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5"/>
      <c r="B411" s="15"/>
      <c r="C411" s="22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5"/>
      <c r="B412" s="15"/>
      <c r="C412" s="22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5"/>
      <c r="B413" s="15"/>
      <c r="C413" s="22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5"/>
      <c r="B414" s="15"/>
      <c r="C414" s="22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5"/>
      <c r="B415" s="15"/>
      <c r="C415" s="22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5"/>
      <c r="B416" s="15"/>
      <c r="C416" s="22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5"/>
      <c r="B417" s="15"/>
      <c r="C417" s="22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5"/>
      <c r="B418" s="15"/>
      <c r="C418" s="22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5"/>
      <c r="B419" s="15"/>
      <c r="C419" s="22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5"/>
      <c r="B420" s="15"/>
      <c r="C420" s="22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5"/>
      <c r="B421" s="15"/>
      <c r="C421" s="22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5"/>
      <c r="B422" s="15"/>
      <c r="C422" s="22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5"/>
      <c r="B423" s="15"/>
      <c r="C423" s="22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5"/>
      <c r="B424" s="15"/>
      <c r="C424" s="22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5"/>
      <c r="B425" s="15"/>
      <c r="C425" s="22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5"/>
      <c r="B426" s="15"/>
      <c r="C426" s="22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5"/>
      <c r="B427" s="15"/>
      <c r="C427" s="22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5"/>
      <c r="B428" s="15"/>
      <c r="C428" s="22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5"/>
      <c r="B429" s="15"/>
      <c r="C429" s="22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5"/>
      <c r="B430" s="15"/>
      <c r="C430" s="22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5"/>
      <c r="B431" s="15"/>
      <c r="C431" s="22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5"/>
      <c r="B432" s="15"/>
      <c r="C432" s="22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5"/>
      <c r="B433" s="15"/>
      <c r="C433" s="22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5"/>
      <c r="B434" s="15"/>
      <c r="C434" s="22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5"/>
      <c r="B435" s="15"/>
      <c r="C435" s="22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5"/>
      <c r="B436" s="15"/>
      <c r="C436" s="22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5"/>
      <c r="B437" s="15"/>
      <c r="C437" s="22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5"/>
      <c r="B438" s="15"/>
      <c r="C438" s="22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5"/>
      <c r="B439" s="15"/>
      <c r="C439" s="22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5"/>
      <c r="B440" s="15"/>
      <c r="C440" s="22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5"/>
      <c r="B441" s="15"/>
      <c r="C441" s="22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5"/>
      <c r="B442" s="15"/>
      <c r="C442" s="22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5"/>
      <c r="B443" s="15"/>
      <c r="C443" s="22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5"/>
      <c r="B444" s="15"/>
      <c r="C444" s="22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5"/>
      <c r="B445" s="15"/>
      <c r="C445" s="22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5"/>
      <c r="B446" s="15"/>
      <c r="C446" s="22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5"/>
      <c r="B447" s="15"/>
      <c r="C447" s="22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5"/>
      <c r="B448" s="15"/>
      <c r="C448" s="22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5"/>
      <c r="B449" s="15"/>
      <c r="C449" s="22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5"/>
      <c r="B450" s="15"/>
      <c r="C450" s="22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5"/>
      <c r="B451" s="15"/>
      <c r="C451" s="22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5"/>
      <c r="B452" s="15"/>
      <c r="C452" s="22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5"/>
      <c r="B453" s="15"/>
      <c r="C453" s="22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5"/>
      <c r="B454" s="15"/>
      <c r="C454" s="22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5"/>
      <c r="B455" s="15"/>
      <c r="C455" s="22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5"/>
      <c r="B456" s="15"/>
      <c r="C456" s="22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5"/>
      <c r="B457" s="15"/>
      <c r="C457" s="22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5"/>
      <c r="B458" s="15"/>
      <c r="C458" s="22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5"/>
      <c r="B459" s="15"/>
      <c r="C459" s="22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5"/>
      <c r="B460" s="15"/>
      <c r="C460" s="22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5"/>
      <c r="B461" s="15"/>
      <c r="C461" s="22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5"/>
      <c r="B462" s="15"/>
      <c r="C462" s="22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5"/>
      <c r="B463" s="15"/>
      <c r="C463" s="22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5"/>
      <c r="B464" s="15"/>
      <c r="C464" s="22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5"/>
      <c r="B465" s="15"/>
      <c r="C465" s="22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5"/>
      <c r="B466" s="15"/>
      <c r="C466" s="22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5"/>
      <c r="B467" s="15"/>
      <c r="C467" s="22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5"/>
      <c r="B468" s="15"/>
      <c r="C468" s="22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5"/>
      <c r="B469" s="15"/>
      <c r="C469" s="22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5"/>
      <c r="B470" s="15"/>
      <c r="C470" s="22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5"/>
      <c r="B471" s="15"/>
      <c r="C471" s="22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5"/>
      <c r="B472" s="15"/>
      <c r="C472" s="22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5"/>
      <c r="B473" s="15"/>
      <c r="C473" s="22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5"/>
      <c r="B474" s="15"/>
      <c r="C474" s="22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5"/>
      <c r="B475" s="15"/>
      <c r="C475" s="22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5"/>
      <c r="B476" s="15"/>
      <c r="C476" s="22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5"/>
      <c r="B477" s="15"/>
      <c r="C477" s="22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5"/>
      <c r="B478" s="15"/>
      <c r="C478" s="22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5"/>
      <c r="B479" s="15"/>
      <c r="C479" s="22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5"/>
      <c r="B480" s="15"/>
      <c r="C480" s="22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5"/>
      <c r="B481" s="15"/>
      <c r="C481" s="22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5"/>
      <c r="B482" s="15"/>
      <c r="C482" s="22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5"/>
      <c r="B483" s="15"/>
      <c r="C483" s="22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5"/>
      <c r="B484" s="15"/>
      <c r="C484" s="22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5"/>
      <c r="B485" s="15"/>
      <c r="C485" s="22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5"/>
      <c r="B486" s="15"/>
      <c r="C486" s="22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5"/>
      <c r="B487" s="15"/>
      <c r="C487" s="22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5"/>
      <c r="B488" s="15"/>
      <c r="C488" s="22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5"/>
      <c r="B489" s="15"/>
      <c r="C489" s="22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5"/>
      <c r="B490" s="15"/>
      <c r="C490" s="22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5"/>
      <c r="B491" s="15"/>
      <c r="C491" s="22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5"/>
      <c r="B492" s="15"/>
      <c r="C492" s="22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5"/>
      <c r="B493" s="15"/>
      <c r="C493" s="22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5"/>
      <c r="B494" s="15"/>
      <c r="C494" s="22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5"/>
      <c r="B495" s="15"/>
      <c r="C495" s="22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5"/>
      <c r="B496" s="15"/>
      <c r="C496" s="22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5"/>
      <c r="B497" s="15"/>
      <c r="C497" s="22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5"/>
      <c r="B498" s="15"/>
      <c r="C498" s="22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5"/>
      <c r="B499" s="15"/>
      <c r="C499" s="22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5"/>
      <c r="B500" s="15"/>
      <c r="C500" s="22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5"/>
      <c r="B501" s="15"/>
      <c r="C501" s="22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5"/>
      <c r="B502" s="15"/>
      <c r="C502" s="22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5"/>
      <c r="B503" s="15"/>
      <c r="C503" s="22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5"/>
      <c r="B504" s="15"/>
      <c r="C504" s="22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5"/>
      <c r="B505" s="15"/>
      <c r="C505" s="22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5"/>
      <c r="B506" s="15"/>
      <c r="C506" s="22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5"/>
      <c r="B507" s="15"/>
      <c r="C507" s="22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5"/>
      <c r="B508" s="15"/>
      <c r="C508" s="22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5"/>
      <c r="B509" s="15"/>
      <c r="C509" s="22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5"/>
      <c r="B510" s="15"/>
      <c r="C510" s="22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5"/>
      <c r="B511" s="15"/>
      <c r="C511" s="22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5"/>
      <c r="B512" s="15"/>
      <c r="C512" s="22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5"/>
      <c r="B513" s="15"/>
      <c r="C513" s="22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5"/>
      <c r="B514" s="15"/>
      <c r="C514" s="22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5"/>
      <c r="B515" s="15"/>
      <c r="C515" s="22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5"/>
      <c r="B516" s="15"/>
      <c r="C516" s="22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5"/>
      <c r="B517" s="15"/>
      <c r="C517" s="22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5"/>
      <c r="B518" s="15"/>
      <c r="C518" s="22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5"/>
      <c r="B519" s="15"/>
      <c r="C519" s="22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5"/>
      <c r="B520" s="15"/>
      <c r="C520" s="22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5"/>
      <c r="B521" s="15"/>
      <c r="C521" s="22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5"/>
      <c r="B522" s="15"/>
      <c r="C522" s="22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5"/>
      <c r="B523" s="15"/>
      <c r="C523" s="22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5"/>
      <c r="B524" s="15"/>
      <c r="C524" s="22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5"/>
      <c r="B525" s="15"/>
      <c r="C525" s="22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5"/>
      <c r="B526" s="15"/>
      <c r="C526" s="22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5"/>
      <c r="B527" s="15"/>
      <c r="C527" s="22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5"/>
      <c r="B528" s="15"/>
      <c r="C528" s="22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5"/>
      <c r="B529" s="15"/>
      <c r="C529" s="22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5"/>
      <c r="B530" s="15"/>
      <c r="C530" s="22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5"/>
      <c r="B531" s="15"/>
      <c r="C531" s="22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5"/>
      <c r="B532" s="15"/>
      <c r="C532" s="22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5"/>
      <c r="B533" s="15"/>
      <c r="C533" s="22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5"/>
      <c r="B534" s="15"/>
      <c r="C534" s="22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5"/>
      <c r="B535" s="15"/>
      <c r="C535" s="22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5"/>
      <c r="B536" s="15"/>
      <c r="C536" s="22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5"/>
      <c r="B537" s="15"/>
      <c r="C537" s="22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5"/>
      <c r="B538" s="15"/>
      <c r="C538" s="22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5"/>
      <c r="B539" s="15"/>
      <c r="C539" s="22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5"/>
      <c r="B540" s="15"/>
      <c r="C540" s="22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5"/>
      <c r="B541" s="15"/>
      <c r="C541" s="22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5"/>
      <c r="B542" s="15"/>
      <c r="C542" s="22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5"/>
      <c r="B543" s="15"/>
      <c r="C543" s="22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5"/>
      <c r="B544" s="15"/>
      <c r="C544" s="22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5"/>
      <c r="B545" s="15"/>
      <c r="C545" s="22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5"/>
      <c r="B546" s="15"/>
      <c r="C546" s="22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5"/>
      <c r="B547" s="15"/>
      <c r="C547" s="22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5"/>
      <c r="B548" s="15"/>
      <c r="C548" s="22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5"/>
      <c r="B549" s="15"/>
      <c r="C549" s="22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5"/>
      <c r="B550" s="15"/>
      <c r="C550" s="22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5"/>
      <c r="B551" s="15"/>
      <c r="C551" s="22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5"/>
      <c r="B552" s="15"/>
      <c r="C552" s="22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5"/>
      <c r="B553" s="15"/>
      <c r="C553" s="22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5"/>
      <c r="B554" s="15"/>
      <c r="C554" s="22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5"/>
      <c r="B555" s="15"/>
      <c r="C555" s="22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5"/>
      <c r="B556" s="15"/>
      <c r="C556" s="22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5"/>
      <c r="B557" s="15"/>
      <c r="C557" s="22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5"/>
      <c r="B558" s="15"/>
      <c r="C558" s="22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5"/>
      <c r="B559" s="15"/>
      <c r="C559" s="22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5"/>
      <c r="B560" s="15"/>
      <c r="C560" s="22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5"/>
      <c r="B561" s="15"/>
      <c r="C561" s="22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5"/>
      <c r="B562" s="15"/>
      <c r="C562" s="22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5"/>
      <c r="B563" s="15"/>
      <c r="C563" s="22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5"/>
      <c r="B564" s="15"/>
      <c r="C564" s="22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5"/>
      <c r="B565" s="15"/>
      <c r="C565" s="22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5"/>
      <c r="B566" s="15"/>
      <c r="C566" s="22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5"/>
      <c r="B567" s="15"/>
      <c r="C567" s="22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5"/>
      <c r="B568" s="15"/>
      <c r="C568" s="22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5"/>
      <c r="B569" s="15"/>
      <c r="C569" s="22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5"/>
      <c r="B570" s="15"/>
      <c r="C570" s="22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5"/>
      <c r="B571" s="15"/>
      <c r="C571" s="22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5"/>
      <c r="B572" s="15"/>
      <c r="C572" s="22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5"/>
      <c r="B573" s="15"/>
      <c r="C573" s="22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5"/>
      <c r="B574" s="15"/>
      <c r="C574" s="22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5"/>
      <c r="B575" s="15"/>
      <c r="C575" s="22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5"/>
      <c r="B576" s="15"/>
      <c r="C576" s="22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5"/>
      <c r="B577" s="15"/>
      <c r="C577" s="22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5"/>
      <c r="B578" s="15"/>
      <c r="C578" s="22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5"/>
      <c r="B579" s="15"/>
      <c r="C579" s="22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5"/>
      <c r="B580" s="15"/>
      <c r="C580" s="22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5"/>
      <c r="B581" s="15"/>
      <c r="C581" s="22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5"/>
      <c r="B582" s="15"/>
      <c r="C582" s="22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5"/>
      <c r="B583" s="15"/>
      <c r="C583" s="22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5"/>
      <c r="B584" s="15"/>
      <c r="C584" s="22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5"/>
      <c r="B585" s="15"/>
      <c r="C585" s="22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5"/>
      <c r="B586" s="15"/>
      <c r="C586" s="22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5"/>
      <c r="B587" s="15"/>
      <c r="C587" s="22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5"/>
      <c r="B588" s="15"/>
      <c r="C588" s="22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5"/>
      <c r="B589" s="15"/>
      <c r="C589" s="22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5"/>
      <c r="B590" s="15"/>
      <c r="C590" s="22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5"/>
      <c r="B591" s="15"/>
      <c r="C591" s="22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5"/>
      <c r="B592" s="15"/>
      <c r="C592" s="22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5"/>
      <c r="B593" s="15"/>
      <c r="C593" s="22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5"/>
      <c r="B594" s="15"/>
      <c r="C594" s="22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5"/>
      <c r="B595" s="15"/>
      <c r="C595" s="22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5"/>
      <c r="B596" s="15"/>
      <c r="C596" s="22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5"/>
      <c r="B597" s="15"/>
      <c r="C597" s="22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5"/>
      <c r="B598" s="15"/>
      <c r="C598" s="22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5"/>
      <c r="B599" s="15"/>
      <c r="C599" s="22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5"/>
      <c r="B600" s="15"/>
      <c r="C600" s="22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5"/>
      <c r="B601" s="15"/>
      <c r="C601" s="22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5"/>
      <c r="B602" s="15"/>
      <c r="C602" s="22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5"/>
      <c r="B603" s="15"/>
      <c r="C603" s="22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5"/>
      <c r="B604" s="15"/>
      <c r="C604" s="22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5"/>
      <c r="B605" s="15"/>
      <c r="C605" s="22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5"/>
      <c r="B606" s="15"/>
      <c r="C606" s="22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5"/>
      <c r="B607" s="15"/>
      <c r="C607" s="22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5"/>
      <c r="B608" s="15"/>
      <c r="C608" s="22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5"/>
      <c r="B609" s="15"/>
      <c r="C609" s="22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5"/>
      <c r="B610" s="15"/>
      <c r="C610" s="22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5"/>
      <c r="B611" s="15"/>
      <c r="C611" s="22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5"/>
      <c r="B612" s="15"/>
      <c r="C612" s="22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5"/>
      <c r="B613" s="15"/>
      <c r="C613" s="22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5"/>
      <c r="B614" s="15"/>
      <c r="C614" s="22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5"/>
      <c r="B615" s="15"/>
      <c r="C615" s="22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5"/>
      <c r="B616" s="15"/>
      <c r="C616" s="22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5"/>
      <c r="B617" s="15"/>
      <c r="C617" s="22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5"/>
      <c r="B618" s="15"/>
      <c r="C618" s="22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5"/>
      <c r="B619" s="15"/>
      <c r="C619" s="22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5"/>
      <c r="B620" s="15"/>
      <c r="C620" s="22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5"/>
      <c r="B621" s="15"/>
      <c r="C621" s="22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5"/>
      <c r="B622" s="15"/>
      <c r="C622" s="22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5"/>
      <c r="B623" s="15"/>
      <c r="C623" s="22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5"/>
      <c r="B624" s="15"/>
      <c r="C624" s="22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5"/>
      <c r="B625" s="15"/>
      <c r="C625" s="22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5"/>
      <c r="B626" s="15"/>
      <c r="C626" s="22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5"/>
      <c r="B627" s="15"/>
      <c r="C627" s="22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5"/>
      <c r="B628" s="15"/>
      <c r="C628" s="22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5"/>
      <c r="B629" s="15"/>
      <c r="C629" s="22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5"/>
      <c r="B630" s="15"/>
      <c r="C630" s="22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5"/>
      <c r="B631" s="15"/>
      <c r="C631" s="22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5"/>
      <c r="B632" s="15"/>
      <c r="C632" s="22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5"/>
      <c r="B633" s="15"/>
      <c r="C633" s="22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5"/>
      <c r="B634" s="15"/>
      <c r="C634" s="22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5"/>
      <c r="B635" s="15"/>
      <c r="C635" s="22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5"/>
      <c r="B636" s="15"/>
      <c r="C636" s="22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5"/>
      <c r="B637" s="15"/>
      <c r="C637" s="22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5"/>
      <c r="B638" s="15"/>
      <c r="C638" s="22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5"/>
      <c r="B639" s="15"/>
      <c r="C639" s="22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5"/>
      <c r="B640" s="15"/>
      <c r="C640" s="22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5"/>
      <c r="B641" s="15"/>
      <c r="C641" s="22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5"/>
      <c r="B642" s="15"/>
      <c r="C642" s="22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5"/>
      <c r="B643" s="15"/>
      <c r="C643" s="22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5"/>
      <c r="B644" s="15"/>
      <c r="C644" s="22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5"/>
      <c r="B645" s="15"/>
      <c r="C645" s="22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5"/>
      <c r="B646" s="15"/>
      <c r="C646" s="22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5"/>
      <c r="B647" s="15"/>
      <c r="C647" s="22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5"/>
      <c r="B648" s="15"/>
      <c r="C648" s="22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5"/>
      <c r="B649" s="15"/>
      <c r="C649" s="22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5"/>
      <c r="B650" s="15"/>
      <c r="C650" s="22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5"/>
      <c r="B651" s="15"/>
      <c r="C651" s="22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5"/>
      <c r="B652" s="15"/>
      <c r="C652" s="22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5"/>
      <c r="B653" s="15"/>
      <c r="C653" s="22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5"/>
      <c r="B654" s="15"/>
      <c r="C654" s="22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5"/>
      <c r="B655" s="15"/>
      <c r="C655" s="22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5"/>
      <c r="B656" s="15"/>
      <c r="C656" s="22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5"/>
      <c r="B657" s="15"/>
      <c r="C657" s="22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5"/>
      <c r="B658" s="15"/>
      <c r="C658" s="22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5"/>
      <c r="B659" s="15"/>
      <c r="C659" s="22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5"/>
      <c r="B660" s="15"/>
      <c r="C660" s="22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5"/>
      <c r="B661" s="15"/>
      <c r="C661" s="22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5"/>
      <c r="B662" s="15"/>
      <c r="C662" s="22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5"/>
      <c r="B663" s="15"/>
      <c r="C663" s="22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5"/>
      <c r="B664" s="15"/>
      <c r="C664" s="22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5"/>
      <c r="B665" s="15"/>
      <c r="C665" s="22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5"/>
      <c r="B666" s="15"/>
      <c r="C666" s="22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5"/>
      <c r="B667" s="15"/>
      <c r="C667" s="22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5"/>
      <c r="B668" s="15"/>
      <c r="C668" s="22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5"/>
      <c r="B669" s="15"/>
      <c r="C669" s="22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5"/>
      <c r="B670" s="15"/>
      <c r="C670" s="22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5"/>
      <c r="B671" s="15"/>
      <c r="C671" s="22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5"/>
      <c r="B672" s="15"/>
      <c r="C672" s="22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5"/>
      <c r="B673" s="15"/>
      <c r="C673" s="22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5"/>
      <c r="B674" s="15"/>
      <c r="C674" s="22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5"/>
      <c r="B675" s="15"/>
      <c r="C675" s="22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5"/>
      <c r="B676" s="15"/>
      <c r="C676" s="22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5"/>
      <c r="B677" s="15"/>
      <c r="C677" s="22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5"/>
      <c r="B678" s="15"/>
      <c r="C678" s="22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5"/>
      <c r="B679" s="15"/>
      <c r="C679" s="22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5"/>
      <c r="B680" s="15"/>
      <c r="C680" s="22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5"/>
      <c r="B681" s="15"/>
      <c r="C681" s="22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5"/>
      <c r="B682" s="15"/>
      <c r="C682" s="22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5"/>
      <c r="B683" s="15"/>
      <c r="C683" s="22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5"/>
      <c r="B684" s="15"/>
      <c r="C684" s="22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5"/>
      <c r="B685" s="15"/>
      <c r="C685" s="22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5"/>
      <c r="B686" s="15"/>
      <c r="C686" s="22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5"/>
      <c r="B687" s="15"/>
      <c r="C687" s="22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5"/>
      <c r="B688" s="15"/>
      <c r="C688" s="22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5"/>
      <c r="B689" s="15"/>
      <c r="C689" s="22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5"/>
      <c r="B690" s="15"/>
      <c r="C690" s="22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5"/>
      <c r="B691" s="15"/>
      <c r="C691" s="22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5"/>
      <c r="B692" s="15"/>
      <c r="C692" s="22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5"/>
      <c r="B693" s="15"/>
      <c r="C693" s="22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5"/>
      <c r="B694" s="15"/>
      <c r="C694" s="22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5"/>
      <c r="B695" s="15"/>
      <c r="C695" s="22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5"/>
      <c r="B696" s="15"/>
      <c r="C696" s="22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5"/>
      <c r="B697" s="15"/>
      <c r="C697" s="22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5"/>
      <c r="B698" s="15"/>
      <c r="C698" s="22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5"/>
      <c r="B699" s="15"/>
      <c r="C699" s="22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5"/>
      <c r="B700" s="15"/>
      <c r="C700" s="22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5"/>
      <c r="B701" s="15"/>
      <c r="C701" s="22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5"/>
      <c r="B702" s="15"/>
      <c r="C702" s="22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5"/>
      <c r="B703" s="15"/>
      <c r="C703" s="22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5"/>
      <c r="B704" s="15"/>
      <c r="C704" s="22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5"/>
      <c r="B705" s="15"/>
      <c r="C705" s="22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5"/>
      <c r="B706" s="15"/>
      <c r="C706" s="22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5"/>
      <c r="B707" s="15"/>
      <c r="C707" s="22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5"/>
      <c r="B708" s="15"/>
      <c r="C708" s="22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5"/>
      <c r="B709" s="15"/>
      <c r="C709" s="22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5"/>
      <c r="B710" s="15"/>
      <c r="C710" s="22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5"/>
      <c r="B711" s="15"/>
      <c r="C711" s="22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5"/>
      <c r="B712" s="15"/>
      <c r="C712" s="22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5"/>
      <c r="B713" s="15"/>
      <c r="C713" s="22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5"/>
      <c r="B714" s="15"/>
      <c r="C714" s="22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5"/>
      <c r="B715" s="15"/>
      <c r="C715" s="22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5"/>
      <c r="B716" s="15"/>
      <c r="C716" s="22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5"/>
      <c r="B717" s="15"/>
      <c r="C717" s="22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5"/>
      <c r="B718" s="15"/>
      <c r="C718" s="22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5"/>
      <c r="B719" s="15"/>
      <c r="C719" s="22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5"/>
      <c r="B720" s="15"/>
      <c r="C720" s="22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5"/>
      <c r="B721" s="15"/>
      <c r="C721" s="22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5"/>
      <c r="B722" s="15"/>
      <c r="C722" s="22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5"/>
      <c r="B723" s="15"/>
      <c r="C723" s="22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5"/>
      <c r="B724" s="15"/>
      <c r="C724" s="22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5"/>
      <c r="B725" s="15"/>
      <c r="C725" s="22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5"/>
      <c r="B726" s="15"/>
      <c r="C726" s="22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5"/>
      <c r="B727" s="15"/>
      <c r="C727" s="22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5"/>
      <c r="B728" s="15"/>
      <c r="C728" s="22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5"/>
      <c r="B729" s="15"/>
      <c r="C729" s="22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5"/>
      <c r="B730" s="15"/>
      <c r="C730" s="22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5"/>
      <c r="B731" s="15"/>
      <c r="C731" s="22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5"/>
      <c r="B732" s="15"/>
      <c r="C732" s="22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5"/>
      <c r="B733" s="15"/>
      <c r="C733" s="22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5"/>
      <c r="B734" s="15"/>
      <c r="C734" s="22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5"/>
      <c r="B735" s="15"/>
      <c r="C735" s="22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5"/>
      <c r="B736" s="15"/>
      <c r="C736" s="22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5"/>
      <c r="B737" s="15"/>
      <c r="C737" s="22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5"/>
      <c r="B738" s="15"/>
      <c r="C738" s="22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5"/>
      <c r="B739" s="15"/>
      <c r="C739" s="22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5"/>
      <c r="B740" s="15"/>
      <c r="C740" s="22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5"/>
      <c r="B741" s="15"/>
      <c r="C741" s="22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5"/>
      <c r="B742" s="15"/>
      <c r="C742" s="22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5"/>
      <c r="B743" s="15"/>
      <c r="C743" s="22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5"/>
      <c r="B744" s="15"/>
      <c r="C744" s="22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5"/>
      <c r="B745" s="15"/>
      <c r="C745" s="22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5"/>
      <c r="B746" s="15"/>
      <c r="C746" s="22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5"/>
      <c r="B747" s="15"/>
      <c r="C747" s="22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5"/>
      <c r="B748" s="15"/>
      <c r="C748" s="22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5"/>
      <c r="B749" s="15"/>
      <c r="C749" s="22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5"/>
      <c r="B750" s="15"/>
      <c r="C750" s="22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5"/>
      <c r="B751" s="15"/>
      <c r="C751" s="22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5"/>
      <c r="B752" s="15"/>
      <c r="C752" s="22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5"/>
      <c r="B753" s="15"/>
      <c r="C753" s="22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5"/>
      <c r="B754" s="15"/>
      <c r="C754" s="22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5"/>
      <c r="B755" s="15"/>
      <c r="C755" s="22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5"/>
      <c r="B756" s="15"/>
      <c r="C756" s="22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5"/>
      <c r="B757" s="15"/>
      <c r="C757" s="22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5"/>
      <c r="B758" s="15"/>
      <c r="C758" s="22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5"/>
      <c r="B759" s="15"/>
      <c r="C759" s="22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5"/>
      <c r="B760" s="15"/>
      <c r="C760" s="22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5"/>
      <c r="B761" s="15"/>
      <c r="C761" s="22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5"/>
      <c r="B762" s="15"/>
      <c r="C762" s="22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5"/>
      <c r="B763" s="15"/>
      <c r="C763" s="22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5"/>
      <c r="B764" s="15"/>
      <c r="C764" s="22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5"/>
      <c r="B765" s="15"/>
      <c r="C765" s="22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5"/>
      <c r="B766" s="15"/>
      <c r="C766" s="22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5"/>
      <c r="B767" s="15"/>
      <c r="C767" s="22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5"/>
      <c r="B768" s="15"/>
      <c r="C768" s="22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5"/>
      <c r="B769" s="15"/>
      <c r="C769" s="22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5"/>
      <c r="B770" s="15"/>
      <c r="C770" s="22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5"/>
      <c r="B771" s="15"/>
      <c r="C771" s="22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5"/>
      <c r="B772" s="15"/>
      <c r="C772" s="22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5"/>
      <c r="B773" s="15"/>
      <c r="C773" s="22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5"/>
      <c r="B774" s="15"/>
      <c r="C774" s="22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5"/>
      <c r="B775" s="15"/>
      <c r="C775" s="22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5"/>
      <c r="B776" s="15"/>
      <c r="C776" s="22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5"/>
      <c r="B777" s="15"/>
      <c r="C777" s="22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5"/>
      <c r="B778" s="15"/>
      <c r="C778" s="22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5"/>
      <c r="B779" s="15"/>
      <c r="C779" s="22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5"/>
      <c r="B780" s="15"/>
      <c r="C780" s="22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5"/>
      <c r="B781" s="15"/>
      <c r="C781" s="22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5"/>
      <c r="B782" s="15"/>
      <c r="C782" s="22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5"/>
      <c r="B783" s="15"/>
      <c r="C783" s="22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5"/>
      <c r="B784" s="15"/>
      <c r="C784" s="22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5"/>
      <c r="B785" s="15"/>
      <c r="C785" s="22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5"/>
      <c r="B786" s="15"/>
      <c r="C786" s="22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5"/>
      <c r="B787" s="15"/>
      <c r="C787" s="22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5"/>
      <c r="B788" s="15"/>
      <c r="C788" s="22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5"/>
      <c r="B789" s="15"/>
      <c r="C789" s="22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5"/>
      <c r="B790" s="15"/>
      <c r="C790" s="22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5"/>
      <c r="B791" s="15"/>
      <c r="C791" s="22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5"/>
      <c r="B792" s="15"/>
      <c r="C792" s="22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5"/>
      <c r="B793" s="15"/>
      <c r="C793" s="22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5"/>
      <c r="B794" s="15"/>
      <c r="C794" s="22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5"/>
      <c r="B795" s="15"/>
      <c r="C795" s="22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5"/>
      <c r="B796" s="15"/>
      <c r="C796" s="22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5"/>
      <c r="B797" s="15"/>
      <c r="C797" s="22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5"/>
      <c r="B798" s="15"/>
      <c r="C798" s="22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5"/>
      <c r="B799" s="15"/>
      <c r="C799" s="22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5"/>
      <c r="B800" s="15"/>
      <c r="C800" s="22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5"/>
      <c r="B801" s="15"/>
      <c r="C801" s="22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5"/>
      <c r="B802" s="15"/>
      <c r="C802" s="22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5"/>
      <c r="B803" s="15"/>
      <c r="C803" s="22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5"/>
      <c r="B804" s="15"/>
      <c r="C804" s="22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5"/>
      <c r="B805" s="15"/>
      <c r="C805" s="22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5"/>
      <c r="B806" s="15"/>
      <c r="C806" s="22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5"/>
      <c r="B807" s="15"/>
      <c r="C807" s="22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5"/>
      <c r="B808" s="15"/>
      <c r="C808" s="22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5"/>
      <c r="B809" s="15"/>
      <c r="C809" s="22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5"/>
      <c r="B810" s="15"/>
      <c r="C810" s="22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5"/>
      <c r="B811" s="15"/>
      <c r="C811" s="22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5"/>
      <c r="B812" s="15"/>
      <c r="C812" s="22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5"/>
      <c r="B813" s="15"/>
      <c r="C813" s="22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5"/>
      <c r="B814" s="15"/>
      <c r="C814" s="22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5"/>
      <c r="B815" s="15"/>
      <c r="C815" s="22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5"/>
      <c r="B816" s="15"/>
      <c r="C816" s="22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5"/>
      <c r="B817" s="15"/>
      <c r="C817" s="22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5"/>
      <c r="B818" s="15"/>
      <c r="C818" s="22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5"/>
      <c r="B819" s="15"/>
      <c r="C819" s="22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5"/>
      <c r="B820" s="15"/>
      <c r="C820" s="22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5"/>
      <c r="B821" s="15"/>
      <c r="C821" s="22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5"/>
      <c r="B822" s="15"/>
      <c r="C822" s="22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5"/>
      <c r="B823" s="15"/>
      <c r="C823" s="22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5"/>
      <c r="B824" s="15"/>
      <c r="C824" s="22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5"/>
      <c r="B825" s="15"/>
      <c r="C825" s="22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5"/>
      <c r="B826" s="15"/>
      <c r="C826" s="22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5"/>
      <c r="B827" s="15"/>
      <c r="C827" s="22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5"/>
      <c r="B828" s="15"/>
      <c r="C828" s="22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5"/>
      <c r="B829" s="15"/>
      <c r="C829" s="22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5"/>
      <c r="B830" s="15"/>
      <c r="C830" s="22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5"/>
      <c r="B831" s="15"/>
      <c r="C831" s="22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5"/>
      <c r="B832" s="15"/>
      <c r="C832" s="22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5"/>
      <c r="B833" s="15"/>
      <c r="C833" s="22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5"/>
      <c r="B834" s="15"/>
      <c r="C834" s="22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5"/>
      <c r="B835" s="15"/>
      <c r="C835" s="22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5"/>
      <c r="B836" s="15"/>
      <c r="C836" s="22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5"/>
      <c r="B837" s="15"/>
      <c r="C837" s="22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5"/>
      <c r="B838" s="15"/>
      <c r="C838" s="22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5"/>
      <c r="B839" s="15"/>
      <c r="C839" s="22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5"/>
      <c r="B840" s="15"/>
      <c r="C840" s="22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5"/>
      <c r="B841" s="15"/>
      <c r="C841" s="22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5"/>
      <c r="B842" s="15"/>
      <c r="C842" s="22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5"/>
      <c r="B843" s="15"/>
      <c r="C843" s="22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5"/>
      <c r="B844" s="15"/>
      <c r="C844" s="22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5"/>
      <c r="B845" s="15"/>
      <c r="C845" s="22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5"/>
      <c r="B846" s="15"/>
      <c r="C846" s="22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5"/>
      <c r="B847" s="15"/>
      <c r="C847" s="22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5"/>
      <c r="B848" s="15"/>
      <c r="C848" s="22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5"/>
      <c r="B849" s="15"/>
      <c r="C849" s="22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5"/>
      <c r="B850" s="15"/>
      <c r="C850" s="22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5"/>
      <c r="B851" s="15"/>
      <c r="C851" s="22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5"/>
      <c r="B852" s="15"/>
      <c r="C852" s="22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5"/>
      <c r="B853" s="15"/>
      <c r="C853" s="22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5"/>
      <c r="B854" s="15"/>
      <c r="C854" s="22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5"/>
      <c r="B855" s="15"/>
      <c r="C855" s="22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5"/>
      <c r="B856" s="15"/>
      <c r="C856" s="22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5"/>
      <c r="B857" s="15"/>
      <c r="C857" s="22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5"/>
      <c r="B858" s="15"/>
      <c r="C858" s="22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5"/>
      <c r="B859" s="15"/>
      <c r="C859" s="22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5"/>
      <c r="B860" s="15"/>
      <c r="C860" s="22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5"/>
      <c r="B861" s="15"/>
      <c r="C861" s="22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5"/>
      <c r="B862" s="15"/>
      <c r="C862" s="22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5"/>
      <c r="B863" s="15"/>
      <c r="C863" s="22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5"/>
      <c r="B864" s="15"/>
      <c r="C864" s="22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5"/>
      <c r="B865" s="15"/>
      <c r="C865" s="22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5"/>
      <c r="B866" s="15"/>
      <c r="C866" s="22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5"/>
      <c r="B867" s="15"/>
      <c r="C867" s="22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5"/>
      <c r="B868" s="15"/>
      <c r="C868" s="22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5"/>
      <c r="B869" s="15"/>
      <c r="C869" s="22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5"/>
      <c r="B870" s="15"/>
      <c r="C870" s="22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5"/>
      <c r="B871" s="15"/>
      <c r="C871" s="22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5"/>
      <c r="B872" s="15"/>
      <c r="C872" s="22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5"/>
      <c r="B873" s="15"/>
      <c r="C873" s="22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5"/>
      <c r="B874" s="15"/>
      <c r="C874" s="22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5"/>
      <c r="B875" s="15"/>
      <c r="C875" s="22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5"/>
      <c r="B876" s="15"/>
      <c r="C876" s="22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5"/>
      <c r="B877" s="15"/>
      <c r="C877" s="22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5"/>
      <c r="B878" s="15"/>
      <c r="C878" s="22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5"/>
      <c r="B879" s="15"/>
      <c r="C879" s="22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5"/>
      <c r="B880" s="15"/>
      <c r="C880" s="22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5"/>
      <c r="B881" s="15"/>
      <c r="C881" s="22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5"/>
      <c r="B882" s="15"/>
      <c r="C882" s="22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5"/>
      <c r="B883" s="15"/>
      <c r="C883" s="22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5"/>
      <c r="B884" s="15"/>
      <c r="C884" s="22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5"/>
      <c r="B885" s="15"/>
      <c r="C885" s="22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5"/>
      <c r="B886" s="15"/>
      <c r="C886" s="22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5"/>
      <c r="B887" s="15"/>
      <c r="C887" s="22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5"/>
      <c r="B888" s="15"/>
      <c r="C888" s="22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5"/>
      <c r="B889" s="15"/>
      <c r="C889" s="22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5"/>
      <c r="B890" s="15"/>
      <c r="C890" s="22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5"/>
      <c r="B891" s="15"/>
      <c r="C891" s="22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5"/>
      <c r="B892" s="15"/>
      <c r="C892" s="22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5"/>
      <c r="B893" s="15"/>
      <c r="C893" s="22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5"/>
      <c r="B894" s="15"/>
      <c r="C894" s="22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5"/>
      <c r="B895" s="15"/>
      <c r="C895" s="22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5"/>
      <c r="B896" s="15"/>
      <c r="C896" s="22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5"/>
      <c r="B897" s="15"/>
      <c r="C897" s="22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5"/>
      <c r="B898" s="15"/>
      <c r="C898" s="22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5"/>
      <c r="B899" s="15"/>
      <c r="C899" s="22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5"/>
      <c r="B900" s="15"/>
      <c r="C900" s="22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5"/>
      <c r="B901" s="15"/>
      <c r="C901" s="22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5"/>
      <c r="B902" s="15"/>
      <c r="C902" s="22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5"/>
      <c r="B903" s="15"/>
      <c r="C903" s="22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5"/>
      <c r="B904" s="15"/>
      <c r="C904" s="22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5"/>
      <c r="B905" s="15"/>
      <c r="C905" s="22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5"/>
      <c r="B906" s="15"/>
      <c r="C906" s="22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5"/>
      <c r="B907" s="15"/>
      <c r="C907" s="22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5"/>
      <c r="B908" s="15"/>
      <c r="C908" s="22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5"/>
      <c r="B909" s="15"/>
      <c r="C909" s="22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5"/>
      <c r="B910" s="15"/>
      <c r="C910" s="22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5"/>
      <c r="B911" s="15"/>
      <c r="C911" s="22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5"/>
      <c r="B912" s="15"/>
      <c r="C912" s="22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5"/>
      <c r="B913" s="15"/>
      <c r="C913" s="22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5"/>
      <c r="B914" s="15"/>
      <c r="C914" s="22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5"/>
      <c r="B915" s="15"/>
      <c r="C915" s="22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5"/>
      <c r="B916" s="15"/>
      <c r="C916" s="22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5"/>
      <c r="B917" s="15"/>
      <c r="C917" s="22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5"/>
      <c r="B918" s="15"/>
      <c r="C918" s="22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5"/>
      <c r="B919" s="15"/>
      <c r="C919" s="22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5"/>
      <c r="B920" s="15"/>
      <c r="C920" s="22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5"/>
      <c r="B921" s="15"/>
      <c r="C921" s="22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5"/>
      <c r="B922" s="15"/>
      <c r="C922" s="22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5"/>
      <c r="B923" s="15"/>
      <c r="C923" s="22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5"/>
      <c r="B924" s="15"/>
      <c r="C924" s="22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5"/>
      <c r="B925" s="15"/>
      <c r="C925" s="22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5"/>
      <c r="B926" s="15"/>
      <c r="C926" s="22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5"/>
      <c r="B927" s="15"/>
      <c r="C927" s="22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5"/>
      <c r="B928" s="15"/>
      <c r="C928" s="22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5"/>
      <c r="B929" s="15"/>
      <c r="C929" s="22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5"/>
      <c r="B930" s="15"/>
      <c r="C930" s="22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5"/>
      <c r="B931" s="15"/>
      <c r="C931" s="22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5"/>
      <c r="B932" s="15"/>
      <c r="C932" s="22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5"/>
      <c r="B933" s="15"/>
      <c r="C933" s="22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5"/>
      <c r="B934" s="15"/>
      <c r="C934" s="22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5"/>
      <c r="B935" s="15"/>
      <c r="C935" s="22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5"/>
      <c r="B936" s="15"/>
      <c r="C936" s="22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5"/>
      <c r="B937" s="15"/>
      <c r="C937" s="22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5"/>
      <c r="B938" s="15"/>
      <c r="C938" s="22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5"/>
      <c r="B939" s="15"/>
      <c r="C939" s="22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5"/>
      <c r="B940" s="15"/>
      <c r="C940" s="22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5"/>
      <c r="B941" s="15"/>
      <c r="C941" s="22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5"/>
      <c r="B942" s="15"/>
      <c r="C942" s="22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5"/>
      <c r="B943" s="15"/>
      <c r="C943" s="22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5"/>
      <c r="B944" s="15"/>
      <c r="C944" s="22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5"/>
      <c r="B945" s="15"/>
      <c r="C945" s="22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5"/>
      <c r="B946" s="15"/>
      <c r="C946" s="22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5"/>
      <c r="B947" s="15"/>
      <c r="C947" s="22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5"/>
      <c r="B948" s="15"/>
      <c r="C948" s="22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5"/>
      <c r="B949" s="15"/>
      <c r="C949" s="22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5"/>
      <c r="B950" s="15"/>
      <c r="C950" s="22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5"/>
      <c r="B951" s="15"/>
      <c r="C951" s="22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5"/>
      <c r="B952" s="15"/>
      <c r="C952" s="22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5"/>
      <c r="B953" s="15"/>
      <c r="C953" s="22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5"/>
      <c r="B954" s="15"/>
      <c r="C954" s="22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5"/>
      <c r="B955" s="15"/>
      <c r="C955" s="22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5"/>
      <c r="B956" s="15"/>
      <c r="C956" s="22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5"/>
      <c r="B957" s="15"/>
      <c r="C957" s="22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5"/>
      <c r="B958" s="15"/>
      <c r="C958" s="22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5"/>
      <c r="B959" s="15"/>
      <c r="C959" s="22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5"/>
      <c r="B960" s="15"/>
      <c r="C960" s="22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5"/>
      <c r="B961" s="15"/>
      <c r="C961" s="22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5"/>
      <c r="B962" s="15"/>
      <c r="C962" s="22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5"/>
      <c r="B963" s="15"/>
      <c r="C963" s="22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5"/>
      <c r="B964" s="15"/>
      <c r="C964" s="22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5"/>
      <c r="B965" s="15"/>
      <c r="C965" s="22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5"/>
      <c r="B966" s="15"/>
      <c r="C966" s="22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5"/>
      <c r="B967" s="15"/>
      <c r="C967" s="22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5"/>
      <c r="B968" s="15"/>
      <c r="C968" s="22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5"/>
      <c r="B969" s="15"/>
      <c r="C969" s="22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5"/>
      <c r="B970" s="15"/>
      <c r="C970" s="22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5"/>
      <c r="B971" s="15"/>
      <c r="C971" s="22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5"/>
      <c r="B972" s="15"/>
      <c r="C972" s="22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5"/>
      <c r="B973" s="15"/>
      <c r="C973" s="22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5"/>
      <c r="B974" s="15"/>
      <c r="C974" s="22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5"/>
      <c r="B975" s="15"/>
      <c r="C975" s="22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5"/>
      <c r="B976" s="15"/>
      <c r="C976" s="22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5"/>
      <c r="B977" s="15"/>
      <c r="C977" s="22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5"/>
      <c r="B978" s="15"/>
      <c r="C978" s="22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5"/>
      <c r="B979" s="15"/>
      <c r="C979" s="22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5"/>
      <c r="B980" s="15"/>
      <c r="C980" s="22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5"/>
      <c r="B981" s="15"/>
      <c r="C981" s="22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5"/>
      <c r="B982" s="15"/>
      <c r="C982" s="22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5"/>
      <c r="B983" s="15"/>
      <c r="C983" s="22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5"/>
      <c r="B984" s="15"/>
      <c r="C984" s="22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5"/>
      <c r="B985" s="15"/>
      <c r="C985" s="22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5"/>
      <c r="B986" s="15"/>
      <c r="C986" s="22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5"/>
      <c r="B987" s="15"/>
      <c r="C987" s="22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5"/>
      <c r="B988" s="15"/>
      <c r="C988" s="22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5"/>
      <c r="B989" s="15"/>
      <c r="C989" s="22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5"/>
      <c r="B990" s="15"/>
      <c r="C990" s="22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5"/>
      <c r="B991" s="15"/>
      <c r="C991" s="22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5"/>
      <c r="B992" s="15"/>
      <c r="C992" s="22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5"/>
      <c r="B993" s="15"/>
      <c r="C993" s="22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5"/>
      <c r="B994" s="15"/>
      <c r="C994" s="22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5"/>
      <c r="B995" s="15"/>
      <c r="C995" s="22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5"/>
      <c r="B996" s="15"/>
      <c r="C996" s="22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5"/>
      <c r="B997" s="15"/>
      <c r="C997" s="22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5"/>
      <c r="B998" s="15"/>
      <c r="C998" s="22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5"/>
      <c r="B999" s="15"/>
      <c r="C999" s="22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5"/>
      <c r="B1000" s="15"/>
      <c r="C1000" s="22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2" width="2.71"/>
    <col customWidth="1" min="3" max="3" width="37.57"/>
    <col customWidth="1" min="4" max="13" width="12.57"/>
    <col customWidth="1" min="14" max="26" width="9.14"/>
  </cols>
  <sheetData>
    <row r="1" ht="12.75" customHeight="1">
      <c r="A1" s="15"/>
      <c r="B1" s="15"/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2.75" customHeight="1">
      <c r="A2" s="15"/>
      <c r="B2" s="15"/>
      <c r="C2" s="2" t="s">
        <v>0</v>
      </c>
      <c r="D2" s="3"/>
      <c r="E2" s="4" t="s">
        <v>1</v>
      </c>
      <c r="F2" s="4"/>
      <c r="G2" s="5"/>
      <c r="H2" s="5">
        <v>1.0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.75" customHeight="1">
      <c r="A3" s="15"/>
      <c r="B3" s="15"/>
      <c r="C3" s="6" t="s">
        <v>145</v>
      </c>
      <c r="D3" s="3"/>
      <c r="E3" s="7"/>
      <c r="F3" s="7"/>
      <c r="G3" s="7"/>
      <c r="H3" s="8" t="str">
        <f>IF(H2=1,"Base Case", IF(H2=2,"Bull Case", IF(H2=3,"Bear Case","-")))</f>
        <v>Base Case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2.75" customHeight="1">
      <c r="A4" s="15"/>
      <c r="B4" s="15"/>
      <c r="C4" s="22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2.75" customHeight="1">
      <c r="A5" s="15"/>
      <c r="B5" s="15"/>
      <c r="C5" s="2" t="s">
        <v>0</v>
      </c>
      <c r="D5" s="3"/>
      <c r="E5" s="4" t="s">
        <v>1</v>
      </c>
      <c r="F5" s="4"/>
      <c r="G5" s="5"/>
      <c r="H5" s="5">
        <f>+Valuation!M2</f>
        <v>1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15"/>
      <c r="B6" s="15"/>
      <c r="C6" s="6" t="s">
        <v>146</v>
      </c>
      <c r="D6" s="3"/>
      <c r="E6" s="7"/>
      <c r="F6" s="7"/>
      <c r="G6" s="7"/>
      <c r="H6" s="8" t="str">
        <f>IF(H5=1,"Base Case", IF(H5=2,"Bull Case", IF(H5=3,"Bear Case","-")))</f>
        <v>Base Case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15"/>
      <c r="B7" s="15"/>
      <c r="C7" s="22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15"/>
      <c r="B8" s="15"/>
      <c r="C8" s="23" t="s">
        <v>59</v>
      </c>
      <c r="D8" s="24">
        <v>2017.0</v>
      </c>
      <c r="E8" s="24">
        <f t="shared" ref="E8:M8" si="1">+D8+1</f>
        <v>2018</v>
      </c>
      <c r="F8" s="24">
        <f t="shared" si="1"/>
        <v>2019</v>
      </c>
      <c r="G8" s="24">
        <f t="shared" si="1"/>
        <v>2020</v>
      </c>
      <c r="H8" s="24">
        <f t="shared" si="1"/>
        <v>2021</v>
      </c>
      <c r="I8" s="25">
        <f t="shared" si="1"/>
        <v>2022</v>
      </c>
      <c r="J8" s="25">
        <f t="shared" si="1"/>
        <v>2023</v>
      </c>
      <c r="K8" s="25">
        <f t="shared" si="1"/>
        <v>2024</v>
      </c>
      <c r="L8" s="25">
        <f t="shared" si="1"/>
        <v>2025</v>
      </c>
      <c r="M8" s="25">
        <f t="shared" si="1"/>
        <v>2026</v>
      </c>
      <c r="N8" s="25" t="s">
        <v>147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15"/>
      <c r="B9" s="15"/>
      <c r="C9" s="37" t="s">
        <v>14</v>
      </c>
      <c r="D9" s="31">
        <v>6660859.0</v>
      </c>
      <c r="E9" s="31">
        <v>8281532.0</v>
      </c>
      <c r="F9" s="31">
        <v>1.0051208E7</v>
      </c>
      <c r="G9" s="31">
        <v>1.1455396E7</v>
      </c>
      <c r="H9" s="31">
        <v>1.29721E7</v>
      </c>
      <c r="I9" s="31">
        <f>+Assumptions!E7</f>
        <v>13893119.1</v>
      </c>
      <c r="J9" s="31">
        <f>+Assumptions!F7</f>
        <v>14879530.56</v>
      </c>
      <c r="K9" s="31">
        <f>+Assumptions!G7</f>
        <v>15935977.23</v>
      </c>
      <c r="L9" s="31">
        <f>+Assumptions!H7</f>
        <v>17067431.61</v>
      </c>
      <c r="M9" s="31">
        <f>+Assumptions!I7</f>
        <v>18279219.25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15"/>
      <c r="B10" s="15"/>
      <c r="C10" s="22" t="s">
        <v>148</v>
      </c>
      <c r="D10" s="15">
        <v>5512.0</v>
      </c>
      <c r="E10" s="15">
        <v>6335.0</v>
      </c>
      <c r="F10" s="15">
        <v>2905.0</v>
      </c>
      <c r="G10" s="15">
        <v>6274.0</v>
      </c>
      <c r="H10" s="15">
        <v>1279.0</v>
      </c>
      <c r="I10" s="15">
        <f t="shared" ref="I10:M10" si="2">+I11-H11</f>
        <v>1504.3</v>
      </c>
      <c r="J10" s="15">
        <f t="shared" si="2"/>
        <v>1534.386</v>
      </c>
      <c r="K10" s="15">
        <f t="shared" si="2"/>
        <v>1565.07372</v>
      </c>
      <c r="L10" s="15">
        <f t="shared" si="2"/>
        <v>1596.375194</v>
      </c>
      <c r="M10" s="15">
        <f t="shared" si="2"/>
        <v>1628.302698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15"/>
      <c r="B11" s="15"/>
      <c r="C11" s="22" t="s">
        <v>149</v>
      </c>
      <c r="D11" s="15">
        <v>58422.0</v>
      </c>
      <c r="E11" s="15">
        <v>64757.0</v>
      </c>
      <c r="F11" s="15">
        <v>67662.0</v>
      </c>
      <c r="G11" s="15">
        <v>73936.0</v>
      </c>
      <c r="H11" s="15">
        <v>75215.0</v>
      </c>
      <c r="I11" s="15">
        <f>+Assumptions!E12</f>
        <v>76719.3</v>
      </c>
      <c r="J11" s="15">
        <f>+Assumptions!F12</f>
        <v>78253.686</v>
      </c>
      <c r="K11" s="15">
        <f>+Assumptions!G12</f>
        <v>79818.75972</v>
      </c>
      <c r="L11" s="15">
        <f>+Assumptions!H12</f>
        <v>81415.13491</v>
      </c>
      <c r="M11" s="15">
        <f>+Assumptions!I12</f>
        <v>83043.43761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15"/>
      <c r="B12" s="15"/>
      <c r="C12" s="22" t="s">
        <v>150</v>
      </c>
      <c r="D12" s="15">
        <f t="shared" ref="D12:H12" si="3">+D9/D11</f>
        <v>114.0128547</v>
      </c>
      <c r="E12" s="15">
        <f t="shared" si="3"/>
        <v>127.8862826</v>
      </c>
      <c r="F12" s="15">
        <f t="shared" si="3"/>
        <v>148.5502646</v>
      </c>
      <c r="G12" s="15">
        <f t="shared" si="3"/>
        <v>154.9366479</v>
      </c>
      <c r="H12" s="15">
        <f t="shared" si="3"/>
        <v>172.4669281</v>
      </c>
      <c r="I12" s="15">
        <f>+Assumptions!E22</f>
        <v>181.0902745</v>
      </c>
      <c r="J12" s="15">
        <f>+Assumptions!F22</f>
        <v>190.1447883</v>
      </c>
      <c r="K12" s="15">
        <f>+Assumptions!G22</f>
        <v>199.6520277</v>
      </c>
      <c r="L12" s="15">
        <f>+Assumptions!H22</f>
        <v>209.6346291</v>
      </c>
      <c r="M12" s="15">
        <f>+Assumptions!I22</f>
        <v>220.1163605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15"/>
      <c r="B13" s="15"/>
      <c r="C13" s="22" t="s">
        <v>151</v>
      </c>
      <c r="D13" s="15"/>
      <c r="E13" s="38">
        <f t="shared" ref="E13:M13" si="4">+E12/D12-1</f>
        <v>0.1216830142</v>
      </c>
      <c r="F13" s="38">
        <f t="shared" si="4"/>
        <v>0.1615809106</v>
      </c>
      <c r="G13" s="38">
        <f t="shared" si="4"/>
        <v>0.04299139676</v>
      </c>
      <c r="H13" s="38">
        <f t="shared" si="4"/>
        <v>0.113144827</v>
      </c>
      <c r="I13" s="38">
        <f t="shared" si="4"/>
        <v>0.05</v>
      </c>
      <c r="J13" s="38">
        <f t="shared" si="4"/>
        <v>0.05</v>
      </c>
      <c r="K13" s="38">
        <f t="shared" si="4"/>
        <v>0.05</v>
      </c>
      <c r="L13" s="38">
        <f t="shared" si="4"/>
        <v>0.05</v>
      </c>
      <c r="M13" s="38">
        <f t="shared" si="4"/>
        <v>0.05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2.75" customHeight="1">
      <c r="A14" s="15"/>
      <c r="B14" s="15"/>
      <c r="C14" s="22" t="s">
        <v>152</v>
      </c>
      <c r="D14" s="15"/>
      <c r="E14" s="38">
        <f t="shared" ref="E14:M14" si="5">+E11/D11-1</f>
        <v>0.1084351785</v>
      </c>
      <c r="F14" s="38">
        <f t="shared" si="5"/>
        <v>0.04486001513</v>
      </c>
      <c r="G14" s="38">
        <f t="shared" si="5"/>
        <v>0.09272560669</v>
      </c>
      <c r="H14" s="38">
        <f t="shared" si="5"/>
        <v>0.01729874486</v>
      </c>
      <c r="I14" s="38">
        <f t="shared" si="5"/>
        <v>0.02</v>
      </c>
      <c r="J14" s="38">
        <f t="shared" si="5"/>
        <v>0.02</v>
      </c>
      <c r="K14" s="38">
        <f t="shared" si="5"/>
        <v>0.02</v>
      </c>
      <c r="L14" s="38">
        <f t="shared" si="5"/>
        <v>0.02</v>
      </c>
      <c r="M14" s="38">
        <f t="shared" si="5"/>
        <v>0.02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2.75" customHeight="1">
      <c r="A15" s="15"/>
      <c r="B15" s="15"/>
      <c r="C15" s="22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15"/>
      <c r="B16" s="15"/>
      <c r="C16" s="37" t="s">
        <v>22</v>
      </c>
      <c r="D16" s="31">
        <v>2362813.0</v>
      </c>
      <c r="E16" s="31">
        <v>3963707.0</v>
      </c>
      <c r="F16" s="31">
        <v>5543067.0</v>
      </c>
      <c r="G16" s="31">
        <v>7772252.0</v>
      </c>
      <c r="H16" s="31">
        <v>9699819.0</v>
      </c>
      <c r="I16" s="31">
        <f>+Assumptions!E32</f>
        <v>10541278.3</v>
      </c>
      <c r="J16" s="31">
        <f>+Assumptions!F32</f>
        <v>11455734.19</v>
      </c>
      <c r="K16" s="31">
        <f>+Assumptions!G32</f>
        <v>12449519.13</v>
      </c>
      <c r="L16" s="31">
        <f>+Assumptions!H32</f>
        <v>13529514.92</v>
      </c>
      <c r="M16" s="31">
        <f>+Assumptions!I32</f>
        <v>14703200.34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15"/>
      <c r="B17" s="15"/>
      <c r="C17" s="22" t="s">
        <v>148</v>
      </c>
      <c r="D17" s="15">
        <v>8173.0</v>
      </c>
      <c r="E17" s="15">
        <v>11814.0</v>
      </c>
      <c r="F17" s="15">
        <v>13960.0</v>
      </c>
      <c r="G17" s="15">
        <v>14920.0</v>
      </c>
      <c r="H17" s="15">
        <v>7338.0</v>
      </c>
      <c r="I17" s="15">
        <f t="shared" ref="I17:M17" si="6">+I18-H18</f>
        <v>3701.8</v>
      </c>
      <c r="J17" s="15">
        <f t="shared" si="6"/>
        <v>3886.89</v>
      </c>
      <c r="K17" s="15">
        <f t="shared" si="6"/>
        <v>4081.2345</v>
      </c>
      <c r="L17" s="15">
        <f t="shared" si="6"/>
        <v>4285.296225</v>
      </c>
      <c r="M17" s="15">
        <f t="shared" si="6"/>
        <v>4499.561036</v>
      </c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15"/>
      <c r="B18" s="15"/>
      <c r="C18" s="22" t="s">
        <v>149</v>
      </c>
      <c r="D18" s="15">
        <v>26004.0</v>
      </c>
      <c r="E18" s="15">
        <v>37818.0</v>
      </c>
      <c r="F18" s="15">
        <v>51778.0</v>
      </c>
      <c r="G18" s="15">
        <v>66698.0</v>
      </c>
      <c r="H18" s="15">
        <v>74036.0</v>
      </c>
      <c r="I18" s="15">
        <f>+Assumptions!E37</f>
        <v>77737.8</v>
      </c>
      <c r="J18" s="15">
        <f>+Assumptions!F37</f>
        <v>81624.69</v>
      </c>
      <c r="K18" s="15">
        <f>+Assumptions!G37</f>
        <v>85705.9245</v>
      </c>
      <c r="L18" s="15">
        <f>+Assumptions!H37</f>
        <v>89991.22073</v>
      </c>
      <c r="M18" s="15">
        <f>+Assumptions!I37</f>
        <v>94490.78176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15"/>
      <c r="B19" s="15"/>
      <c r="C19" s="22" t="s">
        <v>150</v>
      </c>
      <c r="D19" s="15">
        <f t="shared" ref="D19:H19" si="7">+D16/D18</f>
        <v>90.86344409</v>
      </c>
      <c r="E19" s="15">
        <f t="shared" si="7"/>
        <v>104.810064</v>
      </c>
      <c r="F19" s="15">
        <f t="shared" si="7"/>
        <v>107.0544826</v>
      </c>
      <c r="G19" s="15">
        <f t="shared" si="7"/>
        <v>116.5290114</v>
      </c>
      <c r="H19" s="15">
        <f t="shared" si="7"/>
        <v>131.0148982</v>
      </c>
      <c r="I19" s="15">
        <f>+Assumptions!E47</f>
        <v>135.6004196</v>
      </c>
      <c r="J19" s="15">
        <f>+Assumptions!F47</f>
        <v>140.3464343</v>
      </c>
      <c r="K19" s="15">
        <f>+Assumptions!G47</f>
        <v>145.2585595</v>
      </c>
      <c r="L19" s="15">
        <f>+Assumptions!H47</f>
        <v>150.3426091</v>
      </c>
      <c r="M19" s="15">
        <f>+Assumptions!I47</f>
        <v>155.6046004</v>
      </c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5"/>
      <c r="B20" s="15"/>
      <c r="C20" s="22" t="s">
        <v>151</v>
      </c>
      <c r="D20" s="15"/>
      <c r="E20" s="38">
        <f t="shared" ref="E20:M20" si="8">+E19/D19-1</f>
        <v>0.1534898885</v>
      </c>
      <c r="F20" s="38">
        <f t="shared" si="8"/>
        <v>0.02141415168</v>
      </c>
      <c r="G20" s="38">
        <f t="shared" si="8"/>
        <v>0.08850193412</v>
      </c>
      <c r="H20" s="38">
        <f t="shared" si="8"/>
        <v>0.1243114193</v>
      </c>
      <c r="I20" s="38">
        <f t="shared" si="8"/>
        <v>0.035</v>
      </c>
      <c r="J20" s="38">
        <f t="shared" si="8"/>
        <v>0.035</v>
      </c>
      <c r="K20" s="38">
        <f t="shared" si="8"/>
        <v>0.035</v>
      </c>
      <c r="L20" s="38">
        <f t="shared" si="8"/>
        <v>0.035</v>
      </c>
      <c r="M20" s="38">
        <f t="shared" si="8"/>
        <v>0.035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5"/>
      <c r="B21" s="15"/>
      <c r="C21" s="22" t="s">
        <v>152</v>
      </c>
      <c r="D21" s="15"/>
      <c r="E21" s="38">
        <f t="shared" ref="E21:M21" si="9">+E18/D18-1</f>
        <v>0.4543147208</v>
      </c>
      <c r="F21" s="38">
        <f t="shared" si="9"/>
        <v>0.3691363901</v>
      </c>
      <c r="G21" s="38">
        <f t="shared" si="9"/>
        <v>0.2881532697</v>
      </c>
      <c r="H21" s="38">
        <f t="shared" si="9"/>
        <v>0.1100182914</v>
      </c>
      <c r="I21" s="38">
        <f t="shared" si="9"/>
        <v>0.05</v>
      </c>
      <c r="J21" s="38">
        <f t="shared" si="9"/>
        <v>0.05</v>
      </c>
      <c r="K21" s="38">
        <f t="shared" si="9"/>
        <v>0.05</v>
      </c>
      <c r="L21" s="38">
        <f t="shared" si="9"/>
        <v>0.05</v>
      </c>
      <c r="M21" s="38">
        <f t="shared" si="9"/>
        <v>0.05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15"/>
      <c r="B22" s="15"/>
      <c r="C22" s="2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15"/>
      <c r="B23" s="15"/>
      <c r="C23" s="37" t="s">
        <v>27</v>
      </c>
      <c r="D23" s="31">
        <v>1642616.0</v>
      </c>
      <c r="E23" s="31">
        <v>2237697.0</v>
      </c>
      <c r="F23" s="31">
        <v>2795434.0</v>
      </c>
      <c r="G23" s="31">
        <v>3156727.0</v>
      </c>
      <c r="H23" s="31">
        <v>3576976.0</v>
      </c>
      <c r="I23" s="31">
        <f>+Assumptions!E57</f>
        <v>3887278.668</v>
      </c>
      <c r="J23" s="31">
        <f>+Assumptions!F57</f>
        <v>4224500.092</v>
      </c>
      <c r="K23" s="31">
        <f>+Assumptions!G57</f>
        <v>4590975.475</v>
      </c>
      <c r="L23" s="31">
        <f>+Assumptions!H57</f>
        <v>4989242.598</v>
      </c>
      <c r="M23" s="31">
        <f>+Assumptions!I57</f>
        <v>5422059.393</v>
      </c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15"/>
      <c r="B24" s="15"/>
      <c r="C24" s="22" t="s">
        <v>148</v>
      </c>
      <c r="D24" s="15">
        <v>5509.0</v>
      </c>
      <c r="E24" s="15">
        <v>6360.0</v>
      </c>
      <c r="F24" s="15">
        <v>5340.0</v>
      </c>
      <c r="G24" s="15">
        <v>6120.0</v>
      </c>
      <c r="H24" s="15">
        <v>2424.0</v>
      </c>
      <c r="I24" s="15">
        <f t="shared" ref="I24:M24" si="10">+I25-H25</f>
        <v>1998.05</v>
      </c>
      <c r="J24" s="15">
        <f t="shared" si="10"/>
        <v>2097.9525</v>
      </c>
      <c r="K24" s="15">
        <f t="shared" si="10"/>
        <v>2202.850125</v>
      </c>
      <c r="L24" s="15">
        <f t="shared" si="10"/>
        <v>2312.992631</v>
      </c>
      <c r="M24" s="15">
        <f t="shared" si="10"/>
        <v>2428.642263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15"/>
      <c r="B25" s="15"/>
      <c r="C25" s="22" t="s">
        <v>149</v>
      </c>
      <c r="D25" s="15">
        <v>19717.0</v>
      </c>
      <c r="E25" s="15">
        <v>26077.0</v>
      </c>
      <c r="F25" s="15">
        <v>31417.0</v>
      </c>
      <c r="G25" s="15">
        <v>37537.0</v>
      </c>
      <c r="H25" s="15">
        <v>39961.0</v>
      </c>
      <c r="I25" s="15">
        <f>+Assumptions!E62</f>
        <v>41959.05</v>
      </c>
      <c r="J25" s="15">
        <f>+Assumptions!F62</f>
        <v>44057.0025</v>
      </c>
      <c r="K25" s="15">
        <f>+Assumptions!G62</f>
        <v>46259.85263</v>
      </c>
      <c r="L25" s="15">
        <f>+Assumptions!H62</f>
        <v>48572.84526</v>
      </c>
      <c r="M25" s="15">
        <f>+Assumptions!I62</f>
        <v>51001.48752</v>
      </c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15"/>
      <c r="B26" s="15"/>
      <c r="C26" s="22" t="s">
        <v>150</v>
      </c>
      <c r="D26" s="15">
        <f t="shared" ref="D26:H26" si="11">+D23/D25</f>
        <v>83.30963128</v>
      </c>
      <c r="E26" s="15">
        <f t="shared" si="11"/>
        <v>85.81113625</v>
      </c>
      <c r="F26" s="15">
        <f t="shared" si="11"/>
        <v>88.9783875</v>
      </c>
      <c r="G26" s="15">
        <f t="shared" si="11"/>
        <v>84.09641154</v>
      </c>
      <c r="H26" s="15">
        <f t="shared" si="11"/>
        <v>89.51167388</v>
      </c>
      <c r="I26" s="15">
        <f>+Assumptions!E72</f>
        <v>92.64458247</v>
      </c>
      <c r="J26" s="15">
        <f>+Assumptions!F72</f>
        <v>95.88714285</v>
      </c>
      <c r="K26" s="15">
        <f>+Assumptions!G72</f>
        <v>99.24319285</v>
      </c>
      <c r="L26" s="15">
        <f>+Assumptions!H72</f>
        <v>102.7167046</v>
      </c>
      <c r="M26" s="15">
        <f>+Assumptions!I72</f>
        <v>106.3117893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15"/>
      <c r="B27" s="15"/>
      <c r="C27" s="22" t="s">
        <v>151</v>
      </c>
      <c r="D27" s="15"/>
      <c r="E27" s="38">
        <f t="shared" ref="E27:M27" si="12">+E26/D26-1</f>
        <v>0.03002659992</v>
      </c>
      <c r="F27" s="38">
        <f t="shared" si="12"/>
        <v>0.03690955959</v>
      </c>
      <c r="G27" s="38">
        <f t="shared" si="12"/>
        <v>-0.05486698617</v>
      </c>
      <c r="H27" s="38">
        <f t="shared" si="12"/>
        <v>0.06439350077</v>
      </c>
      <c r="I27" s="38">
        <f t="shared" si="12"/>
        <v>0.035</v>
      </c>
      <c r="J27" s="38">
        <f t="shared" si="12"/>
        <v>0.035</v>
      </c>
      <c r="K27" s="38">
        <f t="shared" si="12"/>
        <v>0.035</v>
      </c>
      <c r="L27" s="38">
        <f t="shared" si="12"/>
        <v>0.035</v>
      </c>
      <c r="M27" s="38">
        <f t="shared" si="12"/>
        <v>0.035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15"/>
      <c r="B28" s="15"/>
      <c r="C28" s="22" t="s">
        <v>152</v>
      </c>
      <c r="D28" s="15"/>
      <c r="E28" s="38">
        <f t="shared" ref="E28:M28" si="13">+E25/D25-1</f>
        <v>0.3225642846</v>
      </c>
      <c r="F28" s="38">
        <f t="shared" si="13"/>
        <v>0.204778157</v>
      </c>
      <c r="G28" s="38">
        <f t="shared" si="13"/>
        <v>0.1947989942</v>
      </c>
      <c r="H28" s="38">
        <f t="shared" si="13"/>
        <v>0.06457628473</v>
      </c>
      <c r="I28" s="38">
        <f t="shared" si="13"/>
        <v>0.05</v>
      </c>
      <c r="J28" s="38">
        <f t="shared" si="13"/>
        <v>0.05</v>
      </c>
      <c r="K28" s="38">
        <f t="shared" si="13"/>
        <v>0.05</v>
      </c>
      <c r="L28" s="38">
        <f t="shared" si="13"/>
        <v>0.05</v>
      </c>
      <c r="M28" s="38">
        <f t="shared" si="13"/>
        <v>0.05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15"/>
      <c r="B29" s="15"/>
      <c r="C29" s="22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15"/>
      <c r="B30" s="15"/>
      <c r="C30" s="37" t="s">
        <v>32</v>
      </c>
      <c r="D30" s="31">
        <v>575928.0</v>
      </c>
      <c r="E30" s="31">
        <v>945816.0</v>
      </c>
      <c r="F30" s="31">
        <v>1469521.0</v>
      </c>
      <c r="G30" s="31">
        <v>2372300.0</v>
      </c>
      <c r="H30" s="31">
        <v>3266601.0</v>
      </c>
      <c r="I30" s="31">
        <f>+Assumptions!E82</f>
        <v>3944420.708</v>
      </c>
      <c r="J30" s="31">
        <f>+Assumptions!F82</f>
        <v>4717527.166</v>
      </c>
      <c r="K30" s="31">
        <f>+Assumptions!G82</f>
        <v>5223481.955</v>
      </c>
      <c r="L30" s="31">
        <f>+Assumptions!H82</f>
        <v>5649195.734</v>
      </c>
      <c r="M30" s="31">
        <f>+Assumptions!I82</f>
        <v>5964138.396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15"/>
      <c r="B31" s="15"/>
      <c r="C31" s="22" t="s">
        <v>148</v>
      </c>
      <c r="D31" s="15">
        <v>2360.0</v>
      </c>
      <c r="E31" s="15">
        <v>4106.0</v>
      </c>
      <c r="F31" s="15">
        <v>5636.0</v>
      </c>
      <c r="G31" s="15">
        <v>9259.0</v>
      </c>
      <c r="H31" s="15">
        <v>7140.0</v>
      </c>
      <c r="I31" s="15">
        <f t="shared" ref="I31:M31" si="14">+I32-H31</f>
        <v>30386.8</v>
      </c>
      <c r="J31" s="15">
        <f t="shared" si="14"/>
        <v>12769.02</v>
      </c>
      <c r="K31" s="15">
        <f t="shared" si="14"/>
        <v>33623.4865</v>
      </c>
      <c r="L31" s="15">
        <f t="shared" si="14"/>
        <v>15088.64533</v>
      </c>
      <c r="M31" s="15">
        <f t="shared" si="14"/>
        <v>34841.2898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15"/>
      <c r="B32" s="15"/>
      <c r="C32" s="22" t="s">
        <v>149</v>
      </c>
      <c r="D32" s="15">
        <v>6501.0</v>
      </c>
      <c r="E32" s="15">
        <v>10607.0</v>
      </c>
      <c r="F32" s="15">
        <v>16233.0</v>
      </c>
      <c r="G32" s="15">
        <v>25492.0</v>
      </c>
      <c r="H32" s="15">
        <v>32632.0</v>
      </c>
      <c r="I32" s="15">
        <f>+Assumptions!E87</f>
        <v>37526.8</v>
      </c>
      <c r="J32" s="15">
        <f>+Assumptions!F87</f>
        <v>43155.82</v>
      </c>
      <c r="K32" s="15">
        <f>+Assumptions!G87</f>
        <v>46392.5065</v>
      </c>
      <c r="L32" s="15">
        <f>+Assumptions!H87</f>
        <v>48712.13183</v>
      </c>
      <c r="M32" s="15">
        <f>+Assumptions!I87</f>
        <v>49929.93512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15"/>
      <c r="B33" s="15"/>
      <c r="C33" s="22" t="s">
        <v>150</v>
      </c>
      <c r="D33" s="15">
        <f t="shared" ref="D33:H33" si="15">+D30/D32</f>
        <v>88.59067836</v>
      </c>
      <c r="E33" s="15">
        <f t="shared" si="15"/>
        <v>89.16903931</v>
      </c>
      <c r="F33" s="15">
        <f t="shared" si="15"/>
        <v>90.52676646</v>
      </c>
      <c r="G33" s="15">
        <f t="shared" si="15"/>
        <v>93.06056802</v>
      </c>
      <c r="H33" s="15">
        <f t="shared" si="15"/>
        <v>100.1042228</v>
      </c>
      <c r="I33" s="15">
        <f>+Assumptions!E97</f>
        <v>105.109434</v>
      </c>
      <c r="J33" s="15">
        <f>+Assumptions!F97</f>
        <v>109.3138114</v>
      </c>
      <c r="K33" s="15">
        <f>+Assumptions!G97</f>
        <v>112.5932257</v>
      </c>
      <c r="L33" s="15">
        <f>+Assumptions!H97</f>
        <v>115.9710225</v>
      </c>
      <c r="M33" s="15">
        <f>+Assumptions!I97</f>
        <v>119.4501531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15"/>
      <c r="B34" s="15"/>
      <c r="C34" s="22" t="s">
        <v>151</v>
      </c>
      <c r="D34" s="15"/>
      <c r="E34" s="38">
        <f t="shared" ref="E34:M34" si="16">+E33/D33-1</f>
        <v>0.006528462895</v>
      </c>
      <c r="F34" s="38">
        <f t="shared" si="16"/>
        <v>0.01522644138</v>
      </c>
      <c r="G34" s="38">
        <f t="shared" si="16"/>
        <v>0.02798952903</v>
      </c>
      <c r="H34" s="38">
        <f t="shared" si="16"/>
        <v>0.07568893009</v>
      </c>
      <c r="I34" s="38">
        <f t="shared" si="16"/>
        <v>0.05</v>
      </c>
      <c r="J34" s="38">
        <f t="shared" si="16"/>
        <v>0.04</v>
      </c>
      <c r="K34" s="38">
        <f t="shared" si="16"/>
        <v>0.03</v>
      </c>
      <c r="L34" s="38">
        <f t="shared" si="16"/>
        <v>0.03</v>
      </c>
      <c r="M34" s="38">
        <f t="shared" si="16"/>
        <v>0.03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15"/>
      <c r="B35" s="15"/>
      <c r="C35" s="22" t="s">
        <v>152</v>
      </c>
      <c r="D35" s="15"/>
      <c r="E35" s="38">
        <f t="shared" ref="E35:M35" si="17">+E32/D32-1</f>
        <v>0.6315951392</v>
      </c>
      <c r="F35" s="38">
        <f t="shared" si="17"/>
        <v>0.5304044499</v>
      </c>
      <c r="G35" s="38">
        <f t="shared" si="17"/>
        <v>0.570381322</v>
      </c>
      <c r="H35" s="38">
        <f t="shared" si="17"/>
        <v>0.2800878707</v>
      </c>
      <c r="I35" s="38">
        <f t="shared" si="17"/>
        <v>0.15</v>
      </c>
      <c r="J35" s="38">
        <f t="shared" si="17"/>
        <v>0.15</v>
      </c>
      <c r="K35" s="38">
        <f t="shared" si="17"/>
        <v>0.075</v>
      </c>
      <c r="L35" s="38">
        <f t="shared" si="17"/>
        <v>0.05</v>
      </c>
      <c r="M35" s="38">
        <f t="shared" si="17"/>
        <v>0.025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15"/>
      <c r="B36" s="15"/>
      <c r="C36" s="22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15"/>
      <c r="B37" s="15"/>
      <c r="C37" s="22" t="s">
        <v>153</v>
      </c>
      <c r="D37" s="15">
        <f t="shared" ref="D37:M37" si="18">+D30+D23+D16+D9</f>
        <v>11242216</v>
      </c>
      <c r="E37" s="15">
        <f t="shared" si="18"/>
        <v>15428752</v>
      </c>
      <c r="F37" s="15">
        <f t="shared" si="18"/>
        <v>19859230</v>
      </c>
      <c r="G37" s="15">
        <f t="shared" si="18"/>
        <v>24756675</v>
      </c>
      <c r="H37" s="15">
        <f t="shared" si="18"/>
        <v>29515496</v>
      </c>
      <c r="I37" s="15">
        <f t="shared" si="18"/>
        <v>32266096.77</v>
      </c>
      <c r="J37" s="15">
        <f t="shared" si="18"/>
        <v>35277292.01</v>
      </c>
      <c r="K37" s="15">
        <f t="shared" si="18"/>
        <v>38199953.79</v>
      </c>
      <c r="L37" s="15">
        <f t="shared" si="18"/>
        <v>41235384.86</v>
      </c>
      <c r="M37" s="15">
        <f t="shared" si="18"/>
        <v>44368617.38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15"/>
      <c r="B38" s="15"/>
      <c r="C38" s="22" t="s">
        <v>37</v>
      </c>
      <c r="D38" s="15">
        <f t="shared" ref="D38:H38" si="19">+D40-D37</f>
        <v>450497</v>
      </c>
      <c r="E38" s="15">
        <f t="shared" si="19"/>
        <v>365589</v>
      </c>
      <c r="F38" s="15">
        <f t="shared" si="19"/>
        <v>297217</v>
      </c>
      <c r="G38" s="15">
        <f t="shared" si="19"/>
        <v>239381</v>
      </c>
      <c r="H38" s="15">
        <f t="shared" si="19"/>
        <v>182348</v>
      </c>
      <c r="I38" s="15">
        <f>+Assumptions!E107</f>
        <v>136761</v>
      </c>
      <c r="J38" s="15">
        <f>+Assumptions!F107</f>
        <v>95732.7</v>
      </c>
      <c r="K38" s="15">
        <f>+Assumptions!G107</f>
        <v>62226.255</v>
      </c>
      <c r="L38" s="15">
        <f>+Assumptions!H107</f>
        <v>31113.1275</v>
      </c>
      <c r="M38" s="15">
        <f>+Assumptions!I107</f>
        <v>0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15"/>
      <c r="B39" s="15"/>
      <c r="C39" s="22" t="s">
        <v>154</v>
      </c>
      <c r="D39" s="15"/>
      <c r="E39" s="29">
        <f t="shared" ref="E39:M39" si="20">+E38/D38-1</f>
        <v>-0.1884762829</v>
      </c>
      <c r="F39" s="29">
        <f t="shared" si="20"/>
        <v>-0.187018756</v>
      </c>
      <c r="G39" s="29">
        <f t="shared" si="20"/>
        <v>-0.1945918302</v>
      </c>
      <c r="H39" s="29">
        <f t="shared" si="20"/>
        <v>-0.2382519916</v>
      </c>
      <c r="I39" s="29">
        <f t="shared" si="20"/>
        <v>-0.25</v>
      </c>
      <c r="J39" s="29">
        <f t="shared" si="20"/>
        <v>-0.3</v>
      </c>
      <c r="K39" s="29">
        <f t="shared" si="20"/>
        <v>-0.35</v>
      </c>
      <c r="L39" s="29">
        <f t="shared" si="20"/>
        <v>-0.5</v>
      </c>
      <c r="M39" s="29">
        <f t="shared" si="20"/>
        <v>-1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15"/>
      <c r="B40" s="15"/>
      <c r="C40" s="39" t="s">
        <v>155</v>
      </c>
      <c r="D40" s="27">
        <v>1.1692713E7</v>
      </c>
      <c r="E40" s="27">
        <v>1.5794341E7</v>
      </c>
      <c r="F40" s="27">
        <v>2.0156447E7</v>
      </c>
      <c r="G40" s="27">
        <v>2.4996056E7</v>
      </c>
      <c r="H40" s="27">
        <v>2.9697844E7</v>
      </c>
      <c r="I40" s="27">
        <f t="shared" ref="I40:M40" si="21">+I38+I37</f>
        <v>32402857.77</v>
      </c>
      <c r="J40" s="27">
        <f t="shared" si="21"/>
        <v>35373024.71</v>
      </c>
      <c r="K40" s="27">
        <f t="shared" si="21"/>
        <v>38262180.04</v>
      </c>
      <c r="L40" s="27">
        <f t="shared" si="21"/>
        <v>41266497.98</v>
      </c>
      <c r="M40" s="27">
        <f t="shared" si="21"/>
        <v>44368617.38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15"/>
      <c r="B41" s="15"/>
      <c r="C41" s="22" t="s">
        <v>156</v>
      </c>
      <c r="D41" s="31"/>
      <c r="E41" s="38">
        <f t="shared" ref="E41:M41" si="22">+E40/D40-1</f>
        <v>0.3507849718</v>
      </c>
      <c r="F41" s="38">
        <f t="shared" si="22"/>
        <v>0.2761815767</v>
      </c>
      <c r="G41" s="38">
        <f t="shared" si="22"/>
        <v>0.2401022859</v>
      </c>
      <c r="H41" s="38">
        <f t="shared" si="22"/>
        <v>0.1881011948</v>
      </c>
      <c r="I41" s="38">
        <f t="shared" si="22"/>
        <v>0.0910845169</v>
      </c>
      <c r="J41" s="38">
        <f t="shared" si="22"/>
        <v>0.09166373387</v>
      </c>
      <c r="K41" s="38">
        <f t="shared" si="22"/>
        <v>0.08167679641</v>
      </c>
      <c r="L41" s="38">
        <f t="shared" si="22"/>
        <v>0.07851925684</v>
      </c>
      <c r="M41" s="38">
        <f t="shared" si="22"/>
        <v>0.07517282892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5"/>
      <c r="B42" s="15"/>
      <c r="C42" s="22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5"/>
      <c r="B43" s="15"/>
      <c r="C43" s="22" t="s">
        <v>71</v>
      </c>
      <c r="D43" s="15">
        <v>-8033000.0</v>
      </c>
      <c r="E43" s="15">
        <v>-9967538.0</v>
      </c>
      <c r="F43" s="15">
        <v>-1.2440213E7</v>
      </c>
      <c r="G43" s="15">
        <v>-1.5276319E7</v>
      </c>
      <c r="H43" s="15">
        <v>-1.7332683E7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5"/>
      <c r="B44" s="15"/>
      <c r="C44" s="22" t="s">
        <v>157</v>
      </c>
      <c r="D44" s="15">
        <f t="shared" ref="D44:H44" si="23">+D104</f>
        <v>6197817</v>
      </c>
      <c r="E44" s="15">
        <f t="shared" si="23"/>
        <v>7532088</v>
      </c>
      <c r="F44" s="15">
        <f t="shared" si="23"/>
        <v>9216247</v>
      </c>
      <c r="G44" s="15">
        <f t="shared" si="23"/>
        <v>10806912</v>
      </c>
      <c r="H44" s="15">
        <f t="shared" si="23"/>
        <v>12230367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5"/>
      <c r="B45" s="15"/>
      <c r="C45" s="22" t="s">
        <v>158</v>
      </c>
      <c r="D45" s="15">
        <f t="shared" ref="D45:H45" si="24">+D105</f>
        <v>71911</v>
      </c>
      <c r="E45" s="15">
        <f t="shared" si="24"/>
        <v>83157</v>
      </c>
      <c r="F45" s="15">
        <f t="shared" si="24"/>
        <v>103579</v>
      </c>
      <c r="G45" s="15">
        <f t="shared" si="24"/>
        <v>115710</v>
      </c>
      <c r="H45" s="15">
        <f t="shared" si="24"/>
        <v>208412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5"/>
      <c r="B46" s="15"/>
      <c r="C46" s="22" t="s">
        <v>74</v>
      </c>
      <c r="D46" s="15">
        <f t="shared" ref="D46:H46" si="25">+D44+D43+D45</f>
        <v>-1763272</v>
      </c>
      <c r="E46" s="15">
        <f t="shared" si="25"/>
        <v>-2352293</v>
      </c>
      <c r="F46" s="15">
        <f t="shared" si="25"/>
        <v>-3120387</v>
      </c>
      <c r="G46" s="15">
        <f t="shared" si="25"/>
        <v>-4353697</v>
      </c>
      <c r="H46" s="15">
        <f t="shared" si="25"/>
        <v>-4893904</v>
      </c>
      <c r="I46" s="15">
        <f>-I40*Assumptions!E117</f>
        <v>-4892831.524</v>
      </c>
      <c r="J46" s="15">
        <f>-J40*Assumptions!F117</f>
        <v>-5341326.731</v>
      </c>
      <c r="K46" s="15">
        <f>-K40*Assumptions!G117</f>
        <v>-5777589.186</v>
      </c>
      <c r="L46" s="15">
        <f>-L40*Assumptions!H117</f>
        <v>-6231241.196</v>
      </c>
      <c r="M46" s="15">
        <f>-M40*Assumptions!I117</f>
        <v>-6699661.224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5"/>
      <c r="B47" s="15"/>
      <c r="C47" s="39" t="s">
        <v>72</v>
      </c>
      <c r="D47" s="27">
        <f t="shared" ref="D47:M47" si="26">+D40+D46</f>
        <v>9929441</v>
      </c>
      <c r="E47" s="27">
        <f t="shared" si="26"/>
        <v>13442048</v>
      </c>
      <c r="F47" s="27">
        <f t="shared" si="26"/>
        <v>17036060</v>
      </c>
      <c r="G47" s="27">
        <f t="shared" si="26"/>
        <v>20642359</v>
      </c>
      <c r="H47" s="27">
        <f t="shared" si="26"/>
        <v>24803940</v>
      </c>
      <c r="I47" s="27">
        <f t="shared" si="26"/>
        <v>27510026.25</v>
      </c>
      <c r="J47" s="27">
        <f t="shared" si="26"/>
        <v>30031697.97</v>
      </c>
      <c r="K47" s="27">
        <f t="shared" si="26"/>
        <v>32484590.86</v>
      </c>
      <c r="L47" s="27">
        <f t="shared" si="26"/>
        <v>35035256.79</v>
      </c>
      <c r="M47" s="27">
        <f t="shared" si="26"/>
        <v>37668956.15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5"/>
      <c r="B48" s="15"/>
      <c r="C48" s="40" t="s">
        <v>73</v>
      </c>
      <c r="D48" s="41">
        <f t="shared" ref="D48:M48" si="27">IFERROR(+D47/D$40,"-")</f>
        <v>0.8491990695</v>
      </c>
      <c r="E48" s="41">
        <f t="shared" si="27"/>
        <v>0.8510673538</v>
      </c>
      <c r="F48" s="41">
        <f t="shared" si="27"/>
        <v>0.8451916154</v>
      </c>
      <c r="G48" s="41">
        <f t="shared" si="27"/>
        <v>0.8258246421</v>
      </c>
      <c r="H48" s="41">
        <f t="shared" si="27"/>
        <v>0.835210125</v>
      </c>
      <c r="I48" s="41">
        <f t="shared" si="27"/>
        <v>0.849</v>
      </c>
      <c r="J48" s="41">
        <f t="shared" si="27"/>
        <v>0.849</v>
      </c>
      <c r="K48" s="41">
        <f t="shared" si="27"/>
        <v>0.849</v>
      </c>
      <c r="L48" s="41">
        <f t="shared" si="27"/>
        <v>0.849</v>
      </c>
      <c r="M48" s="41">
        <f t="shared" si="27"/>
        <v>0.849</v>
      </c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5"/>
      <c r="B49" s="15"/>
      <c r="C49" s="22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5"/>
      <c r="B50" s="15"/>
      <c r="C50" s="22" t="s">
        <v>77</v>
      </c>
      <c r="D50" s="15">
        <v>-1436281.0</v>
      </c>
      <c r="E50" s="15">
        <v>-2369469.0</v>
      </c>
      <c r="F50" s="15">
        <v>-2652462.0</v>
      </c>
      <c r="G50" s="15">
        <v>-2228362.0</v>
      </c>
      <c r="H50" s="15">
        <v>-2545146.0</v>
      </c>
      <c r="I50" s="15">
        <f>+I40*-Assumptions!E122</f>
        <v>-2592228.622</v>
      </c>
      <c r="J50" s="15">
        <f>+J40*-Assumptions!F122</f>
        <v>-2741409.415</v>
      </c>
      <c r="K50" s="15">
        <f>+K40*-Assumptions!G122</f>
        <v>-2869663.503</v>
      </c>
      <c r="L50" s="15">
        <f>+L40*-Assumptions!H122</f>
        <v>-2991821.104</v>
      </c>
      <c r="M50" s="15">
        <f>+M40*-Assumptions!I122</f>
        <v>-3105803.216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5"/>
      <c r="B51" s="15"/>
      <c r="C51" s="40" t="s">
        <v>159</v>
      </c>
      <c r="D51" s="38">
        <f t="shared" ref="D51:M51" si="28">-D50/D$40</f>
        <v>0.1228355643</v>
      </c>
      <c r="E51" s="38">
        <f t="shared" si="28"/>
        <v>0.1500201243</v>
      </c>
      <c r="F51" s="38">
        <f t="shared" si="28"/>
        <v>0.1315937278</v>
      </c>
      <c r="G51" s="38">
        <f t="shared" si="28"/>
        <v>0.08914854407</v>
      </c>
      <c r="H51" s="38">
        <f t="shared" si="28"/>
        <v>0.0857013728</v>
      </c>
      <c r="I51" s="38">
        <f t="shared" si="28"/>
        <v>0.08</v>
      </c>
      <c r="J51" s="38">
        <f t="shared" si="28"/>
        <v>0.0775</v>
      </c>
      <c r="K51" s="38">
        <f t="shared" si="28"/>
        <v>0.075</v>
      </c>
      <c r="L51" s="38">
        <f t="shared" si="28"/>
        <v>0.0725</v>
      </c>
      <c r="M51" s="38">
        <f t="shared" si="28"/>
        <v>0.07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5"/>
      <c r="B52" s="15"/>
      <c r="C52" s="22" t="s">
        <v>78</v>
      </c>
      <c r="D52" s="15">
        <v>-953710.0</v>
      </c>
      <c r="E52" s="15">
        <v>-1221814.0</v>
      </c>
      <c r="F52" s="15">
        <v>-1545149.0</v>
      </c>
      <c r="G52" s="15">
        <v>-1829600.0</v>
      </c>
      <c r="H52" s="15">
        <v>-2273885.0</v>
      </c>
      <c r="I52" s="15">
        <f>+I40*-Assumptions!E127</f>
        <v>-2754242.911</v>
      </c>
      <c r="J52" s="15">
        <f>+J40*-Assumptions!F127</f>
        <v>-2918274.538</v>
      </c>
      <c r="K52" s="15">
        <f>+K40*-Assumptions!G127</f>
        <v>-3060974.403</v>
      </c>
      <c r="L52" s="15">
        <f>+L40*-Assumptions!H127</f>
        <v>-3301319.839</v>
      </c>
      <c r="M52" s="15">
        <f>+M40*-Assumptions!I127</f>
        <v>-3549489.39</v>
      </c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5"/>
      <c r="B53" s="15"/>
      <c r="C53" s="40" t="s">
        <v>160</v>
      </c>
      <c r="D53" s="38">
        <f t="shared" ref="D53:M53" si="29">-D52/D$40</f>
        <v>0.08156447524</v>
      </c>
      <c r="E53" s="38">
        <f t="shared" si="29"/>
        <v>0.07735770679</v>
      </c>
      <c r="F53" s="38">
        <f t="shared" si="29"/>
        <v>0.07665780581</v>
      </c>
      <c r="G53" s="38">
        <f t="shared" si="29"/>
        <v>0.07319554733</v>
      </c>
      <c r="H53" s="38">
        <f t="shared" si="29"/>
        <v>0.07656734273</v>
      </c>
      <c r="I53" s="38">
        <f t="shared" si="29"/>
        <v>0.085</v>
      </c>
      <c r="J53" s="38">
        <f t="shared" si="29"/>
        <v>0.0825</v>
      </c>
      <c r="K53" s="38">
        <f t="shared" si="29"/>
        <v>0.08</v>
      </c>
      <c r="L53" s="38">
        <f t="shared" si="29"/>
        <v>0.08</v>
      </c>
      <c r="M53" s="38">
        <f t="shared" si="29"/>
        <v>0.08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5"/>
      <c r="B54" s="15"/>
      <c r="C54" s="22" t="s">
        <v>79</v>
      </c>
      <c r="D54" s="15">
        <v>-431043.0</v>
      </c>
      <c r="E54" s="15">
        <v>-630294.0</v>
      </c>
      <c r="F54" s="15">
        <v>-914369.0</v>
      </c>
      <c r="G54" s="15">
        <v>-1076486.0</v>
      </c>
      <c r="H54" s="15">
        <v>-1351621.0</v>
      </c>
      <c r="I54" s="15">
        <f>+I40*-Assumptions!E132</f>
        <v>-1458128.6</v>
      </c>
      <c r="J54" s="15">
        <f>+J40*-Assumptions!F132</f>
        <v>-1680218.674</v>
      </c>
      <c r="K54" s="15">
        <f>+K40*-Assumptions!G132</f>
        <v>-1817453.552</v>
      </c>
      <c r="L54" s="15">
        <f>+L40*-Assumptions!H132</f>
        <v>-2063324.899</v>
      </c>
      <c r="M54" s="15">
        <f>+M40*-Assumptions!I132</f>
        <v>-2218430.869</v>
      </c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5"/>
      <c r="B55" s="15"/>
      <c r="C55" s="40" t="s">
        <v>161</v>
      </c>
      <c r="D55" s="38">
        <f t="shared" ref="D55:M55" si="30">-D54/D$40</f>
        <v>0.03686424186</v>
      </c>
      <c r="E55" s="38">
        <f t="shared" si="30"/>
        <v>0.03990631835</v>
      </c>
      <c r="F55" s="38">
        <f t="shared" si="30"/>
        <v>0.04536360004</v>
      </c>
      <c r="G55" s="38">
        <f t="shared" si="30"/>
        <v>0.04306623413</v>
      </c>
      <c r="H55" s="38">
        <f t="shared" si="30"/>
        <v>0.04551242844</v>
      </c>
      <c r="I55" s="38">
        <f t="shared" si="30"/>
        <v>0.045</v>
      </c>
      <c r="J55" s="38">
        <f t="shared" si="30"/>
        <v>0.0475</v>
      </c>
      <c r="K55" s="38">
        <f t="shared" si="30"/>
        <v>0.0475</v>
      </c>
      <c r="L55" s="38">
        <f t="shared" si="30"/>
        <v>0.05</v>
      </c>
      <c r="M55" s="38">
        <f t="shared" si="30"/>
        <v>0.05</v>
      </c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5"/>
      <c r="B56" s="15"/>
      <c r="C56" s="39" t="s">
        <v>88</v>
      </c>
      <c r="D56" s="27">
        <f t="shared" ref="D56:M56" si="31">+D47+D50+D52+D54</f>
        <v>7108407</v>
      </c>
      <c r="E56" s="27">
        <f t="shared" si="31"/>
        <v>9220471</v>
      </c>
      <c r="F56" s="27">
        <f t="shared" si="31"/>
        <v>11924080</v>
      </c>
      <c r="G56" s="27">
        <f t="shared" si="31"/>
        <v>15507911</v>
      </c>
      <c r="H56" s="27">
        <f t="shared" si="31"/>
        <v>18633288</v>
      </c>
      <c r="I56" s="27">
        <f t="shared" si="31"/>
        <v>20705426.12</v>
      </c>
      <c r="J56" s="27">
        <f t="shared" si="31"/>
        <v>22691795.35</v>
      </c>
      <c r="K56" s="27">
        <f t="shared" si="31"/>
        <v>24736499.4</v>
      </c>
      <c r="L56" s="27">
        <f t="shared" si="31"/>
        <v>26678790.95</v>
      </c>
      <c r="M56" s="27">
        <f t="shared" si="31"/>
        <v>28795232.68</v>
      </c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5"/>
      <c r="B57" s="15"/>
      <c r="C57" s="40" t="s">
        <v>89</v>
      </c>
      <c r="D57" s="41">
        <f t="shared" ref="D57:M57" si="32">IFERROR(+D56/D$40,"-")</f>
        <v>0.6079347881</v>
      </c>
      <c r="E57" s="41">
        <f t="shared" si="32"/>
        <v>0.5837832044</v>
      </c>
      <c r="F57" s="41">
        <f t="shared" si="32"/>
        <v>0.5915764817</v>
      </c>
      <c r="G57" s="41">
        <f t="shared" si="32"/>
        <v>0.6204143166</v>
      </c>
      <c r="H57" s="41">
        <f t="shared" si="32"/>
        <v>0.627428981</v>
      </c>
      <c r="I57" s="41">
        <f t="shared" si="32"/>
        <v>0.639</v>
      </c>
      <c r="J57" s="41">
        <f t="shared" si="32"/>
        <v>0.6415</v>
      </c>
      <c r="K57" s="41">
        <f t="shared" si="32"/>
        <v>0.6465</v>
      </c>
      <c r="L57" s="41">
        <f t="shared" si="32"/>
        <v>0.6465</v>
      </c>
      <c r="M57" s="41">
        <f t="shared" si="32"/>
        <v>0.649</v>
      </c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5"/>
      <c r="B58" s="15"/>
      <c r="C58" s="40" t="s">
        <v>162</v>
      </c>
      <c r="D58" s="41"/>
      <c r="E58" s="41">
        <f t="shared" ref="E58:M58" si="33">+E56/D56-1</f>
        <v>0.2971219853</v>
      </c>
      <c r="F58" s="41">
        <f t="shared" si="33"/>
        <v>0.2932181013</v>
      </c>
      <c r="G58" s="41">
        <f t="shared" si="33"/>
        <v>0.3005540889</v>
      </c>
      <c r="H58" s="41">
        <f t="shared" si="33"/>
        <v>0.2015343653</v>
      </c>
      <c r="I58" s="41">
        <f t="shared" si="33"/>
        <v>0.1112062518</v>
      </c>
      <c r="J58" s="41">
        <f t="shared" si="33"/>
        <v>0.09593471874</v>
      </c>
      <c r="K58" s="41">
        <f t="shared" si="33"/>
        <v>0.0901076366</v>
      </c>
      <c r="L58" s="41">
        <f t="shared" si="33"/>
        <v>0.07851925684</v>
      </c>
      <c r="M58" s="41">
        <f t="shared" si="33"/>
        <v>0.07933049648</v>
      </c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5"/>
      <c r="B59" s="15"/>
      <c r="C59" s="22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5"/>
      <c r="B60" s="15"/>
      <c r="C60" s="22" t="s">
        <v>120</v>
      </c>
      <c r="D60" s="15">
        <f t="shared" ref="D60:H60" si="34">-D44-D45</f>
        <v>-6269728</v>
      </c>
      <c r="E60" s="15">
        <f t="shared" si="34"/>
        <v>-7615245</v>
      </c>
      <c r="F60" s="15">
        <f t="shared" si="34"/>
        <v>-9319826</v>
      </c>
      <c r="G60" s="15">
        <f t="shared" si="34"/>
        <v>-10922622</v>
      </c>
      <c r="H60" s="15">
        <f t="shared" si="34"/>
        <v>-12438779</v>
      </c>
      <c r="I60" s="15">
        <f t="shared" ref="I60:M60" si="35">-I156-I165</f>
        <v>-12540820.73</v>
      </c>
      <c r="J60" s="15">
        <f t="shared" si="35"/>
        <v>-17262829.92</v>
      </c>
      <c r="K60" s="15">
        <f t="shared" si="35"/>
        <v>-22106993.61</v>
      </c>
      <c r="L60" s="15">
        <f t="shared" si="35"/>
        <v>-27076453.55</v>
      </c>
      <c r="M60" s="15">
        <f t="shared" si="35"/>
        <v>-19908314.58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5"/>
      <c r="B61" s="15"/>
      <c r="C61" s="39" t="s">
        <v>80</v>
      </c>
      <c r="D61" s="27">
        <f t="shared" ref="D61:M61" si="36">+D56+D60</f>
        <v>838679</v>
      </c>
      <c r="E61" s="27">
        <f t="shared" si="36"/>
        <v>1605226</v>
      </c>
      <c r="F61" s="27">
        <f t="shared" si="36"/>
        <v>2604254</v>
      </c>
      <c r="G61" s="27">
        <f t="shared" si="36"/>
        <v>4585289</v>
      </c>
      <c r="H61" s="27">
        <f t="shared" si="36"/>
        <v>6194509</v>
      </c>
      <c r="I61" s="27">
        <f t="shared" si="36"/>
        <v>8164605.39</v>
      </c>
      <c r="J61" s="27">
        <f t="shared" si="36"/>
        <v>5428965.425</v>
      </c>
      <c r="K61" s="27">
        <f t="shared" si="36"/>
        <v>2629505.786</v>
      </c>
      <c r="L61" s="27">
        <f t="shared" si="36"/>
        <v>-397662.5997</v>
      </c>
      <c r="M61" s="27">
        <f t="shared" si="36"/>
        <v>8886918.098</v>
      </c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5"/>
      <c r="B62" s="15"/>
      <c r="C62" s="40" t="s">
        <v>81</v>
      </c>
      <c r="D62" s="41">
        <f t="shared" ref="D62:M62" si="37">IFERROR(+D61/D$40,"-")</f>
        <v>0.07172663863</v>
      </c>
      <c r="E62" s="41">
        <f t="shared" si="37"/>
        <v>0.1016329836</v>
      </c>
      <c r="F62" s="41">
        <f t="shared" si="37"/>
        <v>0.1292020365</v>
      </c>
      <c r="G62" s="41">
        <f t="shared" si="37"/>
        <v>0.1834404996</v>
      </c>
      <c r="H62" s="41">
        <f t="shared" si="37"/>
        <v>0.2085844683</v>
      </c>
      <c r="I62" s="41">
        <f t="shared" si="37"/>
        <v>0.2519717689</v>
      </c>
      <c r="J62" s="41">
        <f t="shared" si="37"/>
        <v>0.1534775573</v>
      </c>
      <c r="K62" s="41">
        <f t="shared" si="37"/>
        <v>0.06872336555</v>
      </c>
      <c r="L62" s="41">
        <f t="shared" si="37"/>
        <v>-0.009636451338</v>
      </c>
      <c r="M62" s="41">
        <f t="shared" si="37"/>
        <v>0.2002973864</v>
      </c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5"/>
      <c r="B63" s="15"/>
      <c r="C63" s="22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5"/>
      <c r="B64" s="15"/>
      <c r="C64" s="22" t="s">
        <v>82</v>
      </c>
      <c r="D64" s="15">
        <v>-238204.0</v>
      </c>
      <c r="E64" s="15">
        <v>-420493.0</v>
      </c>
      <c r="F64" s="15">
        <v>-626023.0</v>
      </c>
      <c r="G64" s="15">
        <v>-767499.0</v>
      </c>
      <c r="H64" s="15">
        <v>-765620.0</v>
      </c>
      <c r="I64" s="15">
        <f t="shared" ref="I64:M64" si="38">-I215</f>
        <v>-701164.1667</v>
      </c>
      <c r="J64" s="15">
        <f t="shared" si="38"/>
        <v>-694747.5</v>
      </c>
      <c r="K64" s="15">
        <f t="shared" si="38"/>
        <v>-677497.5</v>
      </c>
      <c r="L64" s="15">
        <f t="shared" si="38"/>
        <v>-615493.3333</v>
      </c>
      <c r="M64" s="15">
        <f t="shared" si="38"/>
        <v>-586926.6667</v>
      </c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5"/>
      <c r="B65" s="15"/>
      <c r="C65" s="22" t="s">
        <v>83</v>
      </c>
      <c r="D65" s="15">
        <v>-115154.0</v>
      </c>
      <c r="E65" s="15">
        <v>41725.0</v>
      </c>
      <c r="F65" s="15">
        <v>84000.0</v>
      </c>
      <c r="G65" s="15">
        <v>-618441.0</v>
      </c>
      <c r="H65" s="15">
        <v>411214.0</v>
      </c>
      <c r="I65" s="15">
        <v>0.0</v>
      </c>
      <c r="J65" s="15">
        <v>0.0</v>
      </c>
      <c r="K65" s="15">
        <v>0.0</v>
      </c>
      <c r="L65" s="15">
        <v>0.0</v>
      </c>
      <c r="M65" s="15">
        <v>0.0</v>
      </c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5"/>
      <c r="B66" s="15"/>
      <c r="C66" s="22" t="s">
        <v>84</v>
      </c>
      <c r="D66" s="15">
        <v>73608.0</v>
      </c>
      <c r="E66" s="15">
        <v>-15216.0</v>
      </c>
      <c r="F66" s="15">
        <v>-195315.0</v>
      </c>
      <c r="G66" s="15">
        <v>-437954.0</v>
      </c>
      <c r="H66" s="15">
        <v>-723875.0</v>
      </c>
      <c r="I66" s="15">
        <f>-(I61+I64+I65)*Assumptions!E197</f>
        <v>-1865860.306</v>
      </c>
      <c r="J66" s="15">
        <f>-(J61+J64+J65)*Assumptions!F197</f>
        <v>-1183554.481</v>
      </c>
      <c r="K66" s="15">
        <f>-(K61+K64+K65)*Assumptions!G197</f>
        <v>-488002.0715</v>
      </c>
      <c r="L66" s="15">
        <f>-(L61+L64+L65)*Assumptions!H197</f>
        <v>253288.9833</v>
      </c>
      <c r="M66" s="15">
        <f>-(M61+M64+M65)*Assumptions!I197</f>
        <v>-2074997.858</v>
      </c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5"/>
      <c r="B67" s="15"/>
      <c r="C67" s="39" t="s">
        <v>163</v>
      </c>
      <c r="D67" s="27">
        <f t="shared" ref="D67:M67" si="39">+D61+SUM(D64:D66)</f>
        <v>558929</v>
      </c>
      <c r="E67" s="27">
        <f t="shared" si="39"/>
        <v>1211242</v>
      </c>
      <c r="F67" s="27">
        <f t="shared" si="39"/>
        <v>1866916</v>
      </c>
      <c r="G67" s="27">
        <f t="shared" si="39"/>
        <v>2761395</v>
      </c>
      <c r="H67" s="27">
        <f t="shared" si="39"/>
        <v>5116228</v>
      </c>
      <c r="I67" s="27">
        <f t="shared" si="39"/>
        <v>5597580.918</v>
      </c>
      <c r="J67" s="27">
        <f t="shared" si="39"/>
        <v>3550663.444</v>
      </c>
      <c r="K67" s="27">
        <f t="shared" si="39"/>
        <v>1464006.214</v>
      </c>
      <c r="L67" s="27">
        <f t="shared" si="39"/>
        <v>-759866.9498</v>
      </c>
      <c r="M67" s="27">
        <f t="shared" si="39"/>
        <v>6224993.573</v>
      </c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5"/>
      <c r="B68" s="15"/>
      <c r="C68" s="40" t="s">
        <v>164</v>
      </c>
      <c r="D68" s="41">
        <f t="shared" ref="D68:M68" si="40">IFERROR(+D67/D$40,"-")</f>
        <v>0.04780148114</v>
      </c>
      <c r="E68" s="41">
        <f t="shared" si="40"/>
        <v>0.07668835313</v>
      </c>
      <c r="F68" s="41">
        <f t="shared" si="40"/>
        <v>0.0926212839</v>
      </c>
      <c r="G68" s="41">
        <f t="shared" si="40"/>
        <v>0.1104732283</v>
      </c>
      <c r="H68" s="41">
        <f t="shared" si="40"/>
        <v>0.172276075</v>
      </c>
      <c r="I68" s="41">
        <f t="shared" si="40"/>
        <v>0.1727496061</v>
      </c>
      <c r="J68" s="41">
        <f t="shared" si="40"/>
        <v>0.1003777164</v>
      </c>
      <c r="K68" s="41">
        <f t="shared" si="40"/>
        <v>0.03826248825</v>
      </c>
      <c r="L68" s="41">
        <f t="shared" si="40"/>
        <v>-0.0184136524</v>
      </c>
      <c r="M68" s="41">
        <f t="shared" si="40"/>
        <v>0.1403017254</v>
      </c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5"/>
      <c r="B69" s="15"/>
      <c r="C69" s="22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5"/>
      <c r="B70" s="15"/>
      <c r="C70" s="23" t="s">
        <v>90</v>
      </c>
      <c r="D70" s="24">
        <v>2017.0</v>
      </c>
      <c r="E70" s="24">
        <f t="shared" ref="E70:M70" si="41">+D70+1</f>
        <v>2018</v>
      </c>
      <c r="F70" s="24">
        <f t="shared" si="41"/>
        <v>2019</v>
      </c>
      <c r="G70" s="24">
        <f t="shared" si="41"/>
        <v>2020</v>
      </c>
      <c r="H70" s="24">
        <f t="shared" si="41"/>
        <v>2021</v>
      </c>
      <c r="I70" s="25">
        <f t="shared" si="41"/>
        <v>2022</v>
      </c>
      <c r="J70" s="25">
        <f t="shared" si="41"/>
        <v>2023</v>
      </c>
      <c r="K70" s="25">
        <f t="shared" si="41"/>
        <v>2024</v>
      </c>
      <c r="L70" s="25">
        <f t="shared" si="41"/>
        <v>2025</v>
      </c>
      <c r="M70" s="25">
        <f t="shared" si="41"/>
        <v>2026</v>
      </c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5"/>
      <c r="B71" s="15"/>
      <c r="C71" s="22" t="s">
        <v>165</v>
      </c>
      <c r="D71" s="15">
        <v>2822795.0</v>
      </c>
      <c r="E71" s="15">
        <v>3794483.0</v>
      </c>
      <c r="F71" s="15">
        <v>5018437.0</v>
      </c>
      <c r="G71" s="15">
        <v>8205550.0</v>
      </c>
      <c r="H71" s="15">
        <v>6027804.0</v>
      </c>
      <c r="I71" s="15">
        <f t="shared" ref="I71:M71" si="42">+I246</f>
        <v>3000000</v>
      </c>
      <c r="J71" s="15">
        <f t="shared" si="42"/>
        <v>3000000</v>
      </c>
      <c r="K71" s="15">
        <f t="shared" si="42"/>
        <v>3000000</v>
      </c>
      <c r="L71" s="15">
        <f t="shared" si="42"/>
        <v>3000000</v>
      </c>
      <c r="M71" s="15">
        <f t="shared" si="42"/>
        <v>3000000</v>
      </c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5"/>
      <c r="B72" s="15"/>
      <c r="C72" s="22" t="s">
        <v>166</v>
      </c>
      <c r="D72" s="15">
        <v>4310934.0</v>
      </c>
      <c r="E72" s="15">
        <v>5151186.0</v>
      </c>
      <c r="F72" s="15">
        <v>0.0</v>
      </c>
      <c r="G72" s="15">
        <v>0.0</v>
      </c>
      <c r="H72" s="15">
        <v>0.0</v>
      </c>
      <c r="I72" s="15">
        <v>0.0</v>
      </c>
      <c r="J72" s="15">
        <v>0.0</v>
      </c>
      <c r="K72" s="15">
        <v>0.0</v>
      </c>
      <c r="L72" s="15">
        <v>0.0</v>
      </c>
      <c r="M72" s="15">
        <v>0.0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5"/>
      <c r="B73" s="15"/>
      <c r="C73" s="22" t="s">
        <v>92</v>
      </c>
      <c r="D73" s="15">
        <v>536245.0</v>
      </c>
      <c r="E73" s="15">
        <v>748466.0</v>
      </c>
      <c r="F73" s="15">
        <v>1160067.0</v>
      </c>
      <c r="G73" s="15">
        <v>1556030.0</v>
      </c>
      <c r="H73" s="15">
        <v>2042021.0</v>
      </c>
      <c r="I73" s="15">
        <f t="shared" ref="I73:M73" si="43">+I174</f>
        <v>2229316.615</v>
      </c>
      <c r="J73" s="15">
        <f t="shared" si="43"/>
        <v>2433664.1</v>
      </c>
      <c r="K73" s="15">
        <f t="shared" si="43"/>
        <v>2632437.987</v>
      </c>
      <c r="L73" s="15">
        <f t="shared" si="43"/>
        <v>2839135.061</v>
      </c>
      <c r="M73" s="15">
        <f t="shared" si="43"/>
        <v>3052560.876</v>
      </c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5"/>
      <c r="B74" s="15"/>
      <c r="C74" s="39" t="s">
        <v>93</v>
      </c>
      <c r="D74" s="27">
        <f t="shared" ref="D74:M74" si="44">SUM(D71:D73)</f>
        <v>7669974</v>
      </c>
      <c r="E74" s="27">
        <f t="shared" si="44"/>
        <v>9694135</v>
      </c>
      <c r="F74" s="27">
        <f t="shared" si="44"/>
        <v>6178504</v>
      </c>
      <c r="G74" s="27">
        <f t="shared" si="44"/>
        <v>9761580</v>
      </c>
      <c r="H74" s="27">
        <f t="shared" si="44"/>
        <v>8069825</v>
      </c>
      <c r="I74" s="27">
        <f t="shared" si="44"/>
        <v>5229316.615</v>
      </c>
      <c r="J74" s="27">
        <f t="shared" si="44"/>
        <v>5433664.1</v>
      </c>
      <c r="K74" s="27">
        <f t="shared" si="44"/>
        <v>5632437.987</v>
      </c>
      <c r="L74" s="27">
        <f t="shared" si="44"/>
        <v>5839135.061</v>
      </c>
      <c r="M74" s="27">
        <f t="shared" si="44"/>
        <v>6052560.876</v>
      </c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5"/>
      <c r="B75" s="15"/>
      <c r="C75" s="22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5"/>
      <c r="B76" s="15"/>
      <c r="C76" s="22" t="s">
        <v>167</v>
      </c>
      <c r="D76" s="15">
        <v>1.0371055E7</v>
      </c>
      <c r="E76" s="15">
        <v>1.4951141E7</v>
      </c>
      <c r="F76" s="15">
        <v>2.4504567E7</v>
      </c>
      <c r="G76" s="15">
        <v>2.538395E7</v>
      </c>
      <c r="H76" s="15">
        <v>3.0919539E7</v>
      </c>
      <c r="I76" s="15">
        <f t="shared" ref="I76:M76" si="45">+H76+I139-I156</f>
        <v>36798222.04</v>
      </c>
      <c r="J76" s="15">
        <f t="shared" si="45"/>
        <v>38480930.01</v>
      </c>
      <c r="K76" s="15">
        <f t="shared" si="45"/>
        <v>35862763.53</v>
      </c>
      <c r="L76" s="15">
        <f t="shared" si="45"/>
        <v>28836200.75</v>
      </c>
      <c r="M76" s="15">
        <f t="shared" si="45"/>
        <v>29557105.77</v>
      </c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5"/>
      <c r="B77" s="15"/>
      <c r="C77" s="22" t="s">
        <v>168</v>
      </c>
      <c r="D77" s="15">
        <v>319404.0</v>
      </c>
      <c r="E77" s="15">
        <v>418281.0</v>
      </c>
      <c r="F77" s="15">
        <v>565221.0</v>
      </c>
      <c r="G77" s="15">
        <v>960183.0</v>
      </c>
      <c r="H77" s="15">
        <v>1323453.0</v>
      </c>
      <c r="I77" s="15">
        <f t="shared" ref="I77:M77" si="46">+H77+I145-I165</f>
        <v>1469943.436</v>
      </c>
      <c r="J77" s="15">
        <f t="shared" si="46"/>
        <v>1582630.841</v>
      </c>
      <c r="K77" s="15">
        <f t="shared" si="46"/>
        <v>1654547.42</v>
      </c>
      <c r="L77" s="15">
        <f t="shared" si="46"/>
        <v>1681039.888</v>
      </c>
      <c r="M77" s="15">
        <f t="shared" si="46"/>
        <v>1657029.043</v>
      </c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5"/>
      <c r="B78" s="15"/>
      <c r="C78" s="22" t="s">
        <v>96</v>
      </c>
      <c r="D78" s="15">
        <v>652309.0</v>
      </c>
      <c r="E78" s="15">
        <v>910843.0</v>
      </c>
      <c r="F78" s="15">
        <v>2727420.0</v>
      </c>
      <c r="G78" s="15">
        <v>3174646.0</v>
      </c>
      <c r="H78" s="15">
        <v>4271846.0</v>
      </c>
      <c r="I78" s="15">
        <f t="shared" ref="I78:M78" si="47">+I168</f>
        <v>4374385.799</v>
      </c>
      <c r="J78" s="15">
        <f t="shared" si="47"/>
        <v>4775358.335</v>
      </c>
      <c r="K78" s="15">
        <f t="shared" si="47"/>
        <v>5165394.306</v>
      </c>
      <c r="L78" s="15">
        <f t="shared" si="47"/>
        <v>5570977.228</v>
      </c>
      <c r="M78" s="15">
        <f t="shared" si="47"/>
        <v>5989763.346</v>
      </c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5"/>
      <c r="B79" s="15"/>
      <c r="C79" s="39" t="s">
        <v>97</v>
      </c>
      <c r="D79" s="27">
        <f t="shared" ref="D79:M79" si="48">+SUM(D76:D78)</f>
        <v>11342768</v>
      </c>
      <c r="E79" s="27">
        <f t="shared" si="48"/>
        <v>16280265</v>
      </c>
      <c r="F79" s="27">
        <f t="shared" si="48"/>
        <v>27797208</v>
      </c>
      <c r="G79" s="27">
        <f t="shared" si="48"/>
        <v>29518779</v>
      </c>
      <c r="H79" s="27">
        <f t="shared" si="48"/>
        <v>36514838</v>
      </c>
      <c r="I79" s="27">
        <f t="shared" si="48"/>
        <v>42642551.27</v>
      </c>
      <c r="J79" s="27">
        <f t="shared" si="48"/>
        <v>44838919.18</v>
      </c>
      <c r="K79" s="27">
        <f t="shared" si="48"/>
        <v>42682705.26</v>
      </c>
      <c r="L79" s="27">
        <f t="shared" si="48"/>
        <v>36088217.87</v>
      </c>
      <c r="M79" s="27">
        <f t="shared" si="48"/>
        <v>37203898.16</v>
      </c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5"/>
      <c r="B80" s="15"/>
      <c r="C80" s="22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5"/>
      <c r="B81" s="15"/>
      <c r="C81" s="42" t="s">
        <v>98</v>
      </c>
      <c r="D81" s="33">
        <f t="shared" ref="D81:M81" si="49">+D79+D74</f>
        <v>19012742</v>
      </c>
      <c r="E81" s="33">
        <f t="shared" si="49"/>
        <v>25974400</v>
      </c>
      <c r="F81" s="33">
        <f t="shared" si="49"/>
        <v>33975712</v>
      </c>
      <c r="G81" s="33">
        <f t="shared" si="49"/>
        <v>39280359</v>
      </c>
      <c r="H81" s="33">
        <f t="shared" si="49"/>
        <v>44584663</v>
      </c>
      <c r="I81" s="33">
        <f t="shared" si="49"/>
        <v>47871867.89</v>
      </c>
      <c r="J81" s="33">
        <f t="shared" si="49"/>
        <v>50272583.28</v>
      </c>
      <c r="K81" s="33">
        <f t="shared" si="49"/>
        <v>48315143.25</v>
      </c>
      <c r="L81" s="33">
        <f t="shared" si="49"/>
        <v>41927352.93</v>
      </c>
      <c r="M81" s="33">
        <f t="shared" si="49"/>
        <v>43256459.04</v>
      </c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5"/>
      <c r="B82" s="15"/>
      <c r="C82" s="22"/>
      <c r="D82" s="15"/>
      <c r="E82" s="15"/>
      <c r="F82" s="15"/>
      <c r="G82" s="15"/>
      <c r="H82" s="29"/>
      <c r="I82" s="29"/>
      <c r="J82" s="29"/>
      <c r="K82" s="29"/>
      <c r="L82" s="29"/>
      <c r="M82" s="29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5"/>
      <c r="B83" s="15"/>
      <c r="C83" s="22" t="s">
        <v>99</v>
      </c>
      <c r="D83" s="15">
        <v>4173041.0</v>
      </c>
      <c r="E83" s="15">
        <v>4681562.0</v>
      </c>
      <c r="F83" s="15">
        <v>4413561.0</v>
      </c>
      <c r="G83" s="15">
        <v>4429536.0</v>
      </c>
      <c r="H83" s="15">
        <v>4292967.0</v>
      </c>
      <c r="I83" s="15">
        <v>0.0</v>
      </c>
      <c r="J83" s="15">
        <v>0.0</v>
      </c>
      <c r="K83" s="15">
        <v>0.0</v>
      </c>
      <c r="L83" s="15">
        <v>0.0</v>
      </c>
      <c r="M83" s="15">
        <v>0.0</v>
      </c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5"/>
      <c r="B84" s="15"/>
      <c r="C84" s="22" t="s">
        <v>100</v>
      </c>
      <c r="D84" s="15">
        <v>359555.0</v>
      </c>
      <c r="E84" s="15">
        <v>562985.0</v>
      </c>
      <c r="F84" s="15">
        <v>674347.0</v>
      </c>
      <c r="G84" s="15">
        <v>656183.0</v>
      </c>
      <c r="H84" s="15">
        <v>837483.0</v>
      </c>
      <c r="I84" s="15">
        <f t="shared" ref="I84:M84" si="50">+I179</f>
        <v>804301.0724</v>
      </c>
      <c r="J84" s="15">
        <f t="shared" si="50"/>
        <v>878026.3119</v>
      </c>
      <c r="K84" s="15">
        <f t="shared" si="50"/>
        <v>949740.6882</v>
      </c>
      <c r="L84" s="15">
        <f t="shared" si="50"/>
        <v>1024313.621</v>
      </c>
      <c r="M84" s="15">
        <f t="shared" si="50"/>
        <v>1101314.174</v>
      </c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5"/>
      <c r="B85" s="15"/>
      <c r="C85" s="22" t="s">
        <v>101</v>
      </c>
      <c r="D85" s="15">
        <v>315094.0</v>
      </c>
      <c r="E85" s="15">
        <v>481874.0</v>
      </c>
      <c r="F85" s="15">
        <v>843043.0</v>
      </c>
      <c r="G85" s="15">
        <v>1102196.0</v>
      </c>
      <c r="H85" s="15">
        <v>1449351.0</v>
      </c>
      <c r="I85" s="15">
        <f t="shared" ref="I85:M85" si="51">+I182</f>
        <v>1620142.889</v>
      </c>
      <c r="J85" s="15">
        <f t="shared" si="51"/>
        <v>1768651.235</v>
      </c>
      <c r="K85" s="15">
        <f t="shared" si="51"/>
        <v>1913109.002</v>
      </c>
      <c r="L85" s="15">
        <f t="shared" si="51"/>
        <v>2063324.899</v>
      </c>
      <c r="M85" s="15">
        <f t="shared" si="51"/>
        <v>2218430.869</v>
      </c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5"/>
      <c r="B86" s="15"/>
      <c r="C86" s="22" t="s">
        <v>102</v>
      </c>
      <c r="D86" s="15">
        <v>618622.0</v>
      </c>
      <c r="E86" s="15">
        <v>760899.0</v>
      </c>
      <c r="F86" s="15">
        <v>924745.0</v>
      </c>
      <c r="G86" s="15">
        <v>1117992.0</v>
      </c>
      <c r="H86" s="15">
        <v>1209342.0</v>
      </c>
      <c r="I86" s="15">
        <f t="shared" ref="I86:M86" si="52">+I185</f>
        <v>1296114.311</v>
      </c>
      <c r="J86" s="15">
        <f t="shared" si="52"/>
        <v>1414920.988</v>
      </c>
      <c r="K86" s="15">
        <f t="shared" si="52"/>
        <v>1530487.202</v>
      </c>
      <c r="L86" s="15">
        <f t="shared" si="52"/>
        <v>1650659.919</v>
      </c>
      <c r="M86" s="15">
        <f t="shared" si="52"/>
        <v>1774744.695</v>
      </c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5"/>
      <c r="B87" s="15"/>
      <c r="C87" s="22" t="s">
        <v>103</v>
      </c>
      <c r="D87" s="15">
        <v>0.0</v>
      </c>
      <c r="E87" s="15">
        <v>0.0</v>
      </c>
      <c r="F87" s="15">
        <v>0.0</v>
      </c>
      <c r="G87" s="15">
        <v>499878.0</v>
      </c>
      <c r="H87" s="15">
        <v>699823.0</v>
      </c>
      <c r="I87" s="15">
        <v>0.0</v>
      </c>
      <c r="J87" s="15">
        <v>0.0</v>
      </c>
      <c r="K87" s="15">
        <v>0.0</v>
      </c>
      <c r="L87" s="15">
        <v>0.0</v>
      </c>
      <c r="M87" s="15">
        <v>0.0</v>
      </c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5"/>
      <c r="B88" s="15"/>
      <c r="C88" s="39" t="s">
        <v>104</v>
      </c>
      <c r="D88" s="27">
        <f t="shared" ref="D88:M88" si="53">SUM(D83:D87)</f>
        <v>5466312</v>
      </c>
      <c r="E88" s="27">
        <f t="shared" si="53"/>
        <v>6487320</v>
      </c>
      <c r="F88" s="27">
        <f t="shared" si="53"/>
        <v>6855696</v>
      </c>
      <c r="G88" s="27">
        <f t="shared" si="53"/>
        <v>7805785</v>
      </c>
      <c r="H88" s="27">
        <f t="shared" si="53"/>
        <v>8488966</v>
      </c>
      <c r="I88" s="27">
        <f t="shared" si="53"/>
        <v>3720558.272</v>
      </c>
      <c r="J88" s="27">
        <f t="shared" si="53"/>
        <v>4061598.535</v>
      </c>
      <c r="K88" s="27">
        <f t="shared" si="53"/>
        <v>4393336.892</v>
      </c>
      <c r="L88" s="27">
        <f t="shared" si="53"/>
        <v>4738298.44</v>
      </c>
      <c r="M88" s="27">
        <f t="shared" si="53"/>
        <v>5094489.738</v>
      </c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5"/>
      <c r="B89" s="15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5"/>
      <c r="B90" s="15"/>
      <c r="C90" s="22" t="s">
        <v>105</v>
      </c>
      <c r="D90" s="15">
        <v>3329796.0</v>
      </c>
      <c r="E90" s="15">
        <v>3759026.0</v>
      </c>
      <c r="F90" s="15">
        <v>3334323.0</v>
      </c>
      <c r="G90" s="15">
        <v>2618084.0</v>
      </c>
      <c r="H90" s="15">
        <v>3094213.0</v>
      </c>
      <c r="I90" s="15">
        <f t="shared" ref="I90:M90" si="54">+I193</f>
        <v>10936565.89</v>
      </c>
      <c r="J90" s="15">
        <f t="shared" si="54"/>
        <v>11209980.04</v>
      </c>
      <c r="K90" s="15">
        <f t="shared" si="54"/>
        <v>11490229.54</v>
      </c>
      <c r="L90" s="15">
        <f t="shared" si="54"/>
        <v>11777485.28</v>
      </c>
      <c r="M90" s="15">
        <f t="shared" si="54"/>
        <v>12071922.41</v>
      </c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5"/>
      <c r="B91" s="15"/>
      <c r="C91" s="22" t="s">
        <v>106</v>
      </c>
      <c r="D91" s="15">
        <v>6499432.0</v>
      </c>
      <c r="E91" s="15">
        <v>1.0360058E7</v>
      </c>
      <c r="F91" s="15">
        <v>1.475926E7</v>
      </c>
      <c r="G91" s="15">
        <v>1.5809095E7</v>
      </c>
      <c r="H91" s="15">
        <v>1.4693072E7</v>
      </c>
      <c r="I91" s="15">
        <f t="shared" ref="I91:M91" si="55">+H87+H91-I205</f>
        <v>14692895</v>
      </c>
      <c r="J91" s="15">
        <f t="shared" si="55"/>
        <v>14692895</v>
      </c>
      <c r="K91" s="15">
        <f t="shared" si="55"/>
        <v>14292895</v>
      </c>
      <c r="L91" s="15">
        <f t="shared" si="55"/>
        <v>12457895</v>
      </c>
      <c r="M91" s="15">
        <f t="shared" si="55"/>
        <v>11457895</v>
      </c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5"/>
      <c r="B92" s="15"/>
      <c r="C92" s="22" t="s">
        <v>53</v>
      </c>
      <c r="D92" s="15">
        <v>135246.0</v>
      </c>
      <c r="E92" s="15">
        <v>129231.0</v>
      </c>
      <c r="F92" s="15">
        <v>1444276.0</v>
      </c>
      <c r="G92" s="15">
        <v>1982155.0</v>
      </c>
      <c r="H92" s="15">
        <v>2459164.0</v>
      </c>
      <c r="I92" s="15">
        <f t="shared" ref="I92:M92" si="56">+I188</f>
        <v>2689437.195</v>
      </c>
      <c r="J92" s="15">
        <f t="shared" si="56"/>
        <v>2935961.051</v>
      </c>
      <c r="K92" s="15">
        <f t="shared" si="56"/>
        <v>3175760.944</v>
      </c>
      <c r="L92" s="15">
        <f t="shared" si="56"/>
        <v>3425119.333</v>
      </c>
      <c r="M92" s="15">
        <f t="shared" si="56"/>
        <v>3682595.242</v>
      </c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5"/>
      <c r="B93" s="15"/>
      <c r="C93" s="39" t="s">
        <v>108</v>
      </c>
      <c r="D93" s="27">
        <f t="shared" ref="D93:M93" si="57">+SUM(D90:D92)</f>
        <v>9964474</v>
      </c>
      <c r="E93" s="27">
        <f t="shared" si="57"/>
        <v>14248315</v>
      </c>
      <c r="F93" s="27">
        <f t="shared" si="57"/>
        <v>19537859</v>
      </c>
      <c r="G93" s="27">
        <f t="shared" si="57"/>
        <v>20409334</v>
      </c>
      <c r="H93" s="27">
        <f t="shared" si="57"/>
        <v>20246449</v>
      </c>
      <c r="I93" s="27">
        <f t="shared" si="57"/>
        <v>28318898.09</v>
      </c>
      <c r="J93" s="27">
        <f t="shared" si="57"/>
        <v>28838836.09</v>
      </c>
      <c r="K93" s="27">
        <f t="shared" si="57"/>
        <v>28958885.49</v>
      </c>
      <c r="L93" s="27">
        <f t="shared" si="57"/>
        <v>27660499.61</v>
      </c>
      <c r="M93" s="27">
        <f t="shared" si="57"/>
        <v>27212412.65</v>
      </c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5"/>
      <c r="B94" s="15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5"/>
      <c r="B95" s="15"/>
      <c r="C95" s="42" t="s">
        <v>169</v>
      </c>
      <c r="D95" s="33">
        <f t="shared" ref="D95:M95" si="58">+D93+D88</f>
        <v>15430786</v>
      </c>
      <c r="E95" s="33">
        <f t="shared" si="58"/>
        <v>20735635</v>
      </c>
      <c r="F95" s="33">
        <f t="shared" si="58"/>
        <v>26393555</v>
      </c>
      <c r="G95" s="33">
        <f t="shared" si="58"/>
        <v>28215119</v>
      </c>
      <c r="H95" s="33">
        <f t="shared" si="58"/>
        <v>28735415</v>
      </c>
      <c r="I95" s="33">
        <f t="shared" si="58"/>
        <v>32039456.36</v>
      </c>
      <c r="J95" s="33">
        <f t="shared" si="58"/>
        <v>32900434.63</v>
      </c>
      <c r="K95" s="33">
        <f t="shared" si="58"/>
        <v>33352222.38</v>
      </c>
      <c r="L95" s="33">
        <f t="shared" si="58"/>
        <v>32398798.05</v>
      </c>
      <c r="M95" s="33">
        <f t="shared" si="58"/>
        <v>32306902.39</v>
      </c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5"/>
      <c r="B96" s="15"/>
      <c r="C96" s="22"/>
      <c r="D96" s="15"/>
      <c r="E96" s="15"/>
      <c r="F96" s="15"/>
      <c r="G96" s="15"/>
      <c r="H96" s="29"/>
      <c r="I96" s="29"/>
      <c r="J96" s="29"/>
      <c r="K96" s="29"/>
      <c r="L96" s="29"/>
      <c r="M96" s="29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5"/>
      <c r="B97" s="15"/>
      <c r="C97" s="42" t="s">
        <v>109</v>
      </c>
      <c r="D97" s="33">
        <v>3581956.0</v>
      </c>
      <c r="E97" s="33">
        <v>5238765.0</v>
      </c>
      <c r="F97" s="33">
        <v>7582157.0</v>
      </c>
      <c r="G97" s="33">
        <v>1.106524E7</v>
      </c>
      <c r="H97" s="33">
        <v>1.5849248E7</v>
      </c>
      <c r="I97" s="33">
        <f t="shared" ref="I97:M97" si="59">+H97+I67+I239+I240+I241</f>
        <v>15832411.53</v>
      </c>
      <c r="J97" s="33">
        <f t="shared" si="59"/>
        <v>17372148.66</v>
      </c>
      <c r="K97" s="33">
        <f t="shared" si="59"/>
        <v>14962920.87</v>
      </c>
      <c r="L97" s="33">
        <f t="shared" si="59"/>
        <v>9528554.876</v>
      </c>
      <c r="M97" s="33">
        <f t="shared" si="59"/>
        <v>10949556.64</v>
      </c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5"/>
      <c r="B98" s="15"/>
      <c r="C98" s="22" t="s">
        <v>111</v>
      </c>
      <c r="D98" s="15">
        <f t="shared" ref="D98:M98" si="60">+D81-D95-D97</f>
        <v>0</v>
      </c>
      <c r="E98" s="15">
        <f t="shared" si="60"/>
        <v>0</v>
      </c>
      <c r="F98" s="15">
        <f t="shared" si="60"/>
        <v>0</v>
      </c>
      <c r="G98" s="15">
        <f t="shared" si="60"/>
        <v>0</v>
      </c>
      <c r="H98" s="15">
        <f t="shared" si="60"/>
        <v>0</v>
      </c>
      <c r="I98" s="15">
        <f t="shared" si="60"/>
        <v>-0.000000009313225746</v>
      </c>
      <c r="J98" s="15">
        <f t="shared" si="60"/>
        <v>-0.000000003725290298</v>
      </c>
      <c r="K98" s="15">
        <f t="shared" si="60"/>
        <v>-0.000000003725290298</v>
      </c>
      <c r="L98" s="15">
        <f t="shared" si="60"/>
        <v>-0.000000007450580597</v>
      </c>
      <c r="M98" s="15">
        <f t="shared" si="60"/>
        <v>-0.000000009313225746</v>
      </c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5"/>
      <c r="B99" s="15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5"/>
      <c r="B100" s="15"/>
      <c r="C100" s="23" t="s">
        <v>115</v>
      </c>
      <c r="D100" s="24">
        <v>2017.0</v>
      </c>
      <c r="E100" s="24">
        <f t="shared" ref="E100:M100" si="61">+D100+1</f>
        <v>2018</v>
      </c>
      <c r="F100" s="24">
        <f t="shared" si="61"/>
        <v>2019</v>
      </c>
      <c r="G100" s="24">
        <f t="shared" si="61"/>
        <v>2020</v>
      </c>
      <c r="H100" s="24">
        <f t="shared" si="61"/>
        <v>2021</v>
      </c>
      <c r="I100" s="25">
        <f t="shared" si="61"/>
        <v>2022</v>
      </c>
      <c r="J100" s="25">
        <f t="shared" si="61"/>
        <v>2023</v>
      </c>
      <c r="K100" s="25">
        <f t="shared" si="61"/>
        <v>2024</v>
      </c>
      <c r="L100" s="25">
        <f t="shared" si="61"/>
        <v>2025</v>
      </c>
      <c r="M100" s="25">
        <f t="shared" si="61"/>
        <v>2026</v>
      </c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5"/>
      <c r="B101" s="15"/>
      <c r="C101" s="22" t="s">
        <v>116</v>
      </c>
      <c r="D101" s="15">
        <f t="shared" ref="D101:H101" si="62">+D67</f>
        <v>558929</v>
      </c>
      <c r="E101" s="15">
        <f t="shared" si="62"/>
        <v>1211242</v>
      </c>
      <c r="F101" s="15">
        <f t="shared" si="62"/>
        <v>1866916</v>
      </c>
      <c r="G101" s="15">
        <f t="shared" si="62"/>
        <v>2761395</v>
      </c>
      <c r="H101" s="15">
        <f t="shared" si="62"/>
        <v>5116228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5"/>
      <c r="B102" s="15"/>
      <c r="C102" s="22" t="s">
        <v>117</v>
      </c>
      <c r="D102" s="15">
        <v>-9805763.0</v>
      </c>
      <c r="E102" s="15">
        <v>-1.3043437E7</v>
      </c>
      <c r="F102" s="15">
        <v>-1.3916683E7</v>
      </c>
      <c r="G102" s="15">
        <v>-1.1779284E7</v>
      </c>
      <c r="H102" s="15">
        <v>-1.7702202E7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5"/>
      <c r="B103" s="15"/>
      <c r="C103" s="22" t="s">
        <v>118</v>
      </c>
      <c r="D103" s="15">
        <v>900006.0</v>
      </c>
      <c r="E103" s="15">
        <v>999880.0</v>
      </c>
      <c r="F103" s="15">
        <v>-694011.0</v>
      </c>
      <c r="G103" s="15">
        <v>-757433.0</v>
      </c>
      <c r="H103" s="15">
        <v>232898.0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5"/>
      <c r="B104" s="15"/>
      <c r="C104" s="22" t="s">
        <v>119</v>
      </c>
      <c r="D104" s="15">
        <v>6197817.0</v>
      </c>
      <c r="E104" s="15">
        <v>7532088.0</v>
      </c>
      <c r="F104" s="15">
        <v>9216247.0</v>
      </c>
      <c r="G104" s="15">
        <v>1.0806912E7</v>
      </c>
      <c r="H104" s="15">
        <v>1.2230367E7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5"/>
      <c r="B105" s="15"/>
      <c r="C105" s="22" t="s">
        <v>170</v>
      </c>
      <c r="D105" s="15">
        <v>71911.0</v>
      </c>
      <c r="E105" s="15">
        <v>83157.0</v>
      </c>
      <c r="F105" s="15">
        <v>103579.0</v>
      </c>
      <c r="G105" s="15">
        <v>115710.0</v>
      </c>
      <c r="H105" s="15">
        <v>208412.0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5"/>
      <c r="B106" s="15"/>
      <c r="C106" s="22" t="s">
        <v>121</v>
      </c>
      <c r="D106" s="15">
        <v>182209.0</v>
      </c>
      <c r="E106" s="15">
        <v>320657.0</v>
      </c>
      <c r="F106" s="15">
        <v>405376.0</v>
      </c>
      <c r="G106" s="15">
        <v>415180.0</v>
      </c>
      <c r="H106" s="15">
        <v>403220.0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5"/>
      <c r="B107" s="15"/>
      <c r="C107" s="22" t="s">
        <v>122</v>
      </c>
      <c r="D107" s="15">
        <v>117864.0</v>
      </c>
      <c r="E107" s="15">
        <v>81640.0</v>
      </c>
      <c r="F107" s="15">
        <v>228230.0</v>
      </c>
      <c r="G107" s="15">
        <v>533278.0</v>
      </c>
      <c r="H107" s="15">
        <v>-430661.0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5"/>
      <c r="B108" s="15"/>
      <c r="C108" s="22" t="s">
        <v>123</v>
      </c>
      <c r="D108" s="15">
        <v>140790.0</v>
      </c>
      <c r="E108" s="15">
        <v>-73953.0</v>
      </c>
      <c r="F108" s="15">
        <v>-45576.0</v>
      </c>
      <c r="G108" s="15">
        <v>293126.0</v>
      </c>
      <c r="H108" s="15">
        <v>376777.0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5"/>
      <c r="B109" s="15"/>
      <c r="C109" s="22" t="s">
        <v>124</v>
      </c>
      <c r="D109" s="15">
        <v>-208688.0</v>
      </c>
      <c r="E109" s="15">
        <v>-85520.0</v>
      </c>
      <c r="F109" s="15">
        <v>-94443.0</v>
      </c>
      <c r="G109" s="15">
        <v>70066.0</v>
      </c>
      <c r="H109" s="15">
        <v>199548.0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5"/>
      <c r="B110" s="15"/>
      <c r="C110" s="43" t="s">
        <v>171</v>
      </c>
      <c r="D110" s="31">
        <f t="shared" ref="D110:H110" si="63">+SUM(D111:D115)</f>
        <v>58977</v>
      </c>
      <c r="E110" s="31">
        <f t="shared" si="63"/>
        <v>293767</v>
      </c>
      <c r="F110" s="31">
        <f t="shared" si="63"/>
        <v>43043</v>
      </c>
      <c r="G110" s="31">
        <f t="shared" si="63"/>
        <v>-31873</v>
      </c>
      <c r="H110" s="31">
        <f t="shared" si="63"/>
        <v>-241977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5"/>
      <c r="B111" s="15"/>
      <c r="C111" s="22" t="s">
        <v>92</v>
      </c>
      <c r="D111" s="15">
        <v>-234090.0</v>
      </c>
      <c r="E111" s="15">
        <v>-200192.0</v>
      </c>
      <c r="F111" s="15">
        <v>-252113.0</v>
      </c>
      <c r="G111" s="15">
        <v>-187623.0</v>
      </c>
      <c r="H111" s="15">
        <v>-369681.0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5"/>
      <c r="B112" s="15"/>
      <c r="C112" s="22" t="s">
        <v>100</v>
      </c>
      <c r="D112" s="15">
        <v>74559.0</v>
      </c>
      <c r="E112" s="15">
        <v>199198.0</v>
      </c>
      <c r="F112" s="15">
        <v>96063.0</v>
      </c>
      <c r="G112" s="15">
        <v>-41605.0</v>
      </c>
      <c r="H112" s="15">
        <v>145115.0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5"/>
      <c r="B113" s="15"/>
      <c r="C113" s="22" t="s">
        <v>101</v>
      </c>
      <c r="D113" s="15">
        <v>114337.0</v>
      </c>
      <c r="E113" s="15">
        <v>150422.0</v>
      </c>
      <c r="F113" s="15">
        <v>157778.0</v>
      </c>
      <c r="G113" s="15">
        <v>198183.0</v>
      </c>
      <c r="H113" s="15">
        <v>180338.0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5"/>
      <c r="B114" s="15"/>
      <c r="C114" s="22" t="s">
        <v>102</v>
      </c>
      <c r="D114" s="15">
        <v>177974.0</v>
      </c>
      <c r="E114" s="15">
        <v>142277.0</v>
      </c>
      <c r="F114" s="15">
        <v>163846.0</v>
      </c>
      <c r="G114" s="15">
        <v>193247.0</v>
      </c>
      <c r="H114" s="15">
        <v>91350.0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5"/>
      <c r="B115" s="15"/>
      <c r="C115" s="22" t="s">
        <v>172</v>
      </c>
      <c r="D115" s="15">
        <v>-73803.0</v>
      </c>
      <c r="E115" s="15">
        <v>2062.0</v>
      </c>
      <c r="F115" s="15">
        <v>-122531.0</v>
      </c>
      <c r="G115" s="15">
        <v>-194075.0</v>
      </c>
      <c r="H115" s="15">
        <v>-289099.0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5"/>
      <c r="B116" s="15"/>
      <c r="C116" s="39" t="s">
        <v>173</v>
      </c>
      <c r="D116" s="27">
        <f t="shared" ref="D116:H116" si="64">+SUM(D101:D110)</f>
        <v>-1785948</v>
      </c>
      <c r="E116" s="27">
        <f t="shared" si="64"/>
        <v>-2680479</v>
      </c>
      <c r="F116" s="27">
        <f t="shared" si="64"/>
        <v>-2887322</v>
      </c>
      <c r="G116" s="27">
        <f t="shared" si="64"/>
        <v>2427077</v>
      </c>
      <c r="H116" s="27">
        <f t="shared" si="64"/>
        <v>392610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5"/>
      <c r="B117" s="15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5"/>
      <c r="B118" s="15"/>
      <c r="C118" s="22" t="s">
        <v>174</v>
      </c>
      <c r="D118" s="15">
        <v>-173302.0</v>
      </c>
      <c r="E118" s="15">
        <v>-173946.0</v>
      </c>
      <c r="F118" s="15">
        <v>-253035.0</v>
      </c>
      <c r="G118" s="15">
        <v>-497923.0</v>
      </c>
      <c r="H118" s="15">
        <v>-524585.0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5"/>
      <c r="B119" s="15"/>
      <c r="C119" s="22" t="s">
        <v>133</v>
      </c>
      <c r="D119" s="15">
        <v>-60409.0</v>
      </c>
      <c r="E119" s="15">
        <v>-165174.0</v>
      </c>
      <c r="F119" s="15">
        <v>-134029.0</v>
      </c>
      <c r="G119" s="15">
        <v>-7431.0</v>
      </c>
      <c r="H119" s="15">
        <v>-26919.0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5"/>
      <c r="B120" s="15"/>
      <c r="C120" s="22" t="s">
        <v>175</v>
      </c>
      <c r="D120" s="15">
        <v>-74819.0</v>
      </c>
      <c r="E120" s="15">
        <v>0.0</v>
      </c>
      <c r="F120" s="15">
        <v>0.0</v>
      </c>
      <c r="G120" s="15">
        <v>0.0</v>
      </c>
      <c r="H120" s="15">
        <v>0.0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5"/>
      <c r="B121" s="15"/>
      <c r="C121" s="22" t="s">
        <v>176</v>
      </c>
      <c r="D121" s="15">
        <v>320154.0</v>
      </c>
      <c r="E121" s="15">
        <v>0.0</v>
      </c>
      <c r="F121" s="15">
        <v>0.0</v>
      </c>
      <c r="G121" s="15">
        <v>0.0</v>
      </c>
      <c r="H121" s="15">
        <v>0.0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5"/>
      <c r="B122" s="15"/>
      <c r="C122" s="22" t="s">
        <v>177</v>
      </c>
      <c r="D122" s="15">
        <v>22705.0</v>
      </c>
      <c r="E122" s="15">
        <v>0.0</v>
      </c>
      <c r="F122" s="15">
        <v>0.0</v>
      </c>
      <c r="G122" s="15">
        <v>0.0</v>
      </c>
      <c r="H122" s="15">
        <v>0.0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5"/>
      <c r="B123" s="15"/>
      <c r="C123" s="22" t="s">
        <v>134</v>
      </c>
      <c r="D123" s="15">
        <v>0.0</v>
      </c>
      <c r="E123" s="15">
        <v>0.0</v>
      </c>
      <c r="F123" s="15">
        <v>0.0</v>
      </c>
      <c r="G123" s="15">
        <v>0.0</v>
      </c>
      <c r="H123" s="15">
        <v>-788349.0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5"/>
      <c r="B124" s="15"/>
      <c r="C124" s="39" t="s">
        <v>178</v>
      </c>
      <c r="D124" s="27">
        <f t="shared" ref="D124:H124" si="65">SUM(D118:D123)</f>
        <v>34329</v>
      </c>
      <c r="E124" s="27">
        <f t="shared" si="65"/>
        <v>-339120</v>
      </c>
      <c r="F124" s="27">
        <f t="shared" si="65"/>
        <v>-387064</v>
      </c>
      <c r="G124" s="27">
        <f t="shared" si="65"/>
        <v>-505354</v>
      </c>
      <c r="H124" s="27">
        <f t="shared" si="65"/>
        <v>-1339853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5"/>
      <c r="B125" s="15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5"/>
      <c r="B126" s="15"/>
      <c r="C126" s="22" t="s">
        <v>179</v>
      </c>
      <c r="D126" s="15">
        <v>3020510.0</v>
      </c>
      <c r="E126" s="15">
        <v>3961852.0</v>
      </c>
      <c r="F126" s="15">
        <v>4469306.0</v>
      </c>
      <c r="G126" s="15">
        <v>1009464.0</v>
      </c>
      <c r="H126" s="15">
        <v>0.0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5"/>
      <c r="B127" s="15"/>
      <c r="C127" s="22" t="s">
        <v>180</v>
      </c>
      <c r="D127" s="15">
        <v>-32153.0</v>
      </c>
      <c r="E127" s="15">
        <v>-35871.0</v>
      </c>
      <c r="F127" s="15">
        <v>-36134.0</v>
      </c>
      <c r="G127" s="15">
        <v>-7559.0</v>
      </c>
      <c r="H127" s="15">
        <v>0.0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5"/>
      <c r="B128" s="15"/>
      <c r="C128" s="22" t="s">
        <v>137</v>
      </c>
      <c r="D128" s="15">
        <v>0.0</v>
      </c>
      <c r="E128" s="15">
        <v>0.0</v>
      </c>
      <c r="F128" s="15">
        <v>0.0</v>
      </c>
      <c r="G128" s="15">
        <v>0.0</v>
      </c>
      <c r="H128" s="15">
        <v>-500000.0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5"/>
      <c r="B129" s="15"/>
      <c r="C129" s="22" t="s">
        <v>138</v>
      </c>
      <c r="D129" s="15">
        <v>88378.0</v>
      </c>
      <c r="E129" s="15">
        <v>124502.0</v>
      </c>
      <c r="F129" s="15">
        <v>72490.0</v>
      </c>
      <c r="G129" s="15">
        <v>235406.0</v>
      </c>
      <c r="H129" s="15">
        <v>174414.0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5"/>
      <c r="B130" s="15"/>
      <c r="C130" s="22" t="s">
        <v>181</v>
      </c>
      <c r="D130" s="15">
        <v>255.0</v>
      </c>
      <c r="E130" s="15">
        <v>-1956.0</v>
      </c>
      <c r="F130" s="15">
        <v>0.0</v>
      </c>
      <c r="G130" s="15">
        <v>0.0</v>
      </c>
      <c r="H130" s="15">
        <v>0.0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5"/>
      <c r="B131" s="15"/>
      <c r="C131" s="22" t="s">
        <v>139</v>
      </c>
      <c r="D131" s="15">
        <v>0.0</v>
      </c>
      <c r="E131" s="15">
        <v>0.0</v>
      </c>
      <c r="F131" s="15">
        <v>0.0</v>
      </c>
      <c r="G131" s="15">
        <v>0.0</v>
      </c>
      <c r="H131" s="15">
        <v>-600022.0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5"/>
      <c r="B132" s="15"/>
      <c r="C132" s="22" t="s">
        <v>182</v>
      </c>
      <c r="D132" s="15">
        <v>0.0</v>
      </c>
      <c r="E132" s="15">
        <v>0.0</v>
      </c>
      <c r="F132" s="15">
        <v>0.0</v>
      </c>
      <c r="G132" s="15">
        <v>0.0</v>
      </c>
      <c r="H132" s="15">
        <v>-224168.0</v>
      </c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5"/>
      <c r="B133" s="15"/>
      <c r="C133" s="39" t="s">
        <v>183</v>
      </c>
      <c r="D133" s="27">
        <f t="shared" ref="D133:H133" si="66">SUM(D126:D132)</f>
        <v>3076990</v>
      </c>
      <c r="E133" s="27">
        <f t="shared" si="66"/>
        <v>4048527</v>
      </c>
      <c r="F133" s="27">
        <f t="shared" si="66"/>
        <v>4505662</v>
      </c>
      <c r="G133" s="27">
        <f t="shared" si="66"/>
        <v>1237311</v>
      </c>
      <c r="H133" s="27">
        <f t="shared" si="66"/>
        <v>-1149776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5"/>
      <c r="B134" s="15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5"/>
      <c r="B135" s="15"/>
      <c r="C135" s="22" t="s">
        <v>184</v>
      </c>
      <c r="D135" s="15">
        <v>29848.0</v>
      </c>
      <c r="E135" s="15">
        <v>-39682.0</v>
      </c>
      <c r="F135" s="15">
        <v>469.0</v>
      </c>
      <c r="G135" s="15">
        <v>36050.0</v>
      </c>
      <c r="H135" s="15">
        <v>-86740.0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5"/>
      <c r="B136" s="15"/>
      <c r="C136" s="43" t="s">
        <v>185</v>
      </c>
      <c r="D136" s="31">
        <f t="shared" ref="D136:H136" si="67">+D116+D124+D133+D135</f>
        <v>1355219</v>
      </c>
      <c r="E136" s="31">
        <f t="shared" si="67"/>
        <v>989246</v>
      </c>
      <c r="F136" s="31">
        <f t="shared" si="67"/>
        <v>1231745</v>
      </c>
      <c r="G136" s="31">
        <f t="shared" si="67"/>
        <v>3195084</v>
      </c>
      <c r="H136" s="31">
        <f t="shared" si="67"/>
        <v>-2183759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5"/>
      <c r="B137" s="15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5"/>
      <c r="B138" s="15"/>
      <c r="C138" s="23" t="s">
        <v>186</v>
      </c>
      <c r="D138" s="24"/>
      <c r="E138" s="24"/>
      <c r="F138" s="24"/>
      <c r="G138" s="24"/>
      <c r="H138" s="24"/>
      <c r="I138" s="25"/>
      <c r="J138" s="25"/>
      <c r="K138" s="25"/>
      <c r="L138" s="25"/>
      <c r="M138" s="2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5"/>
      <c r="B139" s="15"/>
      <c r="C139" s="22" t="s">
        <v>43</v>
      </c>
      <c r="D139" s="15">
        <f t="shared" ref="D139:H139" si="68">-D102</f>
        <v>9805763</v>
      </c>
      <c r="E139" s="15">
        <f t="shared" si="68"/>
        <v>13043437</v>
      </c>
      <c r="F139" s="15">
        <f t="shared" si="68"/>
        <v>13916683</v>
      </c>
      <c r="G139" s="15">
        <f t="shared" si="68"/>
        <v>11779284</v>
      </c>
      <c r="H139" s="15">
        <f t="shared" si="68"/>
        <v>17702202</v>
      </c>
      <c r="I139" s="15">
        <f>+Assumptions!E137</f>
        <v>18144757.05</v>
      </c>
      <c r="J139" s="15">
        <f>+Assumptions!F137</f>
        <v>18598375.98</v>
      </c>
      <c r="K139" s="15">
        <f>+Assumptions!G137</f>
        <v>19063335.38</v>
      </c>
      <c r="L139" s="15">
        <f>+Assumptions!H137</f>
        <v>19539918.76</v>
      </c>
      <c r="M139" s="15">
        <f>+Assumptions!I137</f>
        <v>20028416.73</v>
      </c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5"/>
      <c r="B140" s="15"/>
      <c r="C140" s="22" t="s">
        <v>187</v>
      </c>
      <c r="D140" s="38">
        <f t="shared" ref="D140:M140" si="69">+D139/D40</f>
        <v>0.8386217125</v>
      </c>
      <c r="E140" s="38">
        <f t="shared" si="69"/>
        <v>0.8258297703</v>
      </c>
      <c r="F140" s="38">
        <f t="shared" si="69"/>
        <v>0.6904333388</v>
      </c>
      <c r="G140" s="38">
        <f t="shared" si="69"/>
        <v>0.4712457037</v>
      </c>
      <c r="H140" s="38">
        <f t="shared" si="69"/>
        <v>0.5960770081</v>
      </c>
      <c r="I140" s="38">
        <f t="shared" si="69"/>
        <v>0.5599739744</v>
      </c>
      <c r="J140" s="38">
        <f t="shared" si="69"/>
        <v>0.525778503</v>
      </c>
      <c r="K140" s="38">
        <f t="shared" si="69"/>
        <v>0.4982292006</v>
      </c>
      <c r="L140" s="38">
        <f t="shared" si="69"/>
        <v>0.4735056211</v>
      </c>
      <c r="M140" s="38">
        <f t="shared" si="69"/>
        <v>0.4514095303</v>
      </c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5"/>
      <c r="B141" s="15"/>
      <c r="C141" s="22" t="s">
        <v>188</v>
      </c>
      <c r="D141" s="38"/>
      <c r="E141" s="15">
        <f t="shared" ref="E141:M141" si="70">+E139-D139</f>
        <v>3237674</v>
      </c>
      <c r="F141" s="15">
        <f t="shared" si="70"/>
        <v>873246</v>
      </c>
      <c r="G141" s="15">
        <f t="shared" si="70"/>
        <v>-2137399</v>
      </c>
      <c r="H141" s="15">
        <f t="shared" si="70"/>
        <v>5922918</v>
      </c>
      <c r="I141" s="15">
        <f t="shared" si="70"/>
        <v>442555.05</v>
      </c>
      <c r="J141" s="15">
        <f t="shared" si="70"/>
        <v>453618.9263</v>
      </c>
      <c r="K141" s="15">
        <f t="shared" si="70"/>
        <v>464959.3994</v>
      </c>
      <c r="L141" s="15">
        <f t="shared" si="70"/>
        <v>476583.3844</v>
      </c>
      <c r="M141" s="15">
        <f t="shared" si="70"/>
        <v>488497.969</v>
      </c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5"/>
      <c r="B142" s="15"/>
      <c r="C142" s="22" t="s">
        <v>189</v>
      </c>
      <c r="D142" s="38"/>
      <c r="E142" s="38">
        <f t="shared" ref="E142:M142" si="71">+E139/D139-1</f>
        <v>0.3301807315</v>
      </c>
      <c r="F142" s="38">
        <f t="shared" si="71"/>
        <v>0.06694907178</v>
      </c>
      <c r="G142" s="38">
        <f t="shared" si="71"/>
        <v>-0.1535853766</v>
      </c>
      <c r="H142" s="38">
        <f t="shared" si="71"/>
        <v>0.5028249595</v>
      </c>
      <c r="I142" s="38">
        <f t="shared" si="71"/>
        <v>0.025</v>
      </c>
      <c r="J142" s="38">
        <f t="shared" si="71"/>
        <v>0.025</v>
      </c>
      <c r="K142" s="38">
        <f t="shared" si="71"/>
        <v>0.025</v>
      </c>
      <c r="L142" s="38">
        <f t="shared" si="71"/>
        <v>0.025</v>
      </c>
      <c r="M142" s="38">
        <f t="shared" si="71"/>
        <v>0.025</v>
      </c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5"/>
      <c r="B143" s="15"/>
      <c r="C143" s="22" t="s">
        <v>190</v>
      </c>
      <c r="D143" s="38"/>
      <c r="E143" s="38"/>
      <c r="F143" s="38"/>
      <c r="G143" s="38"/>
      <c r="H143" s="38">
        <f>(H139/F139)^(1/(H8-F8))-1</f>
        <v>0.1278355474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5"/>
      <c r="B144" s="15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5"/>
      <c r="B145" s="15"/>
      <c r="C145" s="22" t="s">
        <v>191</v>
      </c>
      <c r="D145" s="15">
        <f t="shared" ref="D145:H145" si="72">-D118</f>
        <v>173302</v>
      </c>
      <c r="E145" s="15">
        <f t="shared" si="72"/>
        <v>173946</v>
      </c>
      <c r="F145" s="15">
        <f t="shared" si="72"/>
        <v>253035</v>
      </c>
      <c r="G145" s="15">
        <f t="shared" si="72"/>
        <v>497923</v>
      </c>
      <c r="H145" s="15">
        <f t="shared" si="72"/>
        <v>524585</v>
      </c>
      <c r="I145" s="15">
        <f>+Assumptions!E147*Model!I40</f>
        <v>421237.1511</v>
      </c>
      <c r="J145" s="15">
        <f>+Assumptions!F147*Model!J40</f>
        <v>459849.3212</v>
      </c>
      <c r="K145" s="15">
        <f>+Assumptions!G147*Model!K40</f>
        <v>497408.3406</v>
      </c>
      <c r="L145" s="15">
        <f>+Assumptions!H147*Model!L40</f>
        <v>536464.4738</v>
      </c>
      <c r="M145" s="15">
        <f>+Assumptions!I147*Model!M40</f>
        <v>576792.0259</v>
      </c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5"/>
      <c r="B146" s="15"/>
      <c r="C146" s="22" t="s">
        <v>187</v>
      </c>
      <c r="D146" s="38">
        <f t="shared" ref="D146:M146" si="73">+D145/D40</f>
        <v>0.0148213678</v>
      </c>
      <c r="E146" s="38">
        <f t="shared" si="73"/>
        <v>0.01101318504</v>
      </c>
      <c r="F146" s="38">
        <f t="shared" si="73"/>
        <v>0.01255355172</v>
      </c>
      <c r="G146" s="38">
        <f t="shared" si="73"/>
        <v>0.01992006259</v>
      </c>
      <c r="H146" s="38">
        <f t="shared" si="73"/>
        <v>0.01766407689</v>
      </c>
      <c r="I146" s="38">
        <f t="shared" si="73"/>
        <v>0.013</v>
      </c>
      <c r="J146" s="38">
        <f t="shared" si="73"/>
        <v>0.013</v>
      </c>
      <c r="K146" s="38">
        <f t="shared" si="73"/>
        <v>0.013</v>
      </c>
      <c r="L146" s="38">
        <f t="shared" si="73"/>
        <v>0.013</v>
      </c>
      <c r="M146" s="38">
        <f t="shared" si="73"/>
        <v>0.013</v>
      </c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5"/>
      <c r="B147" s="15"/>
      <c r="C147" s="22" t="s">
        <v>188</v>
      </c>
      <c r="D147" s="15"/>
      <c r="E147" s="15">
        <f t="shared" ref="E147:M147" si="74">+E145-D145</f>
        <v>644</v>
      </c>
      <c r="F147" s="15">
        <f t="shared" si="74"/>
        <v>79089</v>
      </c>
      <c r="G147" s="15">
        <f t="shared" si="74"/>
        <v>244888</v>
      </c>
      <c r="H147" s="15">
        <f t="shared" si="74"/>
        <v>26662</v>
      </c>
      <c r="I147" s="15">
        <f t="shared" si="74"/>
        <v>-103347.8489</v>
      </c>
      <c r="J147" s="15">
        <f t="shared" si="74"/>
        <v>38612.17011</v>
      </c>
      <c r="K147" s="15">
        <f t="shared" si="74"/>
        <v>37559.01938</v>
      </c>
      <c r="L147" s="15">
        <f t="shared" si="74"/>
        <v>39056.13325</v>
      </c>
      <c r="M147" s="15">
        <f t="shared" si="74"/>
        <v>40327.55211</v>
      </c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5"/>
      <c r="B148" s="15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5"/>
      <c r="B149" s="15"/>
      <c r="C149" s="23" t="s">
        <v>192</v>
      </c>
      <c r="D149" s="24">
        <v>2017.0</v>
      </c>
      <c r="E149" s="24">
        <f t="shared" ref="E149:M149" si="75">+D149+1</f>
        <v>2018</v>
      </c>
      <c r="F149" s="24">
        <f t="shared" si="75"/>
        <v>2019</v>
      </c>
      <c r="G149" s="24">
        <f t="shared" si="75"/>
        <v>2020</v>
      </c>
      <c r="H149" s="24">
        <f t="shared" si="75"/>
        <v>2021</v>
      </c>
      <c r="I149" s="25">
        <f t="shared" si="75"/>
        <v>2022</v>
      </c>
      <c r="J149" s="25">
        <f t="shared" si="75"/>
        <v>2023</v>
      </c>
      <c r="K149" s="25">
        <f t="shared" si="75"/>
        <v>2024</v>
      </c>
      <c r="L149" s="25">
        <f t="shared" si="75"/>
        <v>2025</v>
      </c>
      <c r="M149" s="25">
        <f t="shared" si="75"/>
        <v>2026</v>
      </c>
      <c r="N149" s="25" t="s">
        <v>147</v>
      </c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5"/>
      <c r="B150" s="15"/>
      <c r="C150" s="22" t="s">
        <v>193</v>
      </c>
      <c r="D150" s="15"/>
      <c r="E150" s="15"/>
      <c r="F150" s="15"/>
      <c r="G150" s="15"/>
      <c r="H150" s="15"/>
      <c r="I150" s="15">
        <f>+$H$76/Assumptions!E152</f>
        <v>7729884.75</v>
      </c>
      <c r="J150" s="15">
        <f>IF(SUM($I$150:I150)&gt;=$H$76,0,+$H$76/Assumptions!F152)</f>
        <v>7729884.75</v>
      </c>
      <c r="K150" s="15">
        <f>IF(SUM($I$150:J150)&gt;=$H$76,0,+$H$76/Assumptions!G152)</f>
        <v>7729884.75</v>
      </c>
      <c r="L150" s="15">
        <f>IF(SUM($I$150:K150)&gt;=$H$76,0,+$H$76/Assumptions!H152)</f>
        <v>7729884.75</v>
      </c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5"/>
      <c r="B151" s="15"/>
      <c r="C151" s="22" t="s">
        <v>194</v>
      </c>
      <c r="D151" s="15"/>
      <c r="E151" s="15"/>
      <c r="F151" s="15"/>
      <c r="G151" s="15"/>
      <c r="H151" s="15"/>
      <c r="I151" s="15">
        <f>+$I$139/Assumptions!E152</f>
        <v>4536189.263</v>
      </c>
      <c r="J151" s="15">
        <f>IF(SUM($I$151:I151)&gt;=$I$139,0,+$I$139/Assumptions!F152)</f>
        <v>4536189.263</v>
      </c>
      <c r="K151" s="15">
        <f>IF(SUM($I$151:J151)&gt;=$I$139,0,+$I$139/Assumptions!G152)</f>
        <v>4536189.263</v>
      </c>
      <c r="L151" s="15">
        <f>IF(SUM($I$151:K151)&gt;=$I$139,0,+$I$139/Assumptions!H152)</f>
        <v>4536189.263</v>
      </c>
      <c r="M151" s="15">
        <f>IF(SUM($I$151:L151)&gt;=$I$139,0,+$I$139/Assumptions!I152)</f>
        <v>0</v>
      </c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5"/>
      <c r="B152" s="15"/>
      <c r="C152" s="22" t="s">
        <v>195</v>
      </c>
      <c r="D152" s="15"/>
      <c r="E152" s="15"/>
      <c r="F152" s="15"/>
      <c r="G152" s="15"/>
      <c r="H152" s="15"/>
      <c r="I152" s="15"/>
      <c r="J152" s="15">
        <f>+$J$139/Assumptions!F152</f>
        <v>4649593.994</v>
      </c>
      <c r="K152" s="15">
        <f>IF(SUM(J152)&gt;=$J$139,0,$J$139/Assumptions!F152)</f>
        <v>4649593.994</v>
      </c>
      <c r="L152" s="15">
        <f>IF(SUM(K152)&gt;=$J$139,0,$J$139/Assumptions!G152)</f>
        <v>4649593.994</v>
      </c>
      <c r="M152" s="15">
        <f>IF(SUM(L152)&gt;=$J$139,0,$J$139/Assumptions!H152)</f>
        <v>4649593.994</v>
      </c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5"/>
      <c r="B153" s="15"/>
      <c r="C153" s="22" t="s">
        <v>196</v>
      </c>
      <c r="D153" s="15"/>
      <c r="E153" s="15"/>
      <c r="F153" s="15"/>
      <c r="G153" s="15"/>
      <c r="H153" s="15"/>
      <c r="I153" s="15"/>
      <c r="J153" s="15"/>
      <c r="K153" s="15">
        <f>+$K$139/Assumptions!G152</f>
        <v>4765833.844</v>
      </c>
      <c r="L153" s="15">
        <f>IF(SUM($K$153:K153)&gt;=$K$139,0,$K$139/Assumptions!G152)</f>
        <v>4765833.844</v>
      </c>
      <c r="M153" s="15">
        <f>IF(SUM($K$153:L153)&gt;=$K$139,0,$K$139/Assumptions!H152)</f>
        <v>4765833.844</v>
      </c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5"/>
      <c r="B154" s="15"/>
      <c r="C154" s="22" t="s">
        <v>197</v>
      </c>
      <c r="D154" s="15"/>
      <c r="E154" s="15"/>
      <c r="F154" s="15"/>
      <c r="G154" s="15"/>
      <c r="H154" s="15"/>
      <c r="I154" s="15"/>
      <c r="J154" s="15"/>
      <c r="K154" s="15"/>
      <c r="L154" s="15">
        <f>+L139/Assumptions!H152</f>
        <v>4884979.69</v>
      </c>
      <c r="M154" s="15">
        <f>IF(SUM(L154)&gt;=$L$139,0,$L$139/Assumptions!H152)</f>
        <v>4884979.69</v>
      </c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5"/>
      <c r="B155" s="15"/>
      <c r="C155" s="22" t="s">
        <v>198</v>
      </c>
      <c r="D155" s="15"/>
      <c r="E155" s="15"/>
      <c r="F155" s="15"/>
      <c r="G155" s="15"/>
      <c r="H155" s="15"/>
      <c r="I155" s="15"/>
      <c r="J155" s="15"/>
      <c r="K155" s="15"/>
      <c r="L155" s="15"/>
      <c r="M155" s="15">
        <f>+M139/Assumptions!I152</f>
        <v>5007104.182</v>
      </c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5"/>
      <c r="B156" s="15"/>
      <c r="C156" s="39" t="s">
        <v>199</v>
      </c>
      <c r="D156" s="27"/>
      <c r="E156" s="27"/>
      <c r="F156" s="27"/>
      <c r="G156" s="27"/>
      <c r="H156" s="27">
        <f>+H104</f>
        <v>12230367</v>
      </c>
      <c r="I156" s="27">
        <f t="shared" ref="I156:M156" si="76">SUM(I150:I155)</f>
        <v>12266074.01</v>
      </c>
      <c r="J156" s="27">
        <f t="shared" si="76"/>
        <v>16915668.01</v>
      </c>
      <c r="K156" s="27">
        <f t="shared" si="76"/>
        <v>21681501.85</v>
      </c>
      <c r="L156" s="27">
        <f t="shared" si="76"/>
        <v>26566481.54</v>
      </c>
      <c r="M156" s="27">
        <f t="shared" si="76"/>
        <v>19307511.71</v>
      </c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5"/>
      <c r="B157" s="15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5"/>
      <c r="B158" s="15"/>
      <c r="C158" s="23" t="s">
        <v>200</v>
      </c>
      <c r="D158" s="24">
        <v>2017.0</v>
      </c>
      <c r="E158" s="24">
        <f t="shared" ref="E158:M158" si="77">+D158+1</f>
        <v>2018</v>
      </c>
      <c r="F158" s="24">
        <f t="shared" si="77"/>
        <v>2019</v>
      </c>
      <c r="G158" s="24">
        <f t="shared" si="77"/>
        <v>2020</v>
      </c>
      <c r="H158" s="24">
        <f t="shared" si="77"/>
        <v>2021</v>
      </c>
      <c r="I158" s="25">
        <f t="shared" si="77"/>
        <v>2022</v>
      </c>
      <c r="J158" s="25">
        <f t="shared" si="77"/>
        <v>2023</v>
      </c>
      <c r="K158" s="25">
        <f t="shared" si="77"/>
        <v>2024</v>
      </c>
      <c r="L158" s="25">
        <f t="shared" si="77"/>
        <v>2025</v>
      </c>
      <c r="M158" s="25">
        <f t="shared" si="77"/>
        <v>2026</v>
      </c>
      <c r="N158" s="25" t="s">
        <v>147</v>
      </c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5"/>
      <c r="B159" s="15"/>
      <c r="C159" s="22" t="s">
        <v>193</v>
      </c>
      <c r="D159" s="15"/>
      <c r="E159" s="15"/>
      <c r="F159" s="15"/>
      <c r="G159" s="15"/>
      <c r="H159" s="15"/>
      <c r="I159" s="15">
        <f>+H77/Assumptions!E157</f>
        <v>208412</v>
      </c>
      <c r="J159" s="15">
        <f>+IF(SUM(I159)&gt;=$H$77,0,$H$77/Assumptions!E157)</f>
        <v>208412</v>
      </c>
      <c r="K159" s="15">
        <f>+IF(SUM(J159)&gt;=$H$77,0,$H$77/Assumptions!F157)</f>
        <v>208412</v>
      </c>
      <c r="L159" s="15">
        <f>+IF(SUM(K159)&gt;=$H$77,0,$H$77/Assumptions!G157)</f>
        <v>208412</v>
      </c>
      <c r="M159" s="15">
        <f>+IF(SUM(L159)&gt;=$H$77,0,$H$77/Assumptions!H157)</f>
        <v>208412</v>
      </c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5"/>
      <c r="B160" s="15"/>
      <c r="C160" s="22" t="s">
        <v>194</v>
      </c>
      <c r="D160" s="15"/>
      <c r="E160" s="15"/>
      <c r="F160" s="15"/>
      <c r="G160" s="15"/>
      <c r="H160" s="15"/>
      <c r="I160" s="15">
        <f>+$I$145/Assumptions!$E$157</f>
        <v>66334.71466</v>
      </c>
      <c r="J160" s="15">
        <f>+$I$145/Assumptions!$E$157</f>
        <v>66334.71466</v>
      </c>
      <c r="K160" s="15">
        <f>+$I$145/Assumptions!$E$157</f>
        <v>66334.71466</v>
      </c>
      <c r="L160" s="15">
        <f>+$I$145/Assumptions!$E$157</f>
        <v>66334.71466</v>
      </c>
      <c r="M160" s="15">
        <f>+$I$145/Assumptions!$E$157</f>
        <v>66334.71466</v>
      </c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5"/>
      <c r="B161" s="15"/>
      <c r="C161" s="22" t="s">
        <v>195</v>
      </c>
      <c r="D161" s="15"/>
      <c r="E161" s="15"/>
      <c r="F161" s="15"/>
      <c r="G161" s="15"/>
      <c r="H161" s="15"/>
      <c r="I161" s="15"/>
      <c r="J161" s="15">
        <f>+$J$145/Assumptions!F$157</f>
        <v>72415.2023</v>
      </c>
      <c r="K161" s="15">
        <f>+$J$145/Assumptions!G$157</f>
        <v>72415.2023</v>
      </c>
      <c r="L161" s="15">
        <f>+$J$145/Assumptions!H$157</f>
        <v>72415.2023</v>
      </c>
      <c r="M161" s="15">
        <f>+$J$145/Assumptions!I$157</f>
        <v>72415.2023</v>
      </c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5"/>
      <c r="B162" s="15"/>
      <c r="C162" s="22" t="s">
        <v>196</v>
      </c>
      <c r="D162" s="15"/>
      <c r="E162" s="15"/>
      <c r="F162" s="15"/>
      <c r="G162" s="15"/>
      <c r="H162" s="15"/>
      <c r="I162" s="15"/>
      <c r="J162" s="15"/>
      <c r="K162" s="15">
        <f>+$K$145/Assumptions!G$157</f>
        <v>78329.84403</v>
      </c>
      <c r="L162" s="15">
        <f>+$K$145/Assumptions!H$157</f>
        <v>78329.84403</v>
      </c>
      <c r="M162" s="15">
        <f>+$K$145/Assumptions!I$157</f>
        <v>78329.84403</v>
      </c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5"/>
      <c r="B163" s="15"/>
      <c r="C163" s="22" t="s">
        <v>197</v>
      </c>
      <c r="D163" s="15"/>
      <c r="E163" s="15"/>
      <c r="F163" s="15"/>
      <c r="G163" s="15"/>
      <c r="H163" s="15"/>
      <c r="I163" s="15"/>
      <c r="J163" s="15"/>
      <c r="K163" s="15"/>
      <c r="L163" s="15">
        <f>+$L$145/Assumptions!H$157</f>
        <v>84480.24517</v>
      </c>
      <c r="M163" s="15">
        <f>+$L$145/Assumptions!I$157</f>
        <v>84480.24517</v>
      </c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5"/>
      <c r="B164" s="15"/>
      <c r="C164" s="22" t="s">
        <v>198</v>
      </c>
      <c r="D164" s="15"/>
      <c r="E164" s="15"/>
      <c r="F164" s="15"/>
      <c r="G164" s="15"/>
      <c r="H164" s="15"/>
      <c r="I164" s="15"/>
      <c r="J164" s="15"/>
      <c r="K164" s="15"/>
      <c r="L164" s="15"/>
      <c r="M164" s="15">
        <f>+$M$145/Assumptions!I$157</f>
        <v>90830.86419</v>
      </c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5"/>
      <c r="B165" s="15"/>
      <c r="C165" s="39" t="s">
        <v>201</v>
      </c>
      <c r="D165" s="27"/>
      <c r="E165" s="27"/>
      <c r="F165" s="27"/>
      <c r="G165" s="27"/>
      <c r="H165" s="27">
        <f>+H105</f>
        <v>208412</v>
      </c>
      <c r="I165" s="27">
        <f t="shared" ref="I165:M165" si="78">SUM(I159:I164)</f>
        <v>274746.7147</v>
      </c>
      <c r="J165" s="27">
        <f t="shared" si="78"/>
        <v>347161.917</v>
      </c>
      <c r="K165" s="27">
        <f t="shared" si="78"/>
        <v>425491.761</v>
      </c>
      <c r="L165" s="27">
        <f t="shared" si="78"/>
        <v>509972.0062</v>
      </c>
      <c r="M165" s="27">
        <f t="shared" si="78"/>
        <v>600802.8704</v>
      </c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5"/>
      <c r="B166" s="15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5"/>
      <c r="B167" s="15"/>
      <c r="C167" s="23" t="s">
        <v>202</v>
      </c>
      <c r="D167" s="24"/>
      <c r="E167" s="24"/>
      <c r="F167" s="24"/>
      <c r="G167" s="24"/>
      <c r="H167" s="24"/>
      <c r="I167" s="25"/>
      <c r="J167" s="25"/>
      <c r="K167" s="25"/>
      <c r="L167" s="25"/>
      <c r="M167" s="2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5"/>
      <c r="B168" s="15"/>
      <c r="C168" s="22" t="s">
        <v>96</v>
      </c>
      <c r="D168" s="15">
        <f t="shared" ref="D168:H168" si="79">+D78</f>
        <v>652309</v>
      </c>
      <c r="E168" s="15">
        <f t="shared" si="79"/>
        <v>910843</v>
      </c>
      <c r="F168" s="15">
        <f t="shared" si="79"/>
        <v>2727420</v>
      </c>
      <c r="G168" s="15">
        <f t="shared" si="79"/>
        <v>3174646</v>
      </c>
      <c r="H168" s="15">
        <f t="shared" si="79"/>
        <v>4271846</v>
      </c>
      <c r="I168" s="15">
        <f>+Assumptions!E162*Model!I40</f>
        <v>4374385.799</v>
      </c>
      <c r="J168" s="15">
        <f>+Assumptions!F162*Model!J40</f>
        <v>4775358.335</v>
      </c>
      <c r="K168" s="15">
        <f>+Assumptions!G162*Model!K40</f>
        <v>5165394.306</v>
      </c>
      <c r="L168" s="15">
        <f>+Assumptions!H162*Model!L40</f>
        <v>5570977.228</v>
      </c>
      <c r="M168" s="15">
        <f>+Assumptions!I162*Model!M40</f>
        <v>5989763.346</v>
      </c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5"/>
      <c r="B169" s="15"/>
      <c r="C169" s="22" t="s">
        <v>203</v>
      </c>
      <c r="D169" s="38">
        <f t="shared" ref="D169:M169" si="80">+D168/D40</f>
        <v>0.05578765168</v>
      </c>
      <c r="E169" s="38">
        <f t="shared" si="80"/>
        <v>0.05766894611</v>
      </c>
      <c r="F169" s="38">
        <f t="shared" si="80"/>
        <v>0.135312538</v>
      </c>
      <c r="G169" s="38">
        <f t="shared" si="80"/>
        <v>0.1270058764</v>
      </c>
      <c r="H169" s="38">
        <f t="shared" si="80"/>
        <v>0.1438436406</v>
      </c>
      <c r="I169" s="38">
        <f t="shared" si="80"/>
        <v>0.135</v>
      </c>
      <c r="J169" s="38">
        <f t="shared" si="80"/>
        <v>0.135</v>
      </c>
      <c r="K169" s="38">
        <f t="shared" si="80"/>
        <v>0.135</v>
      </c>
      <c r="L169" s="38">
        <f t="shared" si="80"/>
        <v>0.135</v>
      </c>
      <c r="M169" s="38">
        <f t="shared" si="80"/>
        <v>0.135</v>
      </c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5"/>
      <c r="B170" s="15"/>
      <c r="C170" s="22" t="s">
        <v>204</v>
      </c>
      <c r="D170" s="15"/>
      <c r="E170" s="15">
        <f t="shared" ref="E170:M170" si="81">+E168-D168</f>
        <v>258534</v>
      </c>
      <c r="F170" s="15">
        <f t="shared" si="81"/>
        <v>1816577</v>
      </c>
      <c r="G170" s="15">
        <f t="shared" si="81"/>
        <v>447226</v>
      </c>
      <c r="H170" s="15">
        <f t="shared" si="81"/>
        <v>1097200</v>
      </c>
      <c r="I170" s="15">
        <f t="shared" si="81"/>
        <v>102539.7995</v>
      </c>
      <c r="J170" s="15">
        <f t="shared" si="81"/>
        <v>400972.5358</v>
      </c>
      <c r="K170" s="15">
        <f t="shared" si="81"/>
        <v>390035.9705</v>
      </c>
      <c r="L170" s="15">
        <f t="shared" si="81"/>
        <v>405582.9222</v>
      </c>
      <c r="M170" s="15">
        <f t="shared" si="81"/>
        <v>418786.1181</v>
      </c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5"/>
      <c r="B171" s="15"/>
      <c r="C171" s="22" t="s">
        <v>189</v>
      </c>
      <c r="D171" s="15"/>
      <c r="E171" s="38">
        <f t="shared" ref="E171:M171" si="82">E168/D168-1</f>
        <v>0.3963367055</v>
      </c>
      <c r="F171" s="38">
        <f t="shared" si="82"/>
        <v>1.99439091</v>
      </c>
      <c r="G171" s="38">
        <f t="shared" si="82"/>
        <v>0.1639740121</v>
      </c>
      <c r="H171" s="38">
        <f t="shared" si="82"/>
        <v>0.3456133377</v>
      </c>
      <c r="I171" s="38">
        <f t="shared" si="82"/>
        <v>0.02400362734</v>
      </c>
      <c r="J171" s="38">
        <f t="shared" si="82"/>
        <v>0.09166373387</v>
      </c>
      <c r="K171" s="38">
        <f t="shared" si="82"/>
        <v>0.08167679641</v>
      </c>
      <c r="L171" s="38">
        <f t="shared" si="82"/>
        <v>0.07851925684</v>
      </c>
      <c r="M171" s="38">
        <f t="shared" si="82"/>
        <v>0.07517282892</v>
      </c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5"/>
      <c r="B172" s="15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5"/>
      <c r="B173" s="15"/>
      <c r="C173" s="23" t="s">
        <v>192</v>
      </c>
      <c r="D173" s="24"/>
      <c r="E173" s="24"/>
      <c r="F173" s="24"/>
      <c r="G173" s="24"/>
      <c r="H173" s="24"/>
      <c r="I173" s="25"/>
      <c r="J173" s="25"/>
      <c r="K173" s="25"/>
      <c r="L173" s="25"/>
      <c r="M173" s="2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5"/>
      <c r="B174" s="15"/>
      <c r="C174" s="22" t="s">
        <v>92</v>
      </c>
      <c r="D174" s="15">
        <f t="shared" ref="D174:H174" si="83">+D73</f>
        <v>536245</v>
      </c>
      <c r="E174" s="15">
        <f t="shared" si="83"/>
        <v>748466</v>
      </c>
      <c r="F174" s="15">
        <f t="shared" si="83"/>
        <v>1160067</v>
      </c>
      <c r="G174" s="15">
        <f t="shared" si="83"/>
        <v>1556030</v>
      </c>
      <c r="H174" s="15">
        <f t="shared" si="83"/>
        <v>2042021</v>
      </c>
      <c r="I174" s="15">
        <f>+I40*Assumptions!E167</f>
        <v>2229316.615</v>
      </c>
      <c r="J174" s="15">
        <f>+J40*Assumptions!F167</f>
        <v>2433664.1</v>
      </c>
      <c r="K174" s="15">
        <f>+K40*Assumptions!G167</f>
        <v>2632437.987</v>
      </c>
      <c r="L174" s="15">
        <f>+L40*Assumptions!H167</f>
        <v>2839135.061</v>
      </c>
      <c r="M174" s="15">
        <f>+M40*Assumptions!I167</f>
        <v>3052560.876</v>
      </c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5"/>
      <c r="B175" s="15"/>
      <c r="C175" s="22" t="s">
        <v>203</v>
      </c>
      <c r="D175" s="38">
        <f t="shared" ref="D175:M175" si="84">+D174/D40</f>
        <v>0.04586146945</v>
      </c>
      <c r="E175" s="38">
        <f t="shared" si="84"/>
        <v>0.04738823861</v>
      </c>
      <c r="F175" s="38">
        <f t="shared" si="84"/>
        <v>0.05755314912</v>
      </c>
      <c r="G175" s="38">
        <f t="shared" si="84"/>
        <v>0.06225102072</v>
      </c>
      <c r="H175" s="38">
        <f t="shared" si="84"/>
        <v>0.06875990728</v>
      </c>
      <c r="I175" s="38">
        <f t="shared" si="84"/>
        <v>0.0688</v>
      </c>
      <c r="J175" s="38">
        <f t="shared" si="84"/>
        <v>0.0688</v>
      </c>
      <c r="K175" s="38">
        <f t="shared" si="84"/>
        <v>0.0688</v>
      </c>
      <c r="L175" s="38">
        <f t="shared" si="84"/>
        <v>0.0688</v>
      </c>
      <c r="M175" s="38">
        <f t="shared" si="84"/>
        <v>0.0688</v>
      </c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5"/>
      <c r="B176" s="15"/>
      <c r="C176" s="22" t="s">
        <v>204</v>
      </c>
      <c r="D176" s="38"/>
      <c r="E176" s="15">
        <f t="shared" ref="E176:M176" si="85">+E174-D174</f>
        <v>212221</v>
      </c>
      <c r="F176" s="15">
        <f t="shared" si="85"/>
        <v>411601</v>
      </c>
      <c r="G176" s="15">
        <f t="shared" si="85"/>
        <v>395963</v>
      </c>
      <c r="H176" s="15">
        <f t="shared" si="85"/>
        <v>485991</v>
      </c>
      <c r="I176" s="15">
        <f t="shared" si="85"/>
        <v>187295.6148</v>
      </c>
      <c r="J176" s="15">
        <f t="shared" si="85"/>
        <v>204347.4849</v>
      </c>
      <c r="K176" s="15">
        <f t="shared" si="85"/>
        <v>198773.8872</v>
      </c>
      <c r="L176" s="15">
        <f t="shared" si="85"/>
        <v>206697.0744</v>
      </c>
      <c r="M176" s="15">
        <f t="shared" si="85"/>
        <v>213425.8143</v>
      </c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5"/>
      <c r="B177" s="15"/>
      <c r="C177" s="22" t="s">
        <v>189</v>
      </c>
      <c r="D177" s="38"/>
      <c r="E177" s="29">
        <f t="shared" ref="E177:M177" si="86">+E174/D174-1</f>
        <v>0.3957538066</v>
      </c>
      <c r="F177" s="29">
        <f t="shared" si="86"/>
        <v>0.5499261155</v>
      </c>
      <c r="G177" s="29">
        <f t="shared" si="86"/>
        <v>0.3413276992</v>
      </c>
      <c r="H177" s="29">
        <f t="shared" si="86"/>
        <v>0.3123275258</v>
      </c>
      <c r="I177" s="29">
        <f t="shared" si="86"/>
        <v>0.09172070945</v>
      </c>
      <c r="J177" s="29">
        <f t="shared" si="86"/>
        <v>0.09166373387</v>
      </c>
      <c r="K177" s="29">
        <f t="shared" si="86"/>
        <v>0.08167679641</v>
      </c>
      <c r="L177" s="29">
        <f t="shared" si="86"/>
        <v>0.07851925684</v>
      </c>
      <c r="M177" s="29">
        <f t="shared" si="86"/>
        <v>0.07517282892</v>
      </c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5"/>
      <c r="B179" s="15"/>
      <c r="C179" s="22" t="s">
        <v>100</v>
      </c>
      <c r="D179" s="15">
        <f t="shared" ref="D179:H179" si="87">+D84</f>
        <v>359555</v>
      </c>
      <c r="E179" s="15">
        <f t="shared" si="87"/>
        <v>562985</v>
      </c>
      <c r="F179" s="15">
        <f t="shared" si="87"/>
        <v>674347</v>
      </c>
      <c r="G179" s="15">
        <f t="shared" si="87"/>
        <v>656183</v>
      </c>
      <c r="H179" s="15">
        <f t="shared" si="87"/>
        <v>837483</v>
      </c>
      <c r="I179" s="15">
        <f>-I46/365*Assumptions!E172</f>
        <v>804301.0724</v>
      </c>
      <c r="J179" s="15">
        <f>-J46/365*Assumptions!F172</f>
        <v>878026.3119</v>
      </c>
      <c r="K179" s="15">
        <f>-K46/365*Assumptions!G172</f>
        <v>949740.6882</v>
      </c>
      <c r="L179" s="15">
        <f>-L46/365*Assumptions!H172</f>
        <v>1024313.621</v>
      </c>
      <c r="M179" s="15">
        <f>-M46/365*Assumptions!I172</f>
        <v>1101314.174</v>
      </c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5"/>
      <c r="B180" s="15"/>
      <c r="C180" s="22" t="s">
        <v>205</v>
      </c>
      <c r="D180" s="15">
        <f t="shared" ref="D180:M180" si="88">+D179/-D46*365</f>
        <v>74.42843475</v>
      </c>
      <c r="E180" s="15">
        <f t="shared" si="88"/>
        <v>87.35711283</v>
      </c>
      <c r="F180" s="15">
        <f t="shared" si="88"/>
        <v>78.88016935</v>
      </c>
      <c r="G180" s="15">
        <f t="shared" si="88"/>
        <v>55.01227922</v>
      </c>
      <c r="H180" s="15">
        <f t="shared" si="88"/>
        <v>62.46164514</v>
      </c>
      <c r="I180" s="15">
        <f t="shared" si="88"/>
        <v>60</v>
      </c>
      <c r="J180" s="15">
        <f t="shared" si="88"/>
        <v>60</v>
      </c>
      <c r="K180" s="15">
        <f t="shared" si="88"/>
        <v>60</v>
      </c>
      <c r="L180" s="15">
        <f t="shared" si="88"/>
        <v>60</v>
      </c>
      <c r="M180" s="15">
        <f t="shared" si="88"/>
        <v>60</v>
      </c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5"/>
      <c r="B181" s="15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5"/>
      <c r="B182" s="15"/>
      <c r="C182" s="22" t="s">
        <v>101</v>
      </c>
      <c r="D182" s="15">
        <f t="shared" ref="D182:H182" si="89">+D85</f>
        <v>315094</v>
      </c>
      <c r="E182" s="15">
        <f t="shared" si="89"/>
        <v>481874</v>
      </c>
      <c r="F182" s="15">
        <f t="shared" si="89"/>
        <v>843043</v>
      </c>
      <c r="G182" s="15">
        <f t="shared" si="89"/>
        <v>1102196</v>
      </c>
      <c r="H182" s="15">
        <f t="shared" si="89"/>
        <v>1449351</v>
      </c>
      <c r="I182" s="15">
        <f>I40*Assumptions!E177</f>
        <v>1620142.889</v>
      </c>
      <c r="J182" s="15">
        <f>J40*Assumptions!F177</f>
        <v>1768651.235</v>
      </c>
      <c r="K182" s="15">
        <f>K40*Assumptions!G177</f>
        <v>1913109.002</v>
      </c>
      <c r="L182" s="15">
        <f>L40*Assumptions!H177</f>
        <v>2063324.899</v>
      </c>
      <c r="M182" s="15">
        <f>M40*Assumptions!I177</f>
        <v>2218430.869</v>
      </c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5"/>
      <c r="B183" s="15"/>
      <c r="C183" s="22" t="s">
        <v>203</v>
      </c>
      <c r="D183" s="29">
        <f t="shared" ref="D183:M183" si="90">+D182/D$40</f>
        <v>0.02694789481</v>
      </c>
      <c r="E183" s="29">
        <f t="shared" si="90"/>
        <v>0.03050928177</v>
      </c>
      <c r="F183" s="29">
        <f t="shared" si="90"/>
        <v>0.04182498036</v>
      </c>
      <c r="G183" s="29">
        <f t="shared" si="90"/>
        <v>0.0440947964</v>
      </c>
      <c r="H183" s="29">
        <f t="shared" si="90"/>
        <v>0.04880323972</v>
      </c>
      <c r="I183" s="29">
        <f t="shared" si="90"/>
        <v>0.05</v>
      </c>
      <c r="J183" s="29">
        <f t="shared" si="90"/>
        <v>0.05</v>
      </c>
      <c r="K183" s="29">
        <f t="shared" si="90"/>
        <v>0.05</v>
      </c>
      <c r="L183" s="29">
        <f t="shared" si="90"/>
        <v>0.05</v>
      </c>
      <c r="M183" s="29">
        <f t="shared" si="90"/>
        <v>0.05</v>
      </c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5"/>
      <c r="B184" s="15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5"/>
      <c r="B185" s="15"/>
      <c r="C185" s="22" t="s">
        <v>102</v>
      </c>
      <c r="D185" s="15">
        <f t="shared" ref="D185:H185" si="91">+D86</f>
        <v>618622</v>
      </c>
      <c r="E185" s="15">
        <f t="shared" si="91"/>
        <v>760899</v>
      </c>
      <c r="F185" s="15">
        <f t="shared" si="91"/>
        <v>924745</v>
      </c>
      <c r="G185" s="15">
        <f t="shared" si="91"/>
        <v>1117992</v>
      </c>
      <c r="H185" s="15">
        <f t="shared" si="91"/>
        <v>1209342</v>
      </c>
      <c r="I185" s="15">
        <f>+I40*Assumptions!E182</f>
        <v>1296114.311</v>
      </c>
      <c r="J185" s="15">
        <f>+J40*Assumptions!F182</f>
        <v>1414920.988</v>
      </c>
      <c r="K185" s="15">
        <f>+K40*Assumptions!G182</f>
        <v>1530487.202</v>
      </c>
      <c r="L185" s="15">
        <f>+L40*Assumptions!H182</f>
        <v>1650659.919</v>
      </c>
      <c r="M185" s="15">
        <f>+M40*Assumptions!I182</f>
        <v>1774744.695</v>
      </c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5"/>
      <c r="B186" s="15"/>
      <c r="C186" s="22" t="s">
        <v>203</v>
      </c>
      <c r="D186" s="29">
        <f t="shared" ref="D186:M186" si="92">+D185/D$40</f>
        <v>0.05290662655</v>
      </c>
      <c r="E186" s="29">
        <f t="shared" si="92"/>
        <v>0.04817541928</v>
      </c>
      <c r="F186" s="29">
        <f t="shared" si="92"/>
        <v>0.04587837331</v>
      </c>
      <c r="G186" s="29">
        <f t="shared" si="92"/>
        <v>0.04472673609</v>
      </c>
      <c r="H186" s="29">
        <f t="shared" si="92"/>
        <v>0.04072154194</v>
      </c>
      <c r="I186" s="29">
        <f t="shared" si="92"/>
        <v>0.04</v>
      </c>
      <c r="J186" s="29">
        <f t="shared" si="92"/>
        <v>0.04</v>
      </c>
      <c r="K186" s="29">
        <f t="shared" si="92"/>
        <v>0.04</v>
      </c>
      <c r="L186" s="29">
        <f t="shared" si="92"/>
        <v>0.04</v>
      </c>
      <c r="M186" s="29">
        <f t="shared" si="92"/>
        <v>0.04</v>
      </c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5"/>
      <c r="B187" s="15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5"/>
      <c r="B188" s="15"/>
      <c r="C188" s="22" t="s">
        <v>53</v>
      </c>
      <c r="D188" s="15">
        <f t="shared" ref="D188:H188" si="93">+D92</f>
        <v>135246</v>
      </c>
      <c r="E188" s="15">
        <f t="shared" si="93"/>
        <v>129231</v>
      </c>
      <c r="F188" s="15">
        <f t="shared" si="93"/>
        <v>1444276</v>
      </c>
      <c r="G188" s="15">
        <f t="shared" si="93"/>
        <v>1982155</v>
      </c>
      <c r="H188" s="15">
        <f t="shared" si="93"/>
        <v>2459164</v>
      </c>
      <c r="I188" s="15">
        <f>+I40*Assumptions!E187</f>
        <v>2689437.195</v>
      </c>
      <c r="J188" s="15">
        <f>+J40*Assumptions!F187</f>
        <v>2935961.051</v>
      </c>
      <c r="K188" s="15">
        <f>+K40*Assumptions!G187</f>
        <v>3175760.944</v>
      </c>
      <c r="L188" s="15">
        <f>+L40*Assumptions!H187</f>
        <v>3425119.333</v>
      </c>
      <c r="M188" s="15">
        <f>+M40*Assumptions!I187</f>
        <v>3682595.242</v>
      </c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5"/>
      <c r="B189" s="15"/>
      <c r="C189" s="22" t="s">
        <v>203</v>
      </c>
      <c r="D189" s="29">
        <f t="shared" ref="D189:M189" si="94">+D188/D$40</f>
        <v>0.01156669115</v>
      </c>
      <c r="E189" s="29">
        <f t="shared" si="94"/>
        <v>0.008182107756</v>
      </c>
      <c r="F189" s="29">
        <f t="shared" si="94"/>
        <v>0.07165330279</v>
      </c>
      <c r="G189" s="29">
        <f t="shared" si="94"/>
        <v>0.07929871016</v>
      </c>
      <c r="H189" s="29">
        <f t="shared" si="94"/>
        <v>0.08280614579</v>
      </c>
      <c r="I189" s="29">
        <f t="shared" si="94"/>
        <v>0.083</v>
      </c>
      <c r="J189" s="29">
        <f t="shared" si="94"/>
        <v>0.083</v>
      </c>
      <c r="K189" s="29">
        <f t="shared" si="94"/>
        <v>0.083</v>
      </c>
      <c r="L189" s="29">
        <f t="shared" si="94"/>
        <v>0.083</v>
      </c>
      <c r="M189" s="29">
        <f t="shared" si="94"/>
        <v>0.083</v>
      </c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5"/>
      <c r="B190" s="15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5"/>
      <c r="B191" s="15"/>
      <c r="C191" s="22" t="s">
        <v>105</v>
      </c>
      <c r="D191" s="15">
        <f t="shared" ref="D191:H191" si="95">+D90</f>
        <v>3329796</v>
      </c>
      <c r="E191" s="15">
        <f t="shared" si="95"/>
        <v>3759026</v>
      </c>
      <c r="F191" s="15">
        <f t="shared" si="95"/>
        <v>3334323</v>
      </c>
      <c r="G191" s="15">
        <f t="shared" si="95"/>
        <v>2618084</v>
      </c>
      <c r="H191" s="15">
        <f t="shared" si="95"/>
        <v>3094213</v>
      </c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5"/>
      <c r="B192" s="15"/>
      <c r="C192" s="22" t="s">
        <v>99</v>
      </c>
      <c r="D192" s="15">
        <f t="shared" ref="D192:H192" si="96">+D83</f>
        <v>4173041</v>
      </c>
      <c r="E192" s="15">
        <f t="shared" si="96"/>
        <v>4681562</v>
      </c>
      <c r="F192" s="15">
        <f t="shared" si="96"/>
        <v>4413561</v>
      </c>
      <c r="G192" s="15">
        <f t="shared" si="96"/>
        <v>4429536</v>
      </c>
      <c r="H192" s="15">
        <f t="shared" si="96"/>
        <v>4292967</v>
      </c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5"/>
      <c r="B193" s="15"/>
      <c r="C193" s="39" t="s">
        <v>54</v>
      </c>
      <c r="D193" s="27">
        <f t="shared" ref="D193:H193" si="97">+D192+D191</f>
        <v>7502837</v>
      </c>
      <c r="E193" s="27">
        <f t="shared" si="97"/>
        <v>8440588</v>
      </c>
      <c r="F193" s="27">
        <f t="shared" si="97"/>
        <v>7747884</v>
      </c>
      <c r="G193" s="27">
        <f t="shared" si="97"/>
        <v>7047620</v>
      </c>
      <c r="H193" s="27">
        <f t="shared" si="97"/>
        <v>7387180</v>
      </c>
      <c r="I193" s="27">
        <f>+I139/365*Assumptions!E192</f>
        <v>10936565.89</v>
      </c>
      <c r="J193" s="27">
        <f>+J139/365*Assumptions!F192</f>
        <v>11209980.04</v>
      </c>
      <c r="K193" s="27">
        <f>+K139/365*Assumptions!G192</f>
        <v>11490229.54</v>
      </c>
      <c r="L193" s="27">
        <f>+L139/365*Assumptions!H192</f>
        <v>11777485.28</v>
      </c>
      <c r="M193" s="27">
        <f>+M139/365*Assumptions!I192</f>
        <v>12071922.41</v>
      </c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5"/>
      <c r="B194" s="15"/>
      <c r="C194" s="22" t="s">
        <v>205</v>
      </c>
      <c r="D194" s="15">
        <f t="shared" ref="D194:H194" si="98">+D193/D44*365</f>
        <v>441.8548507</v>
      </c>
      <c r="E194" s="15">
        <f t="shared" si="98"/>
        <v>409.0253088</v>
      </c>
      <c r="F194" s="15">
        <f t="shared" si="98"/>
        <v>306.846991</v>
      </c>
      <c r="G194" s="15">
        <f t="shared" si="98"/>
        <v>238.0311138</v>
      </c>
      <c r="H194" s="15">
        <f t="shared" si="98"/>
        <v>220.461144</v>
      </c>
      <c r="I194" s="15">
        <f t="shared" ref="I194:M194" si="99">+I193/I139*365</f>
        <v>220</v>
      </c>
      <c r="J194" s="15">
        <f t="shared" si="99"/>
        <v>220</v>
      </c>
      <c r="K194" s="15">
        <f t="shared" si="99"/>
        <v>220</v>
      </c>
      <c r="L194" s="15">
        <f t="shared" si="99"/>
        <v>220</v>
      </c>
      <c r="M194" s="15">
        <f t="shared" si="99"/>
        <v>220</v>
      </c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5"/>
      <c r="B195" s="15"/>
      <c r="C195" s="22" t="s">
        <v>203</v>
      </c>
      <c r="D195" s="29">
        <f t="shared" ref="D195:M195" si="100">+D193/D40</f>
        <v>0.6416677635</v>
      </c>
      <c r="E195" s="29">
        <f t="shared" si="100"/>
        <v>0.5344058356</v>
      </c>
      <c r="F195" s="29">
        <f t="shared" si="100"/>
        <v>0.3843873873</v>
      </c>
      <c r="G195" s="29">
        <f t="shared" si="100"/>
        <v>0.2819492803</v>
      </c>
      <c r="H195" s="29">
        <f t="shared" si="100"/>
        <v>0.2487446563</v>
      </c>
      <c r="I195" s="29">
        <f t="shared" si="100"/>
        <v>0.3375185599</v>
      </c>
      <c r="J195" s="29">
        <f t="shared" si="100"/>
        <v>0.3169075909</v>
      </c>
      <c r="K195" s="29">
        <f t="shared" si="100"/>
        <v>0.3003025319</v>
      </c>
      <c r="L195" s="29">
        <f t="shared" si="100"/>
        <v>0.2854006484</v>
      </c>
      <c r="M195" s="29">
        <f t="shared" si="100"/>
        <v>0.2720824566</v>
      </c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5"/>
      <c r="B196" s="15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5"/>
      <c r="B197" s="15"/>
      <c r="C197" s="23" t="s">
        <v>206</v>
      </c>
      <c r="D197" s="24"/>
      <c r="E197" s="24"/>
      <c r="F197" s="24"/>
      <c r="G197" s="24"/>
      <c r="H197" s="24"/>
      <c r="I197" s="25"/>
      <c r="J197" s="25"/>
      <c r="K197" s="25"/>
      <c r="L197" s="25"/>
      <c r="M197" s="25"/>
      <c r="N197" s="2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5"/>
      <c r="B198" s="15"/>
      <c r="C198" s="22" t="s">
        <v>207</v>
      </c>
      <c r="D198" s="15"/>
      <c r="E198" s="15"/>
      <c r="F198" s="15"/>
      <c r="G198" s="15"/>
      <c r="H198" s="15"/>
      <c r="I198" s="15">
        <v>700000.0</v>
      </c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5"/>
      <c r="B199" s="15"/>
      <c r="C199" s="22" t="s">
        <v>208</v>
      </c>
      <c r="D199" s="15"/>
      <c r="E199" s="15"/>
      <c r="F199" s="15"/>
      <c r="G199" s="15"/>
      <c r="H199" s="15"/>
      <c r="I199" s="15"/>
      <c r="J199" s="15"/>
      <c r="K199" s="15">
        <v>400000.0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5"/>
      <c r="B200" s="15"/>
      <c r="C200" s="22" t="s">
        <v>209</v>
      </c>
      <c r="D200" s="15"/>
      <c r="E200" s="15"/>
      <c r="F200" s="15"/>
      <c r="G200" s="15"/>
      <c r="H200" s="15"/>
      <c r="I200" s="15"/>
      <c r="J200" s="15"/>
      <c r="K200" s="15"/>
      <c r="L200" s="15">
        <v>800000.0</v>
      </c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5"/>
      <c r="B201" s="15"/>
      <c r="C201" s="22" t="s">
        <v>210</v>
      </c>
      <c r="D201" s="15"/>
      <c r="E201" s="15"/>
      <c r="F201" s="15"/>
      <c r="G201" s="15"/>
      <c r="H201" s="15"/>
      <c r="I201" s="15"/>
      <c r="J201" s="15"/>
      <c r="K201" s="15"/>
      <c r="L201" s="15">
        <v>535000.0</v>
      </c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5"/>
      <c r="B202" s="15"/>
      <c r="C202" s="22" t="s">
        <v>211</v>
      </c>
      <c r="D202" s="15"/>
      <c r="E202" s="15"/>
      <c r="F202" s="15"/>
      <c r="G202" s="15"/>
      <c r="H202" s="15"/>
      <c r="I202" s="15"/>
      <c r="J202" s="15"/>
      <c r="K202" s="15"/>
      <c r="L202" s="15">
        <v>500000.0</v>
      </c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5"/>
      <c r="B203" s="15"/>
      <c r="C203" s="22" t="s">
        <v>212</v>
      </c>
      <c r="D203" s="15"/>
      <c r="E203" s="15"/>
      <c r="F203" s="15"/>
      <c r="G203" s="15"/>
      <c r="H203" s="15"/>
      <c r="I203" s="15"/>
      <c r="J203" s="15"/>
      <c r="K203" s="15"/>
      <c r="L203" s="15"/>
      <c r="M203" s="15">
        <v>1000000.0</v>
      </c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5"/>
      <c r="B204" s="15"/>
      <c r="C204" s="22" t="s">
        <v>147</v>
      </c>
      <c r="D204" s="15"/>
      <c r="E204" s="15"/>
      <c r="F204" s="15"/>
      <c r="G204" s="15"/>
      <c r="H204" s="38"/>
      <c r="I204" s="15"/>
      <c r="J204" s="15"/>
      <c r="K204" s="15"/>
      <c r="L204" s="15"/>
      <c r="M204" s="15"/>
      <c r="N204" s="15">
        <f>+(1480+1600+1900+1252+800+1366+900+1252+1000)*1000</f>
        <v>11550000</v>
      </c>
      <c r="O204" s="38">
        <f>(1480*3.625%+1600*4.875%+1900*5.875%+1252*4.625%+800*6.275%+1366*3.875%+900*5.375%+1252*3.625%+1000*4.875%)/(N204/1000)</f>
        <v>0.04734393939</v>
      </c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5"/>
      <c r="B205" s="15"/>
      <c r="C205" s="39" t="s">
        <v>213</v>
      </c>
      <c r="D205" s="27"/>
      <c r="E205" s="27"/>
      <c r="F205" s="27"/>
      <c r="G205" s="27"/>
      <c r="H205" s="44"/>
      <c r="I205" s="27">
        <f t="shared" ref="I205:N205" si="101">SUM(I198:I204)</f>
        <v>700000</v>
      </c>
      <c r="J205" s="27">
        <f t="shared" si="101"/>
        <v>0</v>
      </c>
      <c r="K205" s="27">
        <f t="shared" si="101"/>
        <v>400000</v>
      </c>
      <c r="L205" s="27">
        <f t="shared" si="101"/>
        <v>1835000</v>
      </c>
      <c r="M205" s="27">
        <f t="shared" si="101"/>
        <v>1000000</v>
      </c>
      <c r="N205" s="27">
        <f t="shared" si="101"/>
        <v>11550000</v>
      </c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5"/>
      <c r="B206" s="15"/>
      <c r="C206" s="22"/>
      <c r="D206" s="15"/>
      <c r="E206" s="15"/>
      <c r="F206" s="15"/>
      <c r="G206" s="15"/>
      <c r="H206" s="38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5"/>
      <c r="B207" s="15"/>
      <c r="C207" s="23" t="s">
        <v>214</v>
      </c>
      <c r="D207" s="24"/>
      <c r="E207" s="24"/>
      <c r="F207" s="24"/>
      <c r="G207" s="24"/>
      <c r="H207" s="24"/>
      <c r="I207" s="25"/>
      <c r="J207" s="25"/>
      <c r="K207" s="25"/>
      <c r="L207" s="25"/>
      <c r="M207" s="25"/>
      <c r="N207" s="2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5"/>
      <c r="B208" s="15"/>
      <c r="C208" s="22" t="s">
        <v>207</v>
      </c>
      <c r="D208" s="15"/>
      <c r="E208" s="15"/>
      <c r="F208" s="15"/>
      <c r="G208" s="15"/>
      <c r="H208" s="38">
        <v>0.055</v>
      </c>
      <c r="I208" s="15">
        <f>+(I198*$H208)/12*2</f>
        <v>6416.666667</v>
      </c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5"/>
      <c r="B209" s="15"/>
      <c r="C209" s="22" t="s">
        <v>208</v>
      </c>
      <c r="D209" s="15"/>
      <c r="E209" s="15"/>
      <c r="F209" s="15"/>
      <c r="G209" s="15"/>
      <c r="H209" s="38">
        <v>0.0575</v>
      </c>
      <c r="I209" s="15">
        <f t="shared" ref="I209:J209" si="102">+$K$199*$H$209</f>
        <v>23000</v>
      </c>
      <c r="J209" s="15">
        <f t="shared" si="102"/>
        <v>23000</v>
      </c>
      <c r="K209" s="15">
        <f>+($K$199*$H$209)/12*3</f>
        <v>5750</v>
      </c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5"/>
      <c r="B210" s="15"/>
      <c r="C210" s="22" t="s">
        <v>209</v>
      </c>
      <c r="D210" s="15"/>
      <c r="E210" s="15"/>
      <c r="F210" s="15"/>
      <c r="G210" s="15"/>
      <c r="H210" s="38">
        <v>0.05875</v>
      </c>
      <c r="I210" s="15">
        <f t="shared" ref="I210:K210" si="103">+$L$200*$H$210</f>
        <v>47000</v>
      </c>
      <c r="J210" s="15">
        <f t="shared" si="103"/>
        <v>47000</v>
      </c>
      <c r="K210" s="15">
        <f t="shared" si="103"/>
        <v>47000</v>
      </c>
      <c r="L210" s="15">
        <f>(+$L$200*$H$210)/12*2</f>
        <v>7833.333333</v>
      </c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5"/>
      <c r="B211" s="15"/>
      <c r="C211" s="22" t="s">
        <v>210</v>
      </c>
      <c r="D211" s="15"/>
      <c r="E211" s="15"/>
      <c r="F211" s="15"/>
      <c r="G211" s="15"/>
      <c r="H211" s="38">
        <v>0.03</v>
      </c>
      <c r="I211" s="15">
        <f t="shared" ref="I211:K211" si="104">+$L$201*$H$211</f>
        <v>16050</v>
      </c>
      <c r="J211" s="15">
        <f t="shared" si="104"/>
        <v>16050</v>
      </c>
      <c r="K211" s="15">
        <f t="shared" si="104"/>
        <v>16050</v>
      </c>
      <c r="L211" s="15">
        <f>(+$L$201*$H$211)/12*6</f>
        <v>8025</v>
      </c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5"/>
      <c r="B212" s="15"/>
      <c r="C212" s="22" t="s">
        <v>211</v>
      </c>
      <c r="D212" s="15"/>
      <c r="E212" s="15"/>
      <c r="F212" s="15"/>
      <c r="G212" s="15"/>
      <c r="H212" s="38">
        <v>0.03625</v>
      </c>
      <c r="I212" s="15">
        <f t="shared" ref="I212:K212" si="105">+$L$202*$H$212</f>
        <v>18125</v>
      </c>
      <c r="J212" s="15">
        <f t="shared" si="105"/>
        <v>18125</v>
      </c>
      <c r="K212" s="15">
        <f t="shared" si="105"/>
        <v>18125</v>
      </c>
      <c r="L212" s="15">
        <f>+($L$202*$H$212)/12*6</f>
        <v>9062.5</v>
      </c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5"/>
      <c r="B213" s="15"/>
      <c r="C213" s="22" t="s">
        <v>212</v>
      </c>
      <c r="D213" s="15"/>
      <c r="E213" s="15"/>
      <c r="F213" s="15"/>
      <c r="G213" s="15"/>
      <c r="H213" s="38">
        <v>0.04375</v>
      </c>
      <c r="I213" s="15">
        <f t="shared" ref="I213:L213" si="106">+$M$203*$H$213</f>
        <v>43750</v>
      </c>
      <c r="J213" s="15">
        <f t="shared" si="106"/>
        <v>43750</v>
      </c>
      <c r="K213" s="15">
        <f t="shared" si="106"/>
        <v>43750</v>
      </c>
      <c r="L213" s="15">
        <f t="shared" si="106"/>
        <v>43750</v>
      </c>
      <c r="M213" s="15">
        <f>+($M$203*$H$213)/12*11</f>
        <v>40104.16667</v>
      </c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5"/>
      <c r="B214" s="15"/>
      <c r="C214" s="22" t="s">
        <v>147</v>
      </c>
      <c r="D214" s="15"/>
      <c r="E214" s="15"/>
      <c r="F214" s="15"/>
      <c r="G214" s="15"/>
      <c r="H214" s="15"/>
      <c r="I214" s="15">
        <f t="shared" ref="I214:M214" si="107">+$N$204*$O$204</f>
        <v>546822.5</v>
      </c>
      <c r="J214" s="15">
        <f t="shared" si="107"/>
        <v>546822.5</v>
      </c>
      <c r="K214" s="15">
        <f t="shared" si="107"/>
        <v>546822.5</v>
      </c>
      <c r="L214" s="15">
        <f t="shared" si="107"/>
        <v>546822.5</v>
      </c>
      <c r="M214" s="15">
        <f t="shared" si="107"/>
        <v>546822.5</v>
      </c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5"/>
      <c r="B215" s="15"/>
      <c r="C215" s="39" t="s">
        <v>213</v>
      </c>
      <c r="D215" s="27"/>
      <c r="E215" s="27"/>
      <c r="F215" s="27"/>
      <c r="G215" s="27"/>
      <c r="H215" s="27"/>
      <c r="I215" s="27">
        <f t="shared" ref="I215:M215" si="108">SUM(I208:I214)</f>
        <v>701164.1667</v>
      </c>
      <c r="J215" s="27">
        <f t="shared" si="108"/>
        <v>694747.5</v>
      </c>
      <c r="K215" s="27">
        <f t="shared" si="108"/>
        <v>677497.5</v>
      </c>
      <c r="L215" s="27">
        <f t="shared" si="108"/>
        <v>615493.3333</v>
      </c>
      <c r="M215" s="27">
        <f t="shared" si="108"/>
        <v>586926.6667</v>
      </c>
      <c r="N215" s="27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5"/>
      <c r="B216" s="15"/>
      <c r="C216" s="22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5"/>
      <c r="B217" s="15"/>
      <c r="C217" s="23" t="s">
        <v>215</v>
      </c>
      <c r="D217" s="24">
        <v>2017.0</v>
      </c>
      <c r="E217" s="24">
        <f t="shared" ref="E217:M217" si="109">+D217+1</f>
        <v>2018</v>
      </c>
      <c r="F217" s="24">
        <f t="shared" si="109"/>
        <v>2019</v>
      </c>
      <c r="G217" s="24">
        <f t="shared" si="109"/>
        <v>2020</v>
      </c>
      <c r="H217" s="24">
        <f t="shared" si="109"/>
        <v>2021</v>
      </c>
      <c r="I217" s="25">
        <f t="shared" si="109"/>
        <v>2022</v>
      </c>
      <c r="J217" s="25">
        <f t="shared" si="109"/>
        <v>2023</v>
      </c>
      <c r="K217" s="25">
        <f t="shared" si="109"/>
        <v>2024</v>
      </c>
      <c r="L217" s="25">
        <f t="shared" si="109"/>
        <v>2025</v>
      </c>
      <c r="M217" s="25">
        <f t="shared" si="109"/>
        <v>2026</v>
      </c>
      <c r="N217" s="25" t="s">
        <v>147</v>
      </c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5"/>
      <c r="B218" s="15"/>
      <c r="C218" s="22" t="s">
        <v>88</v>
      </c>
      <c r="D218" s="15"/>
      <c r="E218" s="15"/>
      <c r="F218" s="15"/>
      <c r="G218" s="15"/>
      <c r="H218" s="15"/>
      <c r="I218" s="15">
        <f t="shared" ref="I218:M218" si="110">+I56</f>
        <v>20705426.12</v>
      </c>
      <c r="J218" s="15">
        <f t="shared" si="110"/>
        <v>22691795.35</v>
      </c>
      <c r="K218" s="15">
        <f t="shared" si="110"/>
        <v>24736499.4</v>
      </c>
      <c r="L218" s="15">
        <f t="shared" si="110"/>
        <v>26678790.95</v>
      </c>
      <c r="M218" s="15">
        <f t="shared" si="110"/>
        <v>28795232.68</v>
      </c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5"/>
      <c r="B219" s="15"/>
      <c r="C219" s="22" t="s">
        <v>84</v>
      </c>
      <c r="D219" s="15"/>
      <c r="E219" s="15"/>
      <c r="F219" s="15"/>
      <c r="G219" s="15"/>
      <c r="H219" s="15"/>
      <c r="I219" s="15">
        <f t="shared" ref="I219:M219" si="111">+I66</f>
        <v>-1865860.306</v>
      </c>
      <c r="J219" s="15">
        <f t="shared" si="111"/>
        <v>-1183554.481</v>
      </c>
      <c r="K219" s="15">
        <f t="shared" si="111"/>
        <v>-488002.0715</v>
      </c>
      <c r="L219" s="15">
        <f t="shared" si="111"/>
        <v>253288.9833</v>
      </c>
      <c r="M219" s="15">
        <f t="shared" si="111"/>
        <v>-2074997.858</v>
      </c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5"/>
      <c r="B220" s="15"/>
      <c r="C220" s="22" t="s">
        <v>216</v>
      </c>
      <c r="D220" s="15"/>
      <c r="E220" s="15"/>
      <c r="F220" s="15"/>
      <c r="G220" s="15"/>
      <c r="H220" s="15"/>
      <c r="I220" s="15">
        <f t="shared" ref="I220:M220" si="112">-(I78-H78)</f>
        <v>-102539.7995</v>
      </c>
      <c r="J220" s="15">
        <f t="shared" si="112"/>
        <v>-400972.5358</v>
      </c>
      <c r="K220" s="15">
        <f t="shared" si="112"/>
        <v>-390035.9705</v>
      </c>
      <c r="L220" s="15">
        <f t="shared" si="112"/>
        <v>-405582.9222</v>
      </c>
      <c r="M220" s="15">
        <f t="shared" si="112"/>
        <v>-418786.1181</v>
      </c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5"/>
      <c r="B221" s="15"/>
      <c r="C221" s="22" t="s">
        <v>217</v>
      </c>
      <c r="D221" s="15"/>
      <c r="E221" s="15"/>
      <c r="F221" s="15"/>
      <c r="G221" s="15"/>
      <c r="H221" s="15"/>
      <c r="I221" s="15">
        <f t="shared" ref="I221:M221" si="113">+(I92-H92)</f>
        <v>230273.1952</v>
      </c>
      <c r="J221" s="15">
        <f t="shared" si="113"/>
        <v>246523.8553</v>
      </c>
      <c r="K221" s="15">
        <f t="shared" si="113"/>
        <v>239799.893</v>
      </c>
      <c r="L221" s="15">
        <f t="shared" si="113"/>
        <v>249358.3892</v>
      </c>
      <c r="M221" s="15">
        <f t="shared" si="113"/>
        <v>257475.9096</v>
      </c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5"/>
      <c r="B222" s="15"/>
      <c r="C222" s="43" t="s">
        <v>218</v>
      </c>
      <c r="D222" s="15"/>
      <c r="E222" s="15"/>
      <c r="F222" s="15"/>
      <c r="G222" s="15"/>
      <c r="H222" s="15"/>
      <c r="I222" s="31">
        <f t="shared" ref="I222:M222" si="114">SUM(I223:I228)</f>
        <v>3586472.55</v>
      </c>
      <c r="J222" s="31">
        <f t="shared" si="114"/>
        <v>410106.9257</v>
      </c>
      <c r="K222" s="31">
        <f t="shared" si="114"/>
        <v>413213.9705</v>
      </c>
      <c r="L222" s="31">
        <f t="shared" si="114"/>
        <v>425520.2119</v>
      </c>
      <c r="M222" s="31">
        <f t="shared" si="114"/>
        <v>437202.6157</v>
      </c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5"/>
      <c r="B223" s="15"/>
      <c r="C223" s="22" t="s">
        <v>92</v>
      </c>
      <c r="D223" s="15"/>
      <c r="E223" s="15"/>
      <c r="F223" s="15"/>
      <c r="G223" s="15"/>
      <c r="H223" s="15"/>
      <c r="I223" s="15">
        <f t="shared" ref="I223:M223" si="115">-(I73-H73)</f>
        <v>-187295.6148</v>
      </c>
      <c r="J223" s="15">
        <f t="shared" si="115"/>
        <v>-204347.4849</v>
      </c>
      <c r="K223" s="15">
        <f t="shared" si="115"/>
        <v>-198773.8872</v>
      </c>
      <c r="L223" s="15">
        <f t="shared" si="115"/>
        <v>-206697.0744</v>
      </c>
      <c r="M223" s="15">
        <f t="shared" si="115"/>
        <v>-213425.8143</v>
      </c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5"/>
      <c r="B224" s="15"/>
      <c r="C224" s="22" t="s">
        <v>99</v>
      </c>
      <c r="D224" s="15"/>
      <c r="E224" s="15"/>
      <c r="F224" s="15"/>
      <c r="G224" s="15"/>
      <c r="H224" s="15"/>
      <c r="I224" s="15">
        <f t="shared" ref="I224:M224" si="116">+(I83-H83)</f>
        <v>-4292967</v>
      </c>
      <c r="J224" s="15">
        <f t="shared" si="116"/>
        <v>0</v>
      </c>
      <c r="K224" s="15">
        <f t="shared" si="116"/>
        <v>0</v>
      </c>
      <c r="L224" s="15">
        <f t="shared" si="116"/>
        <v>0</v>
      </c>
      <c r="M224" s="15">
        <f t="shared" si="116"/>
        <v>0</v>
      </c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5"/>
      <c r="B225" s="15"/>
      <c r="C225" s="22" t="s">
        <v>100</v>
      </c>
      <c r="D225" s="15"/>
      <c r="E225" s="15"/>
      <c r="F225" s="15"/>
      <c r="G225" s="15"/>
      <c r="H225" s="15"/>
      <c r="I225" s="15">
        <f t="shared" ref="I225:M225" si="117">+(I84-H84)</f>
        <v>-33181.92759</v>
      </c>
      <c r="J225" s="15">
        <f t="shared" si="117"/>
        <v>73725.23945</v>
      </c>
      <c r="K225" s="15">
        <f t="shared" si="117"/>
        <v>71714.37631</v>
      </c>
      <c r="L225" s="15">
        <f t="shared" si="117"/>
        <v>74572.93303</v>
      </c>
      <c r="M225" s="15">
        <f t="shared" si="117"/>
        <v>77000.55261</v>
      </c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5"/>
      <c r="B226" s="15"/>
      <c r="C226" s="22" t="s">
        <v>101</v>
      </c>
      <c r="D226" s="15"/>
      <c r="E226" s="15"/>
      <c r="F226" s="15"/>
      <c r="G226" s="15"/>
      <c r="H226" s="15"/>
      <c r="I226" s="15">
        <f t="shared" ref="I226:M226" si="118">+(I85-H85)</f>
        <v>170791.8887</v>
      </c>
      <c r="J226" s="15">
        <f t="shared" si="118"/>
        <v>148508.3466</v>
      </c>
      <c r="K226" s="15">
        <f t="shared" si="118"/>
        <v>144457.7669</v>
      </c>
      <c r="L226" s="15">
        <f t="shared" si="118"/>
        <v>150215.8971</v>
      </c>
      <c r="M226" s="15">
        <f t="shared" si="118"/>
        <v>155105.9697</v>
      </c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5"/>
      <c r="B227" s="15"/>
      <c r="C227" s="22" t="s">
        <v>102</v>
      </c>
      <c r="D227" s="15"/>
      <c r="E227" s="15"/>
      <c r="F227" s="15"/>
      <c r="G227" s="15"/>
      <c r="H227" s="15"/>
      <c r="I227" s="15">
        <f t="shared" ref="I227:M227" si="119">+(I86-H86)</f>
        <v>86772.31095</v>
      </c>
      <c r="J227" s="15">
        <f t="shared" si="119"/>
        <v>118806.6773</v>
      </c>
      <c r="K227" s="15">
        <f t="shared" si="119"/>
        <v>115566.2135</v>
      </c>
      <c r="L227" s="15">
        <f t="shared" si="119"/>
        <v>120172.7177</v>
      </c>
      <c r="M227" s="15">
        <f t="shared" si="119"/>
        <v>124084.7757</v>
      </c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5"/>
      <c r="B228" s="15"/>
      <c r="C228" s="22" t="s">
        <v>105</v>
      </c>
      <c r="D228" s="15"/>
      <c r="E228" s="15"/>
      <c r="F228" s="15"/>
      <c r="G228" s="15"/>
      <c r="H228" s="15"/>
      <c r="I228" s="15">
        <f t="shared" ref="I228:M228" si="120">+(I90-H90)</f>
        <v>7842352.893</v>
      </c>
      <c r="J228" s="15">
        <f t="shared" si="120"/>
        <v>273414.1473</v>
      </c>
      <c r="K228" s="15">
        <f t="shared" si="120"/>
        <v>280249.501</v>
      </c>
      <c r="L228" s="15">
        <f t="shared" si="120"/>
        <v>287255.7385</v>
      </c>
      <c r="M228" s="15">
        <f t="shared" si="120"/>
        <v>294437.132</v>
      </c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5"/>
      <c r="B229" s="15"/>
      <c r="C229" s="39" t="s">
        <v>131</v>
      </c>
      <c r="D229" s="45"/>
      <c r="E229" s="45"/>
      <c r="F229" s="45"/>
      <c r="G229" s="45"/>
      <c r="H229" s="45"/>
      <c r="I229" s="27">
        <f t="shared" ref="I229:M229" si="121">SUM(I218:I222)</f>
        <v>22553771.76</v>
      </c>
      <c r="J229" s="27">
        <f t="shared" si="121"/>
        <v>21763899.11</v>
      </c>
      <c r="K229" s="27">
        <f t="shared" si="121"/>
        <v>24511475.22</v>
      </c>
      <c r="L229" s="27">
        <f t="shared" si="121"/>
        <v>27201375.61</v>
      </c>
      <c r="M229" s="27">
        <f t="shared" si="121"/>
        <v>26996127.23</v>
      </c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5"/>
      <c r="B230" s="15"/>
      <c r="C230" s="22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5"/>
      <c r="B231" s="15"/>
      <c r="C231" s="22" t="s">
        <v>219</v>
      </c>
      <c r="D231" s="15"/>
      <c r="E231" s="15"/>
      <c r="F231" s="15"/>
      <c r="G231" s="15"/>
      <c r="H231" s="15"/>
      <c r="I231" s="15">
        <f t="shared" ref="I231:M231" si="122">-I139</f>
        <v>-18144757.05</v>
      </c>
      <c r="J231" s="15">
        <f t="shared" si="122"/>
        <v>-18598375.98</v>
      </c>
      <c r="K231" s="15">
        <f t="shared" si="122"/>
        <v>-19063335.38</v>
      </c>
      <c r="L231" s="15">
        <f t="shared" si="122"/>
        <v>-19539918.76</v>
      </c>
      <c r="M231" s="15">
        <f t="shared" si="122"/>
        <v>-20028416.73</v>
      </c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5"/>
      <c r="B232" s="15"/>
      <c r="C232" s="22" t="s">
        <v>220</v>
      </c>
      <c r="D232" s="15"/>
      <c r="E232" s="15"/>
      <c r="F232" s="15"/>
      <c r="G232" s="15"/>
      <c r="H232" s="15"/>
      <c r="I232" s="15">
        <f t="shared" ref="I232:M232" si="123">-I145</f>
        <v>-421237.1511</v>
      </c>
      <c r="J232" s="15">
        <f t="shared" si="123"/>
        <v>-459849.3212</v>
      </c>
      <c r="K232" s="15">
        <f t="shared" si="123"/>
        <v>-497408.3406</v>
      </c>
      <c r="L232" s="15">
        <f t="shared" si="123"/>
        <v>-536464.4738</v>
      </c>
      <c r="M232" s="15">
        <f t="shared" si="123"/>
        <v>-576792.0259</v>
      </c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5"/>
      <c r="B233" s="15"/>
      <c r="C233" s="39" t="s">
        <v>135</v>
      </c>
      <c r="D233" s="45"/>
      <c r="E233" s="45"/>
      <c r="F233" s="45"/>
      <c r="G233" s="45"/>
      <c r="H233" s="45"/>
      <c r="I233" s="27">
        <f t="shared" ref="I233:M233" si="124">SUM(I231:I232)</f>
        <v>-18565994.2</v>
      </c>
      <c r="J233" s="27">
        <f t="shared" si="124"/>
        <v>-19058225.3</v>
      </c>
      <c r="K233" s="27">
        <f t="shared" si="124"/>
        <v>-19560743.72</v>
      </c>
      <c r="L233" s="27">
        <f t="shared" si="124"/>
        <v>-20076383.23</v>
      </c>
      <c r="M233" s="27">
        <f t="shared" si="124"/>
        <v>-20605208.75</v>
      </c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5"/>
      <c r="B234" s="15"/>
      <c r="C234" s="22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5"/>
      <c r="B235" s="15"/>
      <c r="C235" s="46" t="s">
        <v>221</v>
      </c>
      <c r="D235" s="47"/>
      <c r="E235" s="47"/>
      <c r="F235" s="47"/>
      <c r="G235" s="47"/>
      <c r="H235" s="47"/>
      <c r="I235" s="48">
        <f t="shared" ref="I235:M235" si="125">+I229+I233</f>
        <v>3987777.557</v>
      </c>
      <c r="J235" s="48">
        <f t="shared" si="125"/>
        <v>2705673.815</v>
      </c>
      <c r="K235" s="48">
        <f t="shared" si="125"/>
        <v>4950731.503</v>
      </c>
      <c r="L235" s="48">
        <f t="shared" si="125"/>
        <v>7124992.375</v>
      </c>
      <c r="M235" s="48">
        <f t="shared" si="125"/>
        <v>6390918.473</v>
      </c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5"/>
      <c r="B236" s="15"/>
      <c r="C236" s="22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5"/>
      <c r="B237" s="15"/>
      <c r="C237" s="22" t="s">
        <v>222</v>
      </c>
      <c r="D237" s="15"/>
      <c r="E237" s="15"/>
      <c r="F237" s="15"/>
      <c r="G237" s="15"/>
      <c r="H237" s="15"/>
      <c r="I237" s="15">
        <f t="shared" ref="I237:M237" si="126">+I64</f>
        <v>-701164.1667</v>
      </c>
      <c r="J237" s="15">
        <f t="shared" si="126"/>
        <v>-694747.5</v>
      </c>
      <c r="K237" s="15">
        <f t="shared" si="126"/>
        <v>-677497.5</v>
      </c>
      <c r="L237" s="15">
        <f t="shared" si="126"/>
        <v>-615493.3333</v>
      </c>
      <c r="M237" s="15">
        <f t="shared" si="126"/>
        <v>-586926.6667</v>
      </c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5"/>
      <c r="B238" s="15"/>
      <c r="C238" s="22" t="s">
        <v>223</v>
      </c>
      <c r="D238" s="15"/>
      <c r="E238" s="15"/>
      <c r="F238" s="15"/>
      <c r="G238" s="15"/>
      <c r="H238" s="15"/>
      <c r="I238" s="15">
        <f t="shared" ref="I238:M238" si="127">+(I87+I91-H87-H91)</f>
        <v>-700000</v>
      </c>
      <c r="J238" s="15">
        <f t="shared" si="127"/>
        <v>0</v>
      </c>
      <c r="K238" s="15">
        <f t="shared" si="127"/>
        <v>-400000</v>
      </c>
      <c r="L238" s="15">
        <f t="shared" si="127"/>
        <v>-1835000</v>
      </c>
      <c r="M238" s="15">
        <f t="shared" si="127"/>
        <v>-1000000</v>
      </c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5"/>
      <c r="B239" s="15"/>
      <c r="C239" s="22" t="s">
        <v>224</v>
      </c>
      <c r="D239" s="15"/>
      <c r="E239" s="15"/>
      <c r="F239" s="15"/>
      <c r="G239" s="15"/>
      <c r="H239" s="15"/>
      <c r="I239" s="15">
        <f>+IF(I67&gt;0,I67*-Assumptions!E202,0)</f>
        <v>0</v>
      </c>
      <c r="J239" s="15">
        <f>+IF(J67&gt;0,J67*-Assumptions!F202,0)</f>
        <v>0</v>
      </c>
      <c r="K239" s="15">
        <f>+IF(K67&gt;0,K67*-Assumptions!G202,0)</f>
        <v>0</v>
      </c>
      <c r="L239" s="15">
        <f>+IF(L67&gt;0,L67*-Assumptions!H202,0)</f>
        <v>0</v>
      </c>
      <c r="M239" s="15">
        <f>+IF(M67&gt;0,M67*-Assumptions!I202,0)</f>
        <v>0</v>
      </c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5"/>
      <c r="B240" s="15"/>
      <c r="C240" s="22" t="s">
        <v>225</v>
      </c>
      <c r="D240" s="15"/>
      <c r="E240" s="15"/>
      <c r="F240" s="15"/>
      <c r="G240" s="15"/>
      <c r="H240" s="15"/>
      <c r="I240" s="15">
        <f>+IF(I245+I235+I237+I238&gt;Assumptions!E207,-(Model!I245+Model!I235+Model!I237+Model!I238-Assumptions!E207),0)</f>
        <v>-5614417.39</v>
      </c>
      <c r="J240" s="15">
        <f>+IF(J245+J235+J237+J238&gt;Assumptions!F207,-(Model!J245+Model!J235+Model!J237+Model!J238-Assumptions!F207),0)</f>
        <v>-2010926.315</v>
      </c>
      <c r="K240" s="15">
        <f>+IF(K245+K235+K237+K238&gt;Assumptions!G207,-(Model!K245+Model!K235+Model!K237+Model!K238-Assumptions!G207),0)</f>
        <v>-3873234.003</v>
      </c>
      <c r="L240" s="15">
        <f>+IF(L245+L235+L237+L238&gt;Assumptions!H207,-(Model!L245+Model!L235+Model!L237+Model!L238-Assumptions!H207),0)</f>
        <v>-4674499.042</v>
      </c>
      <c r="M240" s="15">
        <f>+IF(M245+M235+M237+M238&gt;Assumptions!I207,-(Model!M245+Model!M235+Model!M237+Model!M238-Assumptions!I207),0)</f>
        <v>-4803991.806</v>
      </c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5"/>
      <c r="B241" s="15"/>
      <c r="C241" s="22" t="s">
        <v>226</v>
      </c>
      <c r="D241" s="15"/>
      <c r="E241" s="15"/>
      <c r="F241" s="15"/>
      <c r="G241" s="15"/>
      <c r="H241" s="15"/>
      <c r="I241" s="15">
        <f>+IF(I245+I235+I237+I238+I239+I240&lt;Assumptions!E207,+(Assumptions!E207-(Model!I245+Model!I235+Model!I237+Model!I238+Model!I239+Model!I240)),0)</f>
        <v>0</v>
      </c>
      <c r="J241" s="15">
        <f>+IF(J245+J235+J237+J238+J239+J240&lt;Assumptions!F207,+(Assumptions!F207-(Model!J245+Model!J235+Model!J237+Model!J238+Model!J239+Model!J240)),0)</f>
        <v>0</v>
      </c>
      <c r="K241" s="15">
        <f>+IF(K245+K235+K237+K238+K239+K240&lt;Assumptions!G207,+(Assumptions!G207-(Model!K245+Model!K235+Model!K237+Model!K238+Model!K239+Model!K240)),0)</f>
        <v>0</v>
      </c>
      <c r="L241" s="15">
        <f>+IF(L245+L235+L237+L238+L239+L240&lt;Assumptions!H207,+(Assumptions!H207-(Model!L245+Model!L235+Model!L237+Model!L238+Model!L239+Model!L240)),0)</f>
        <v>0</v>
      </c>
      <c r="M241" s="15">
        <f>+IF(M245+M235+M237+M238+M239+M240&lt;Assumptions!I207,+(Assumptions!I207-(Model!M245+Model!M235+Model!M237+Model!M238+Model!M239+Model!M240)),0)</f>
        <v>0</v>
      </c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5"/>
      <c r="B242" s="15"/>
      <c r="C242" s="39" t="s">
        <v>140</v>
      </c>
      <c r="D242" s="45"/>
      <c r="E242" s="45"/>
      <c r="F242" s="45"/>
      <c r="G242" s="45"/>
      <c r="H242" s="45"/>
      <c r="I242" s="27">
        <f t="shared" ref="I242:M242" si="128">SUM(I237:I241)</f>
        <v>-7015581.557</v>
      </c>
      <c r="J242" s="27">
        <f t="shared" si="128"/>
        <v>-2705673.815</v>
      </c>
      <c r="K242" s="27">
        <f t="shared" si="128"/>
        <v>-4950731.503</v>
      </c>
      <c r="L242" s="27">
        <f t="shared" si="128"/>
        <v>-7124992.375</v>
      </c>
      <c r="M242" s="27">
        <f t="shared" si="128"/>
        <v>-6390918.473</v>
      </c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5"/>
      <c r="B243" s="15"/>
      <c r="C243" s="22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5"/>
      <c r="B244" s="15"/>
      <c r="C244" s="22" t="s">
        <v>227</v>
      </c>
      <c r="D244" s="15"/>
      <c r="E244" s="15"/>
      <c r="F244" s="15"/>
      <c r="G244" s="15"/>
      <c r="H244" s="15"/>
      <c r="I244" s="31">
        <f t="shared" ref="I244:M244" si="129">+I229+I233+I242</f>
        <v>-3027804</v>
      </c>
      <c r="J244" s="31">
        <f t="shared" si="129"/>
        <v>0.0000000009313225746</v>
      </c>
      <c r="K244" s="31">
        <f t="shared" si="129"/>
        <v>0</v>
      </c>
      <c r="L244" s="31">
        <f t="shared" si="129"/>
        <v>0</v>
      </c>
      <c r="M244" s="31">
        <f t="shared" si="129"/>
        <v>0</v>
      </c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5"/>
      <c r="B245" s="15"/>
      <c r="C245" s="22" t="s">
        <v>143</v>
      </c>
      <c r="D245" s="15"/>
      <c r="E245" s="15"/>
      <c r="F245" s="15"/>
      <c r="G245" s="15"/>
      <c r="H245" s="15"/>
      <c r="I245" s="15">
        <f>+H71</f>
        <v>6027804</v>
      </c>
      <c r="J245" s="15">
        <f t="shared" ref="J245:M245" si="130">+I246</f>
        <v>3000000</v>
      </c>
      <c r="K245" s="15">
        <f t="shared" si="130"/>
        <v>3000000</v>
      </c>
      <c r="L245" s="15">
        <f t="shared" si="130"/>
        <v>3000000</v>
      </c>
      <c r="M245" s="15">
        <f t="shared" si="130"/>
        <v>3000000</v>
      </c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5"/>
      <c r="B246" s="15"/>
      <c r="C246" s="22" t="s">
        <v>144</v>
      </c>
      <c r="D246" s="15"/>
      <c r="E246" s="15"/>
      <c r="F246" s="15"/>
      <c r="G246" s="15"/>
      <c r="H246" s="15"/>
      <c r="I246" s="15">
        <f t="shared" ref="I246:M246" si="131">+I245+I244</f>
        <v>3000000</v>
      </c>
      <c r="J246" s="15">
        <f t="shared" si="131"/>
        <v>3000000</v>
      </c>
      <c r="K246" s="15">
        <f t="shared" si="131"/>
        <v>3000000</v>
      </c>
      <c r="L246" s="15">
        <f t="shared" si="131"/>
        <v>3000000</v>
      </c>
      <c r="M246" s="15">
        <f t="shared" si="131"/>
        <v>3000000</v>
      </c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5"/>
      <c r="B247" s="15"/>
      <c r="C247" s="22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5"/>
      <c r="B248" s="15"/>
      <c r="C248" s="22" t="s">
        <v>228</v>
      </c>
      <c r="D248" s="15"/>
      <c r="E248" s="15"/>
      <c r="F248" s="15"/>
      <c r="G248" s="15"/>
      <c r="H248" s="15"/>
      <c r="I248" s="15">
        <f t="shared" ref="I248:M248" si="132">-I240-I239-I241</f>
        <v>5614417.39</v>
      </c>
      <c r="J248" s="15">
        <f t="shared" si="132"/>
        <v>2010926.315</v>
      </c>
      <c r="K248" s="15">
        <f t="shared" si="132"/>
        <v>3873234.003</v>
      </c>
      <c r="L248" s="15">
        <f t="shared" si="132"/>
        <v>4674499.042</v>
      </c>
      <c r="M248" s="15">
        <f t="shared" si="132"/>
        <v>4803991.806</v>
      </c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5"/>
      <c r="B249" s="15"/>
      <c r="C249" s="22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5"/>
      <c r="B250" s="15"/>
      <c r="C250" s="22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5"/>
      <c r="B251" s="15"/>
      <c r="C251" s="22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5"/>
      <c r="B252" s="15"/>
      <c r="C252" s="22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5"/>
      <c r="B253" s="15"/>
      <c r="C253" s="22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5"/>
      <c r="B254" s="15"/>
      <c r="C254" s="22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5"/>
      <c r="B255" s="15"/>
      <c r="C255" s="22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5"/>
      <c r="B256" s="15"/>
      <c r="C256" s="22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5"/>
      <c r="B257" s="15"/>
      <c r="C257" s="22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5"/>
      <c r="B258" s="15"/>
      <c r="C258" s="22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5"/>
      <c r="B259" s="15"/>
      <c r="C259" s="22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5"/>
      <c r="B260" s="15"/>
      <c r="C260" s="22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5"/>
      <c r="B261" s="15"/>
      <c r="C261" s="22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5"/>
      <c r="B262" s="15"/>
      <c r="C262" s="22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5"/>
      <c r="B263" s="15"/>
      <c r="C263" s="22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5"/>
      <c r="B264" s="15"/>
      <c r="C264" s="22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5"/>
      <c r="B265" s="15"/>
      <c r="C265" s="22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5"/>
      <c r="B266" s="15"/>
      <c r="C266" s="22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5"/>
      <c r="B267" s="15"/>
      <c r="C267" s="22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5"/>
      <c r="B268" s="15"/>
      <c r="C268" s="22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5"/>
      <c r="B269" s="15"/>
      <c r="C269" s="22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5"/>
      <c r="B270" s="15"/>
      <c r="C270" s="22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5"/>
      <c r="B271" s="15"/>
      <c r="C271" s="22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5"/>
      <c r="B272" s="15"/>
      <c r="C272" s="22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5"/>
      <c r="B273" s="15"/>
      <c r="C273" s="22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5"/>
      <c r="B274" s="15"/>
      <c r="C274" s="22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5"/>
      <c r="B275" s="15"/>
      <c r="C275" s="22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5"/>
      <c r="B276" s="15"/>
      <c r="C276" s="22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5"/>
      <c r="B277" s="15"/>
      <c r="C277" s="22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5"/>
      <c r="B278" s="15"/>
      <c r="C278" s="22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5"/>
      <c r="B279" s="15"/>
      <c r="C279" s="22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5"/>
      <c r="B280" s="15"/>
      <c r="C280" s="22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5"/>
      <c r="B281" s="15"/>
      <c r="C281" s="22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5"/>
      <c r="B282" s="15"/>
      <c r="C282" s="22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5"/>
      <c r="B283" s="15"/>
      <c r="C283" s="22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5"/>
      <c r="B284" s="15"/>
      <c r="C284" s="22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5"/>
      <c r="B285" s="15"/>
      <c r="C285" s="22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5"/>
      <c r="B286" s="15"/>
      <c r="C286" s="22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5"/>
      <c r="B287" s="15"/>
      <c r="C287" s="22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5"/>
      <c r="B288" s="15"/>
      <c r="C288" s="22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5"/>
      <c r="B289" s="15"/>
      <c r="C289" s="22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5"/>
      <c r="B290" s="15"/>
      <c r="C290" s="22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5"/>
      <c r="B291" s="15"/>
      <c r="C291" s="22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5"/>
      <c r="B292" s="15"/>
      <c r="C292" s="22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5"/>
      <c r="B293" s="15"/>
      <c r="C293" s="22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5"/>
      <c r="B294" s="15"/>
      <c r="C294" s="22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5"/>
      <c r="B295" s="15"/>
      <c r="C295" s="22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5"/>
      <c r="B296" s="15"/>
      <c r="C296" s="22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5"/>
      <c r="B297" s="15"/>
      <c r="C297" s="22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5"/>
      <c r="B298" s="15"/>
      <c r="C298" s="22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5"/>
      <c r="B299" s="15"/>
      <c r="C299" s="22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5"/>
      <c r="B300" s="15"/>
      <c r="C300" s="22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5"/>
      <c r="B301" s="15"/>
      <c r="C301" s="22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5"/>
      <c r="B302" s="15"/>
      <c r="C302" s="22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5"/>
      <c r="B303" s="15"/>
      <c r="C303" s="22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5"/>
      <c r="B304" s="15"/>
      <c r="C304" s="22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5"/>
      <c r="B305" s="15"/>
      <c r="C305" s="22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5"/>
      <c r="B306" s="15"/>
      <c r="C306" s="22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5"/>
      <c r="B307" s="15"/>
      <c r="C307" s="22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5"/>
      <c r="B308" s="15"/>
      <c r="C308" s="22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5"/>
      <c r="B309" s="15"/>
      <c r="C309" s="22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5"/>
      <c r="B310" s="15"/>
      <c r="C310" s="22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5"/>
      <c r="B311" s="15"/>
      <c r="C311" s="22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5"/>
      <c r="B312" s="15"/>
      <c r="C312" s="22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5"/>
      <c r="B313" s="15"/>
      <c r="C313" s="22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5"/>
      <c r="B314" s="15"/>
      <c r="C314" s="22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5"/>
      <c r="B315" s="15"/>
      <c r="C315" s="22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5"/>
      <c r="B316" s="15"/>
      <c r="C316" s="22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5"/>
      <c r="B317" s="15"/>
      <c r="C317" s="22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5"/>
      <c r="B318" s="15"/>
      <c r="C318" s="22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5"/>
      <c r="B319" s="15"/>
      <c r="C319" s="22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5"/>
      <c r="B320" s="15"/>
      <c r="C320" s="22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5"/>
      <c r="B321" s="15"/>
      <c r="C321" s="22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5"/>
      <c r="B322" s="15"/>
      <c r="C322" s="22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5"/>
      <c r="B323" s="15"/>
      <c r="C323" s="22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5"/>
      <c r="B324" s="15"/>
      <c r="C324" s="22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5"/>
      <c r="B325" s="15"/>
      <c r="C325" s="22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5"/>
      <c r="B326" s="15"/>
      <c r="C326" s="22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5"/>
      <c r="B327" s="15"/>
      <c r="C327" s="22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5"/>
      <c r="B328" s="15"/>
      <c r="C328" s="22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5"/>
      <c r="B329" s="15"/>
      <c r="C329" s="22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5"/>
      <c r="B330" s="15"/>
      <c r="C330" s="22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5"/>
      <c r="B331" s="15"/>
      <c r="C331" s="22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5"/>
      <c r="B332" s="15"/>
      <c r="C332" s="22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5"/>
      <c r="B333" s="15"/>
      <c r="C333" s="22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5"/>
      <c r="B334" s="15"/>
      <c r="C334" s="22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5"/>
      <c r="B335" s="15"/>
      <c r="C335" s="22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5"/>
      <c r="B336" s="15"/>
      <c r="C336" s="22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5"/>
      <c r="B337" s="15"/>
      <c r="C337" s="22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5"/>
      <c r="B338" s="15"/>
      <c r="C338" s="22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5"/>
      <c r="B339" s="15"/>
      <c r="C339" s="22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5"/>
      <c r="B340" s="15"/>
      <c r="C340" s="22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5"/>
      <c r="B341" s="15"/>
      <c r="C341" s="22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5"/>
      <c r="B342" s="15"/>
      <c r="C342" s="22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5"/>
      <c r="B343" s="15"/>
      <c r="C343" s="22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5"/>
      <c r="B344" s="15"/>
      <c r="C344" s="22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5"/>
      <c r="B345" s="15"/>
      <c r="C345" s="22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5"/>
      <c r="B346" s="15"/>
      <c r="C346" s="22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5"/>
      <c r="B347" s="15"/>
      <c r="C347" s="22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5"/>
      <c r="B348" s="15"/>
      <c r="C348" s="22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5"/>
      <c r="B349" s="15"/>
      <c r="C349" s="22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5"/>
      <c r="B350" s="15"/>
      <c r="C350" s="22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5"/>
      <c r="B351" s="15"/>
      <c r="C351" s="22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5"/>
      <c r="B352" s="15"/>
      <c r="C352" s="22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5"/>
      <c r="B353" s="15"/>
      <c r="C353" s="22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5"/>
      <c r="B354" s="15"/>
      <c r="C354" s="22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5"/>
      <c r="B355" s="15"/>
      <c r="C355" s="22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5"/>
      <c r="B356" s="15"/>
      <c r="C356" s="22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5"/>
      <c r="B357" s="15"/>
      <c r="C357" s="22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5"/>
      <c r="B358" s="15"/>
      <c r="C358" s="22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5"/>
      <c r="B359" s="15"/>
      <c r="C359" s="22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5"/>
      <c r="B360" s="15"/>
      <c r="C360" s="22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5"/>
      <c r="B361" s="15"/>
      <c r="C361" s="22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5"/>
      <c r="B362" s="15"/>
      <c r="C362" s="22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5"/>
      <c r="B363" s="15"/>
      <c r="C363" s="22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5"/>
      <c r="B364" s="15"/>
      <c r="C364" s="22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5"/>
      <c r="B365" s="15"/>
      <c r="C365" s="22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5"/>
      <c r="B366" s="15"/>
      <c r="C366" s="22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5"/>
      <c r="B367" s="15"/>
      <c r="C367" s="22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5"/>
      <c r="B368" s="15"/>
      <c r="C368" s="22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5"/>
      <c r="B369" s="15"/>
      <c r="C369" s="22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5"/>
      <c r="B370" s="15"/>
      <c r="C370" s="22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5"/>
      <c r="B371" s="15"/>
      <c r="C371" s="22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5"/>
      <c r="B372" s="15"/>
      <c r="C372" s="22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5"/>
      <c r="B373" s="15"/>
      <c r="C373" s="22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5"/>
      <c r="B374" s="15"/>
      <c r="C374" s="22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5"/>
      <c r="B375" s="15"/>
      <c r="C375" s="22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5"/>
      <c r="B376" s="15"/>
      <c r="C376" s="22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5"/>
      <c r="B377" s="15"/>
      <c r="C377" s="22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5"/>
      <c r="B378" s="15"/>
      <c r="C378" s="22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5"/>
      <c r="B379" s="15"/>
      <c r="C379" s="22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5"/>
      <c r="B380" s="15"/>
      <c r="C380" s="22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5"/>
      <c r="B381" s="15"/>
      <c r="C381" s="22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5"/>
      <c r="B382" s="15"/>
      <c r="C382" s="22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5"/>
      <c r="B383" s="15"/>
      <c r="C383" s="22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5"/>
      <c r="B384" s="15"/>
      <c r="C384" s="22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5"/>
      <c r="B385" s="15"/>
      <c r="C385" s="22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5"/>
      <c r="B386" s="15"/>
      <c r="C386" s="22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5"/>
      <c r="B387" s="15"/>
      <c r="C387" s="22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5"/>
      <c r="B388" s="15"/>
      <c r="C388" s="22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5"/>
      <c r="B389" s="15"/>
      <c r="C389" s="22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5"/>
      <c r="B390" s="15"/>
      <c r="C390" s="22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5"/>
      <c r="B391" s="15"/>
      <c r="C391" s="22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5"/>
      <c r="B392" s="15"/>
      <c r="C392" s="22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5"/>
      <c r="B393" s="15"/>
      <c r="C393" s="22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5"/>
      <c r="B394" s="15"/>
      <c r="C394" s="22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5"/>
      <c r="B395" s="15"/>
      <c r="C395" s="22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5"/>
      <c r="B396" s="15"/>
      <c r="C396" s="22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5"/>
      <c r="B397" s="15"/>
      <c r="C397" s="22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5"/>
      <c r="B398" s="15"/>
      <c r="C398" s="22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5"/>
      <c r="B399" s="15"/>
      <c r="C399" s="22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5"/>
      <c r="B400" s="15"/>
      <c r="C400" s="22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5"/>
      <c r="B401" s="15"/>
      <c r="C401" s="22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5"/>
      <c r="B402" s="15"/>
      <c r="C402" s="22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5"/>
      <c r="B403" s="15"/>
      <c r="C403" s="22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5"/>
      <c r="B404" s="15"/>
      <c r="C404" s="22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5"/>
      <c r="B405" s="15"/>
      <c r="C405" s="22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5"/>
      <c r="B406" s="15"/>
      <c r="C406" s="22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5"/>
      <c r="B407" s="15"/>
      <c r="C407" s="22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5"/>
      <c r="B408" s="15"/>
      <c r="C408" s="22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5"/>
      <c r="B409" s="15"/>
      <c r="C409" s="22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5"/>
      <c r="B410" s="15"/>
      <c r="C410" s="22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5"/>
      <c r="B411" s="15"/>
      <c r="C411" s="22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5"/>
      <c r="B412" s="15"/>
      <c r="C412" s="22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5"/>
      <c r="B413" s="15"/>
      <c r="C413" s="22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5"/>
      <c r="B414" s="15"/>
      <c r="C414" s="22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5"/>
      <c r="B415" s="15"/>
      <c r="C415" s="22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5"/>
      <c r="B416" s="15"/>
      <c r="C416" s="22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5"/>
      <c r="B417" s="15"/>
      <c r="C417" s="22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5"/>
      <c r="B418" s="15"/>
      <c r="C418" s="22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5"/>
      <c r="B419" s="15"/>
      <c r="C419" s="22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5"/>
      <c r="B420" s="15"/>
      <c r="C420" s="22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5"/>
      <c r="B421" s="15"/>
      <c r="C421" s="22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5"/>
      <c r="B422" s="15"/>
      <c r="C422" s="22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5"/>
      <c r="B423" s="15"/>
      <c r="C423" s="22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5"/>
      <c r="B424" s="15"/>
      <c r="C424" s="22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5"/>
      <c r="B425" s="15"/>
      <c r="C425" s="22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5"/>
      <c r="B426" s="15"/>
      <c r="C426" s="22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5"/>
      <c r="B427" s="15"/>
      <c r="C427" s="22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5"/>
      <c r="B428" s="15"/>
      <c r="C428" s="22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5"/>
      <c r="B429" s="15"/>
      <c r="C429" s="22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5"/>
      <c r="B430" s="15"/>
      <c r="C430" s="22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5"/>
      <c r="B431" s="15"/>
      <c r="C431" s="22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5"/>
      <c r="B432" s="15"/>
      <c r="C432" s="22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5"/>
      <c r="B433" s="15"/>
      <c r="C433" s="22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5"/>
      <c r="B434" s="15"/>
      <c r="C434" s="22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5"/>
      <c r="B435" s="15"/>
      <c r="C435" s="22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5"/>
      <c r="B436" s="15"/>
      <c r="C436" s="22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5"/>
      <c r="B437" s="15"/>
      <c r="C437" s="22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5"/>
      <c r="B438" s="15"/>
      <c r="C438" s="22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5"/>
      <c r="B439" s="15"/>
      <c r="C439" s="22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5"/>
      <c r="B440" s="15"/>
      <c r="C440" s="22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5"/>
      <c r="B441" s="15"/>
      <c r="C441" s="22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5"/>
      <c r="B442" s="15"/>
      <c r="C442" s="22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5"/>
      <c r="B443" s="15"/>
      <c r="C443" s="22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5"/>
      <c r="B444" s="15"/>
      <c r="C444" s="22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5"/>
      <c r="B445" s="15"/>
      <c r="C445" s="22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5"/>
      <c r="B446" s="15"/>
      <c r="C446" s="22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5"/>
      <c r="B447" s="15"/>
      <c r="C447" s="22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5"/>
      <c r="B448" s="15"/>
      <c r="C448" s="22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5"/>
      <c r="B449" s="15"/>
      <c r="C449" s="22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5"/>
      <c r="B450" s="15"/>
      <c r="C450" s="22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5"/>
      <c r="B451" s="15"/>
      <c r="C451" s="22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5"/>
      <c r="B452" s="15"/>
      <c r="C452" s="22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5"/>
      <c r="B453" s="15"/>
      <c r="C453" s="22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5"/>
      <c r="B454" s="15"/>
      <c r="C454" s="22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5"/>
      <c r="B455" s="15"/>
      <c r="C455" s="22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5"/>
      <c r="B456" s="15"/>
      <c r="C456" s="22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5"/>
      <c r="B457" s="15"/>
      <c r="C457" s="22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5"/>
      <c r="B458" s="15"/>
      <c r="C458" s="22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5"/>
      <c r="B459" s="15"/>
      <c r="C459" s="22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5"/>
      <c r="B460" s="15"/>
      <c r="C460" s="22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5"/>
      <c r="B461" s="15"/>
      <c r="C461" s="22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5"/>
      <c r="B462" s="15"/>
      <c r="C462" s="22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5"/>
      <c r="B463" s="15"/>
      <c r="C463" s="22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5"/>
      <c r="B464" s="15"/>
      <c r="C464" s="22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5"/>
      <c r="B465" s="15"/>
      <c r="C465" s="22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5"/>
      <c r="B466" s="15"/>
      <c r="C466" s="22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5"/>
      <c r="B467" s="15"/>
      <c r="C467" s="22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5"/>
      <c r="B468" s="15"/>
      <c r="C468" s="22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5"/>
      <c r="B469" s="15"/>
      <c r="C469" s="22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5"/>
      <c r="B470" s="15"/>
      <c r="C470" s="22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5"/>
      <c r="B471" s="15"/>
      <c r="C471" s="22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5"/>
      <c r="B472" s="15"/>
      <c r="C472" s="22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5"/>
      <c r="B473" s="15"/>
      <c r="C473" s="22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5"/>
      <c r="B474" s="15"/>
      <c r="C474" s="22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5"/>
      <c r="B475" s="15"/>
      <c r="C475" s="22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5"/>
      <c r="B476" s="15"/>
      <c r="C476" s="22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5"/>
      <c r="B477" s="15"/>
      <c r="C477" s="22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5"/>
      <c r="B478" s="15"/>
      <c r="C478" s="22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5"/>
      <c r="B479" s="15"/>
      <c r="C479" s="22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5"/>
      <c r="B480" s="15"/>
      <c r="C480" s="22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5"/>
      <c r="B481" s="15"/>
      <c r="C481" s="22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5"/>
      <c r="B482" s="15"/>
      <c r="C482" s="22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5"/>
      <c r="B483" s="15"/>
      <c r="C483" s="22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5"/>
      <c r="B484" s="15"/>
      <c r="C484" s="22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5"/>
      <c r="B485" s="15"/>
      <c r="C485" s="22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5"/>
      <c r="B486" s="15"/>
      <c r="C486" s="22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5"/>
      <c r="B487" s="15"/>
      <c r="C487" s="22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5"/>
      <c r="B488" s="15"/>
      <c r="C488" s="22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5"/>
      <c r="B489" s="15"/>
      <c r="C489" s="22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5"/>
      <c r="B490" s="15"/>
      <c r="C490" s="22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5"/>
      <c r="B491" s="15"/>
      <c r="C491" s="22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5"/>
      <c r="B492" s="15"/>
      <c r="C492" s="22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5"/>
      <c r="B493" s="15"/>
      <c r="C493" s="22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5"/>
      <c r="B494" s="15"/>
      <c r="C494" s="22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5"/>
      <c r="B495" s="15"/>
      <c r="C495" s="22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5"/>
      <c r="B496" s="15"/>
      <c r="C496" s="22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5"/>
      <c r="B497" s="15"/>
      <c r="C497" s="22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5"/>
      <c r="B498" s="15"/>
      <c r="C498" s="22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5"/>
      <c r="B499" s="15"/>
      <c r="C499" s="22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5"/>
      <c r="B500" s="15"/>
      <c r="C500" s="22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5"/>
      <c r="B501" s="15"/>
      <c r="C501" s="22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5"/>
      <c r="B502" s="15"/>
      <c r="C502" s="22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5"/>
      <c r="B503" s="15"/>
      <c r="C503" s="22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5"/>
      <c r="B504" s="15"/>
      <c r="C504" s="22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5"/>
      <c r="B505" s="15"/>
      <c r="C505" s="22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5"/>
      <c r="B506" s="15"/>
      <c r="C506" s="22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5"/>
      <c r="B507" s="15"/>
      <c r="C507" s="22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5"/>
      <c r="B508" s="15"/>
      <c r="C508" s="22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5"/>
      <c r="B509" s="15"/>
      <c r="C509" s="22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5"/>
      <c r="B510" s="15"/>
      <c r="C510" s="22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5"/>
      <c r="B511" s="15"/>
      <c r="C511" s="22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5"/>
      <c r="B512" s="15"/>
      <c r="C512" s="22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5"/>
      <c r="B513" s="15"/>
      <c r="C513" s="22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5"/>
      <c r="B514" s="15"/>
      <c r="C514" s="22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5"/>
      <c r="B515" s="15"/>
      <c r="C515" s="22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5"/>
      <c r="B516" s="15"/>
      <c r="C516" s="22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5"/>
      <c r="B517" s="15"/>
      <c r="C517" s="22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5"/>
      <c r="B518" s="15"/>
      <c r="C518" s="22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5"/>
      <c r="B519" s="15"/>
      <c r="C519" s="22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5"/>
      <c r="B520" s="15"/>
      <c r="C520" s="22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5"/>
      <c r="B521" s="15"/>
      <c r="C521" s="22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5"/>
      <c r="B522" s="15"/>
      <c r="C522" s="22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5"/>
      <c r="B523" s="15"/>
      <c r="C523" s="22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5"/>
      <c r="B524" s="15"/>
      <c r="C524" s="22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5"/>
      <c r="B525" s="15"/>
      <c r="C525" s="22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5"/>
      <c r="B526" s="15"/>
      <c r="C526" s="22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5"/>
      <c r="B527" s="15"/>
      <c r="C527" s="22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5"/>
      <c r="B528" s="15"/>
      <c r="C528" s="22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5"/>
      <c r="B529" s="15"/>
      <c r="C529" s="22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5"/>
      <c r="B530" s="15"/>
      <c r="C530" s="22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5"/>
      <c r="B531" s="15"/>
      <c r="C531" s="22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5"/>
      <c r="B532" s="15"/>
      <c r="C532" s="22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5"/>
      <c r="B533" s="15"/>
      <c r="C533" s="22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5"/>
      <c r="B534" s="15"/>
      <c r="C534" s="22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5"/>
      <c r="B535" s="15"/>
      <c r="C535" s="22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5"/>
      <c r="B536" s="15"/>
      <c r="C536" s="22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5"/>
      <c r="B537" s="15"/>
      <c r="C537" s="22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5"/>
      <c r="B538" s="15"/>
      <c r="C538" s="22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5"/>
      <c r="B539" s="15"/>
      <c r="C539" s="22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5"/>
      <c r="B540" s="15"/>
      <c r="C540" s="22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5"/>
      <c r="B541" s="15"/>
      <c r="C541" s="22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5"/>
      <c r="B542" s="15"/>
      <c r="C542" s="22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5"/>
      <c r="B543" s="15"/>
      <c r="C543" s="22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5"/>
      <c r="B544" s="15"/>
      <c r="C544" s="22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5"/>
      <c r="B545" s="15"/>
      <c r="C545" s="22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5"/>
      <c r="B546" s="15"/>
      <c r="C546" s="22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5"/>
      <c r="B547" s="15"/>
      <c r="C547" s="22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5"/>
      <c r="B548" s="15"/>
      <c r="C548" s="22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5"/>
      <c r="B549" s="15"/>
      <c r="C549" s="22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5"/>
      <c r="B550" s="15"/>
      <c r="C550" s="22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5"/>
      <c r="B551" s="15"/>
      <c r="C551" s="22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5"/>
      <c r="B552" s="15"/>
      <c r="C552" s="22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5"/>
      <c r="B553" s="15"/>
      <c r="C553" s="22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5"/>
      <c r="B554" s="15"/>
      <c r="C554" s="22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5"/>
      <c r="B555" s="15"/>
      <c r="C555" s="22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5"/>
      <c r="B556" s="15"/>
      <c r="C556" s="22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5"/>
      <c r="B557" s="15"/>
      <c r="C557" s="22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5"/>
      <c r="B558" s="15"/>
      <c r="C558" s="22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5"/>
      <c r="B559" s="15"/>
      <c r="C559" s="22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5"/>
      <c r="B560" s="15"/>
      <c r="C560" s="22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5"/>
      <c r="B561" s="15"/>
      <c r="C561" s="22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5"/>
      <c r="B562" s="15"/>
      <c r="C562" s="22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5"/>
      <c r="B563" s="15"/>
      <c r="C563" s="22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5"/>
      <c r="B564" s="15"/>
      <c r="C564" s="22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5"/>
      <c r="B565" s="15"/>
      <c r="C565" s="22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5"/>
      <c r="B566" s="15"/>
      <c r="C566" s="22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5"/>
      <c r="B567" s="15"/>
      <c r="C567" s="22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5"/>
      <c r="B568" s="15"/>
      <c r="C568" s="22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5"/>
      <c r="B569" s="15"/>
      <c r="C569" s="22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5"/>
      <c r="B570" s="15"/>
      <c r="C570" s="22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5"/>
      <c r="B571" s="15"/>
      <c r="C571" s="22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5"/>
      <c r="B572" s="15"/>
      <c r="C572" s="22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5"/>
      <c r="B573" s="15"/>
      <c r="C573" s="22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5"/>
      <c r="B574" s="15"/>
      <c r="C574" s="22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5"/>
      <c r="B575" s="15"/>
      <c r="C575" s="22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5"/>
      <c r="B576" s="15"/>
      <c r="C576" s="22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5"/>
      <c r="B577" s="15"/>
      <c r="C577" s="22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5"/>
      <c r="B578" s="15"/>
      <c r="C578" s="22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5"/>
      <c r="B579" s="15"/>
      <c r="C579" s="22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5"/>
      <c r="B580" s="15"/>
      <c r="C580" s="22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5"/>
      <c r="B581" s="15"/>
      <c r="C581" s="22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5"/>
      <c r="B582" s="15"/>
      <c r="C582" s="22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5"/>
      <c r="B583" s="15"/>
      <c r="C583" s="22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5"/>
      <c r="B584" s="15"/>
      <c r="C584" s="22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5"/>
      <c r="B585" s="15"/>
      <c r="C585" s="22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5"/>
      <c r="B586" s="15"/>
      <c r="C586" s="22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5"/>
      <c r="B587" s="15"/>
      <c r="C587" s="22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5"/>
      <c r="B588" s="15"/>
      <c r="C588" s="22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5"/>
      <c r="B589" s="15"/>
      <c r="C589" s="22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5"/>
      <c r="B590" s="15"/>
      <c r="C590" s="22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5"/>
      <c r="B591" s="15"/>
      <c r="C591" s="22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5"/>
      <c r="B592" s="15"/>
      <c r="C592" s="22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5"/>
      <c r="B593" s="15"/>
      <c r="C593" s="22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5"/>
      <c r="B594" s="15"/>
      <c r="C594" s="22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5"/>
      <c r="B595" s="15"/>
      <c r="C595" s="22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5"/>
      <c r="B596" s="15"/>
      <c r="C596" s="22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5"/>
      <c r="B597" s="15"/>
      <c r="C597" s="22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5"/>
      <c r="B598" s="15"/>
      <c r="C598" s="22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5"/>
      <c r="B599" s="15"/>
      <c r="C599" s="22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5"/>
      <c r="B600" s="15"/>
      <c r="C600" s="22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5"/>
      <c r="B601" s="15"/>
      <c r="C601" s="22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5"/>
      <c r="B602" s="15"/>
      <c r="C602" s="22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5"/>
      <c r="B603" s="15"/>
      <c r="C603" s="22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5"/>
      <c r="B604" s="15"/>
      <c r="C604" s="22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5"/>
      <c r="B605" s="15"/>
      <c r="C605" s="22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5"/>
      <c r="B606" s="15"/>
      <c r="C606" s="22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5"/>
      <c r="B607" s="15"/>
      <c r="C607" s="22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5"/>
      <c r="B608" s="15"/>
      <c r="C608" s="22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5"/>
      <c r="B609" s="15"/>
      <c r="C609" s="22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5"/>
      <c r="B610" s="15"/>
      <c r="C610" s="22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5"/>
      <c r="B611" s="15"/>
      <c r="C611" s="22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5"/>
      <c r="B612" s="15"/>
      <c r="C612" s="22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5"/>
      <c r="B613" s="15"/>
      <c r="C613" s="22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5"/>
      <c r="B614" s="15"/>
      <c r="C614" s="22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5"/>
      <c r="B615" s="15"/>
      <c r="C615" s="22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5"/>
      <c r="B616" s="15"/>
      <c r="C616" s="22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5"/>
      <c r="B617" s="15"/>
      <c r="C617" s="22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5"/>
      <c r="B618" s="15"/>
      <c r="C618" s="22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5"/>
      <c r="B619" s="15"/>
      <c r="C619" s="22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5"/>
      <c r="B620" s="15"/>
      <c r="C620" s="22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5"/>
      <c r="B621" s="15"/>
      <c r="C621" s="22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5"/>
      <c r="B622" s="15"/>
      <c r="C622" s="22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5"/>
      <c r="B623" s="15"/>
      <c r="C623" s="22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5"/>
      <c r="B624" s="15"/>
      <c r="C624" s="22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5"/>
      <c r="B625" s="15"/>
      <c r="C625" s="22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5"/>
      <c r="B626" s="15"/>
      <c r="C626" s="22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5"/>
      <c r="B627" s="15"/>
      <c r="C627" s="22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5"/>
      <c r="B628" s="15"/>
      <c r="C628" s="22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5"/>
      <c r="B629" s="15"/>
      <c r="C629" s="22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5"/>
      <c r="B630" s="15"/>
      <c r="C630" s="22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5"/>
      <c r="B631" s="15"/>
      <c r="C631" s="22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5"/>
      <c r="B632" s="15"/>
      <c r="C632" s="22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5"/>
      <c r="B633" s="15"/>
      <c r="C633" s="22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5"/>
      <c r="B634" s="15"/>
      <c r="C634" s="22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5"/>
      <c r="B635" s="15"/>
      <c r="C635" s="22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5"/>
      <c r="B636" s="15"/>
      <c r="C636" s="22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5"/>
      <c r="B637" s="15"/>
      <c r="C637" s="22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5"/>
      <c r="B638" s="15"/>
      <c r="C638" s="22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5"/>
      <c r="B639" s="15"/>
      <c r="C639" s="22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5"/>
      <c r="B640" s="15"/>
      <c r="C640" s="22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5"/>
      <c r="B641" s="15"/>
      <c r="C641" s="22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5"/>
      <c r="B642" s="15"/>
      <c r="C642" s="22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5"/>
      <c r="B643" s="15"/>
      <c r="C643" s="22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5"/>
      <c r="B644" s="15"/>
      <c r="C644" s="22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5"/>
      <c r="B645" s="15"/>
      <c r="C645" s="22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5"/>
      <c r="B646" s="15"/>
      <c r="C646" s="22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5"/>
      <c r="B647" s="15"/>
      <c r="C647" s="22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5"/>
      <c r="B648" s="15"/>
      <c r="C648" s="22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5"/>
      <c r="B649" s="15"/>
      <c r="C649" s="22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5"/>
      <c r="B650" s="15"/>
      <c r="C650" s="22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5"/>
      <c r="B651" s="15"/>
      <c r="C651" s="22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5"/>
      <c r="B652" s="15"/>
      <c r="C652" s="22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5"/>
      <c r="B653" s="15"/>
      <c r="C653" s="22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5"/>
      <c r="B654" s="15"/>
      <c r="C654" s="22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5"/>
      <c r="B655" s="15"/>
      <c r="C655" s="22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5"/>
      <c r="B656" s="15"/>
      <c r="C656" s="22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5"/>
      <c r="B657" s="15"/>
      <c r="C657" s="22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5"/>
      <c r="B658" s="15"/>
      <c r="C658" s="22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5"/>
      <c r="B659" s="15"/>
      <c r="C659" s="22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5"/>
      <c r="B660" s="15"/>
      <c r="C660" s="22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5"/>
      <c r="B661" s="15"/>
      <c r="C661" s="22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5"/>
      <c r="B662" s="15"/>
      <c r="C662" s="22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5"/>
      <c r="B663" s="15"/>
      <c r="C663" s="22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5"/>
      <c r="B664" s="15"/>
      <c r="C664" s="22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5"/>
      <c r="B665" s="15"/>
      <c r="C665" s="22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5"/>
      <c r="B666" s="15"/>
      <c r="C666" s="22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5"/>
      <c r="B667" s="15"/>
      <c r="C667" s="22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5"/>
      <c r="B668" s="15"/>
      <c r="C668" s="22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5"/>
      <c r="B669" s="15"/>
      <c r="C669" s="22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5"/>
      <c r="B670" s="15"/>
      <c r="C670" s="22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5"/>
      <c r="B671" s="15"/>
      <c r="C671" s="22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5"/>
      <c r="B672" s="15"/>
      <c r="C672" s="22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5"/>
      <c r="B673" s="15"/>
      <c r="C673" s="22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5"/>
      <c r="B674" s="15"/>
      <c r="C674" s="22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5"/>
      <c r="B675" s="15"/>
      <c r="C675" s="22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5"/>
      <c r="B676" s="15"/>
      <c r="C676" s="22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5"/>
      <c r="B677" s="15"/>
      <c r="C677" s="22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5"/>
      <c r="B678" s="15"/>
      <c r="C678" s="22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5"/>
      <c r="B679" s="15"/>
      <c r="C679" s="22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5"/>
      <c r="B680" s="15"/>
      <c r="C680" s="22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5"/>
      <c r="B681" s="15"/>
      <c r="C681" s="22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5"/>
      <c r="B682" s="15"/>
      <c r="C682" s="22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5"/>
      <c r="B683" s="15"/>
      <c r="C683" s="22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5"/>
      <c r="B684" s="15"/>
      <c r="C684" s="22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5"/>
      <c r="B685" s="15"/>
      <c r="C685" s="22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5"/>
      <c r="B686" s="15"/>
      <c r="C686" s="22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5"/>
      <c r="B687" s="15"/>
      <c r="C687" s="22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5"/>
      <c r="B688" s="15"/>
      <c r="C688" s="22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5"/>
      <c r="B689" s="15"/>
      <c r="C689" s="22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5"/>
      <c r="B690" s="15"/>
      <c r="C690" s="22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5"/>
      <c r="B691" s="15"/>
      <c r="C691" s="22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5"/>
      <c r="B692" s="15"/>
      <c r="C692" s="22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5"/>
      <c r="B693" s="15"/>
      <c r="C693" s="22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5"/>
      <c r="B694" s="15"/>
      <c r="C694" s="22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5"/>
      <c r="B695" s="15"/>
      <c r="C695" s="22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5"/>
      <c r="B696" s="15"/>
      <c r="C696" s="22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5"/>
      <c r="B697" s="15"/>
      <c r="C697" s="22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5"/>
      <c r="B698" s="15"/>
      <c r="C698" s="22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5"/>
      <c r="B699" s="15"/>
      <c r="C699" s="22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5"/>
      <c r="B700" s="15"/>
      <c r="C700" s="22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5"/>
      <c r="B701" s="15"/>
      <c r="C701" s="22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5"/>
      <c r="B702" s="15"/>
      <c r="C702" s="22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5"/>
      <c r="B703" s="15"/>
      <c r="C703" s="22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5"/>
      <c r="B704" s="15"/>
      <c r="C704" s="22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5"/>
      <c r="B705" s="15"/>
      <c r="C705" s="22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5"/>
      <c r="B706" s="15"/>
      <c r="C706" s="22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5"/>
      <c r="B707" s="15"/>
      <c r="C707" s="22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5"/>
      <c r="B708" s="15"/>
      <c r="C708" s="22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5"/>
      <c r="B709" s="15"/>
      <c r="C709" s="22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5"/>
      <c r="B710" s="15"/>
      <c r="C710" s="22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5"/>
      <c r="B711" s="15"/>
      <c r="C711" s="22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5"/>
      <c r="B712" s="15"/>
      <c r="C712" s="22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5"/>
      <c r="B713" s="15"/>
      <c r="C713" s="22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5"/>
      <c r="B714" s="15"/>
      <c r="C714" s="22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5"/>
      <c r="B715" s="15"/>
      <c r="C715" s="22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5"/>
      <c r="B716" s="15"/>
      <c r="C716" s="22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5"/>
      <c r="B717" s="15"/>
      <c r="C717" s="22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5"/>
      <c r="B718" s="15"/>
      <c r="C718" s="22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5"/>
      <c r="B719" s="15"/>
      <c r="C719" s="22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5"/>
      <c r="B720" s="15"/>
      <c r="C720" s="22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5"/>
      <c r="B721" s="15"/>
      <c r="C721" s="22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5"/>
      <c r="B722" s="15"/>
      <c r="C722" s="22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5"/>
      <c r="B723" s="15"/>
      <c r="C723" s="22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5"/>
      <c r="B724" s="15"/>
      <c r="C724" s="22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5"/>
      <c r="B725" s="15"/>
      <c r="C725" s="22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5"/>
      <c r="B726" s="15"/>
      <c r="C726" s="22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5"/>
      <c r="B727" s="15"/>
      <c r="C727" s="22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5"/>
      <c r="B728" s="15"/>
      <c r="C728" s="22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5"/>
      <c r="B729" s="15"/>
      <c r="C729" s="22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5"/>
      <c r="B730" s="15"/>
      <c r="C730" s="22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5"/>
      <c r="B731" s="15"/>
      <c r="C731" s="22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5"/>
      <c r="B732" s="15"/>
      <c r="C732" s="22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5"/>
      <c r="B733" s="15"/>
      <c r="C733" s="22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5"/>
      <c r="B734" s="15"/>
      <c r="C734" s="22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5"/>
      <c r="B735" s="15"/>
      <c r="C735" s="22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5"/>
      <c r="B736" s="15"/>
      <c r="C736" s="22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5"/>
      <c r="B737" s="15"/>
      <c r="C737" s="22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5"/>
      <c r="B738" s="15"/>
      <c r="C738" s="22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5"/>
      <c r="B739" s="15"/>
      <c r="C739" s="22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5"/>
      <c r="B740" s="15"/>
      <c r="C740" s="22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5"/>
      <c r="B741" s="15"/>
      <c r="C741" s="22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5"/>
      <c r="B742" s="15"/>
      <c r="C742" s="22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5"/>
      <c r="B743" s="15"/>
      <c r="C743" s="22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5"/>
      <c r="B744" s="15"/>
      <c r="C744" s="22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5"/>
      <c r="B745" s="15"/>
      <c r="C745" s="22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5"/>
      <c r="B746" s="15"/>
      <c r="C746" s="22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5"/>
      <c r="B747" s="15"/>
      <c r="C747" s="22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5"/>
      <c r="B748" s="15"/>
      <c r="C748" s="22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5"/>
      <c r="B749" s="15"/>
      <c r="C749" s="22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5"/>
      <c r="B750" s="15"/>
      <c r="C750" s="22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5"/>
      <c r="B751" s="15"/>
      <c r="C751" s="22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5"/>
      <c r="B752" s="15"/>
      <c r="C752" s="22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5"/>
      <c r="B753" s="15"/>
      <c r="C753" s="22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5"/>
      <c r="B754" s="15"/>
      <c r="C754" s="22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5"/>
      <c r="B755" s="15"/>
      <c r="C755" s="22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5"/>
      <c r="B756" s="15"/>
      <c r="C756" s="22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5"/>
      <c r="B757" s="15"/>
      <c r="C757" s="22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5"/>
      <c r="B758" s="15"/>
      <c r="C758" s="22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5"/>
      <c r="B759" s="15"/>
      <c r="C759" s="22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5"/>
      <c r="B760" s="15"/>
      <c r="C760" s="22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5"/>
      <c r="B761" s="15"/>
      <c r="C761" s="22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5"/>
      <c r="B762" s="15"/>
      <c r="C762" s="22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5"/>
      <c r="B763" s="15"/>
      <c r="C763" s="22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5"/>
      <c r="B764" s="15"/>
      <c r="C764" s="22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5"/>
      <c r="B765" s="15"/>
      <c r="C765" s="22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5"/>
      <c r="B766" s="15"/>
      <c r="C766" s="22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5"/>
      <c r="B767" s="15"/>
      <c r="C767" s="22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5"/>
      <c r="B768" s="15"/>
      <c r="C768" s="22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5"/>
      <c r="B769" s="15"/>
      <c r="C769" s="22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5"/>
      <c r="B770" s="15"/>
      <c r="C770" s="22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5"/>
      <c r="B771" s="15"/>
      <c r="C771" s="22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5"/>
      <c r="B772" s="15"/>
      <c r="C772" s="22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5"/>
      <c r="B773" s="15"/>
      <c r="C773" s="22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5"/>
      <c r="B774" s="15"/>
      <c r="C774" s="22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5"/>
      <c r="B775" s="15"/>
      <c r="C775" s="22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5"/>
      <c r="B776" s="15"/>
      <c r="C776" s="22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5"/>
      <c r="B777" s="15"/>
      <c r="C777" s="22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5"/>
      <c r="B778" s="15"/>
      <c r="C778" s="22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5"/>
      <c r="B779" s="15"/>
      <c r="C779" s="22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5"/>
      <c r="B780" s="15"/>
      <c r="C780" s="22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5"/>
      <c r="B781" s="15"/>
      <c r="C781" s="22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5"/>
      <c r="B782" s="15"/>
      <c r="C782" s="22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5"/>
      <c r="B783" s="15"/>
      <c r="C783" s="22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5"/>
      <c r="B784" s="15"/>
      <c r="C784" s="22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5"/>
      <c r="B785" s="15"/>
      <c r="C785" s="22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5"/>
      <c r="B786" s="15"/>
      <c r="C786" s="22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5"/>
      <c r="B787" s="15"/>
      <c r="C787" s="22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5"/>
      <c r="B788" s="15"/>
      <c r="C788" s="22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5"/>
      <c r="B789" s="15"/>
      <c r="C789" s="22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5"/>
      <c r="B790" s="15"/>
      <c r="C790" s="22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5"/>
      <c r="B791" s="15"/>
      <c r="C791" s="22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5"/>
      <c r="B792" s="15"/>
      <c r="C792" s="22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5"/>
      <c r="B793" s="15"/>
      <c r="C793" s="22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5"/>
      <c r="B794" s="15"/>
      <c r="C794" s="22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5"/>
      <c r="B795" s="15"/>
      <c r="C795" s="22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5"/>
      <c r="B796" s="15"/>
      <c r="C796" s="22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5"/>
      <c r="B797" s="15"/>
      <c r="C797" s="22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5"/>
      <c r="B798" s="15"/>
      <c r="C798" s="22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5"/>
      <c r="B799" s="15"/>
      <c r="C799" s="22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5"/>
      <c r="B800" s="15"/>
      <c r="C800" s="22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5"/>
      <c r="B801" s="15"/>
      <c r="C801" s="22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5"/>
      <c r="B802" s="15"/>
      <c r="C802" s="22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5"/>
      <c r="B803" s="15"/>
      <c r="C803" s="22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5"/>
      <c r="B804" s="15"/>
      <c r="C804" s="22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5"/>
      <c r="B805" s="15"/>
      <c r="C805" s="22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5"/>
      <c r="B806" s="15"/>
      <c r="C806" s="22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5"/>
      <c r="B807" s="15"/>
      <c r="C807" s="22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5"/>
      <c r="B808" s="15"/>
      <c r="C808" s="22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5"/>
      <c r="B809" s="15"/>
      <c r="C809" s="22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5"/>
      <c r="B810" s="15"/>
      <c r="C810" s="22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5"/>
      <c r="B811" s="15"/>
      <c r="C811" s="22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5"/>
      <c r="B812" s="15"/>
      <c r="C812" s="22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5"/>
      <c r="B813" s="15"/>
      <c r="C813" s="22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5"/>
      <c r="B814" s="15"/>
      <c r="C814" s="22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5"/>
      <c r="B815" s="15"/>
      <c r="C815" s="22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5"/>
      <c r="B816" s="15"/>
      <c r="C816" s="22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5"/>
      <c r="B817" s="15"/>
      <c r="C817" s="22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5"/>
      <c r="B818" s="15"/>
      <c r="C818" s="22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5"/>
      <c r="B819" s="15"/>
      <c r="C819" s="22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5"/>
      <c r="B820" s="15"/>
      <c r="C820" s="22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5"/>
      <c r="B821" s="15"/>
      <c r="C821" s="22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5"/>
      <c r="B822" s="15"/>
      <c r="C822" s="22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5"/>
      <c r="B823" s="15"/>
      <c r="C823" s="22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5"/>
      <c r="B824" s="15"/>
      <c r="C824" s="22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5"/>
      <c r="B825" s="15"/>
      <c r="C825" s="22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5"/>
      <c r="B826" s="15"/>
      <c r="C826" s="22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5"/>
      <c r="B827" s="15"/>
      <c r="C827" s="22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5"/>
      <c r="B828" s="15"/>
      <c r="C828" s="22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5"/>
      <c r="B829" s="15"/>
      <c r="C829" s="22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5"/>
      <c r="B830" s="15"/>
      <c r="C830" s="22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5"/>
      <c r="B831" s="15"/>
      <c r="C831" s="22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5"/>
      <c r="B832" s="15"/>
      <c r="C832" s="22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5"/>
      <c r="B833" s="15"/>
      <c r="C833" s="22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5"/>
      <c r="B834" s="15"/>
      <c r="C834" s="22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5"/>
      <c r="B835" s="15"/>
      <c r="C835" s="22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5"/>
      <c r="B836" s="15"/>
      <c r="C836" s="22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5"/>
      <c r="B837" s="15"/>
      <c r="C837" s="22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5"/>
      <c r="B838" s="15"/>
      <c r="C838" s="22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5"/>
      <c r="B839" s="15"/>
      <c r="C839" s="22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5"/>
      <c r="B840" s="15"/>
      <c r="C840" s="22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5"/>
      <c r="B841" s="15"/>
      <c r="C841" s="22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5"/>
      <c r="B842" s="15"/>
      <c r="C842" s="22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5"/>
      <c r="B843" s="15"/>
      <c r="C843" s="22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5"/>
      <c r="B844" s="15"/>
      <c r="C844" s="22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5"/>
      <c r="B845" s="15"/>
      <c r="C845" s="22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5"/>
      <c r="B846" s="15"/>
      <c r="C846" s="22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5"/>
      <c r="B847" s="15"/>
      <c r="C847" s="22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5"/>
      <c r="B848" s="15"/>
      <c r="C848" s="22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5"/>
      <c r="B849" s="15"/>
      <c r="C849" s="22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5"/>
      <c r="B850" s="15"/>
      <c r="C850" s="22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5"/>
      <c r="B851" s="15"/>
      <c r="C851" s="22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5"/>
      <c r="B852" s="15"/>
      <c r="C852" s="22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5"/>
      <c r="B853" s="15"/>
      <c r="C853" s="22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5"/>
      <c r="B854" s="15"/>
      <c r="C854" s="22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5"/>
      <c r="B855" s="15"/>
      <c r="C855" s="22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5"/>
      <c r="B856" s="15"/>
      <c r="C856" s="22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5"/>
      <c r="B857" s="15"/>
      <c r="C857" s="22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5"/>
      <c r="B858" s="15"/>
      <c r="C858" s="22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5"/>
      <c r="B859" s="15"/>
      <c r="C859" s="22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5"/>
      <c r="B860" s="15"/>
      <c r="C860" s="22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5"/>
      <c r="B861" s="15"/>
      <c r="C861" s="22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5"/>
      <c r="B862" s="15"/>
      <c r="C862" s="22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5"/>
      <c r="B863" s="15"/>
      <c r="C863" s="22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5"/>
      <c r="B864" s="15"/>
      <c r="C864" s="22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5"/>
      <c r="B865" s="15"/>
      <c r="C865" s="22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5"/>
      <c r="B866" s="15"/>
      <c r="C866" s="22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5"/>
      <c r="B867" s="15"/>
      <c r="C867" s="22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5"/>
      <c r="B868" s="15"/>
      <c r="C868" s="22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5"/>
      <c r="B869" s="15"/>
      <c r="C869" s="22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5"/>
      <c r="B870" s="15"/>
      <c r="C870" s="22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5"/>
      <c r="B871" s="15"/>
      <c r="C871" s="22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5"/>
      <c r="B872" s="15"/>
      <c r="C872" s="22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5"/>
      <c r="B873" s="15"/>
      <c r="C873" s="22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5"/>
      <c r="B874" s="15"/>
      <c r="C874" s="22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5"/>
      <c r="B875" s="15"/>
      <c r="C875" s="22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5"/>
      <c r="B876" s="15"/>
      <c r="C876" s="22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5"/>
      <c r="B877" s="15"/>
      <c r="C877" s="22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5"/>
      <c r="B878" s="15"/>
      <c r="C878" s="22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5"/>
      <c r="B879" s="15"/>
      <c r="C879" s="22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5"/>
      <c r="B880" s="15"/>
      <c r="C880" s="22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5"/>
      <c r="B881" s="15"/>
      <c r="C881" s="22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5"/>
      <c r="B882" s="15"/>
      <c r="C882" s="22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5"/>
      <c r="B883" s="15"/>
      <c r="C883" s="22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5"/>
      <c r="B884" s="15"/>
      <c r="C884" s="22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5"/>
      <c r="B885" s="15"/>
      <c r="C885" s="22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5"/>
      <c r="B886" s="15"/>
      <c r="C886" s="22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5"/>
      <c r="B887" s="15"/>
      <c r="C887" s="22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5"/>
      <c r="B888" s="15"/>
      <c r="C888" s="22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5"/>
      <c r="B889" s="15"/>
      <c r="C889" s="22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5"/>
      <c r="B890" s="15"/>
      <c r="C890" s="22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5"/>
      <c r="B891" s="15"/>
      <c r="C891" s="22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5"/>
      <c r="B892" s="15"/>
      <c r="C892" s="22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5"/>
      <c r="B893" s="15"/>
      <c r="C893" s="22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5"/>
      <c r="B894" s="15"/>
      <c r="C894" s="22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5"/>
      <c r="B895" s="15"/>
      <c r="C895" s="22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5"/>
      <c r="B896" s="15"/>
      <c r="C896" s="22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5"/>
      <c r="B897" s="15"/>
      <c r="C897" s="22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5"/>
      <c r="B898" s="15"/>
      <c r="C898" s="22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5"/>
      <c r="B899" s="15"/>
      <c r="C899" s="22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5"/>
      <c r="B900" s="15"/>
      <c r="C900" s="22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5"/>
      <c r="B901" s="15"/>
      <c r="C901" s="22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5"/>
      <c r="B902" s="15"/>
      <c r="C902" s="22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5"/>
      <c r="B903" s="15"/>
      <c r="C903" s="22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5"/>
      <c r="B904" s="15"/>
      <c r="C904" s="22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5"/>
      <c r="B905" s="15"/>
      <c r="C905" s="22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5"/>
      <c r="B906" s="15"/>
      <c r="C906" s="22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5"/>
      <c r="B907" s="15"/>
      <c r="C907" s="22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5"/>
      <c r="B908" s="15"/>
      <c r="C908" s="22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5"/>
      <c r="B909" s="15"/>
      <c r="C909" s="22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5"/>
      <c r="B910" s="15"/>
      <c r="C910" s="22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5"/>
      <c r="B911" s="15"/>
      <c r="C911" s="22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5"/>
      <c r="B912" s="15"/>
      <c r="C912" s="22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5"/>
      <c r="B913" s="15"/>
      <c r="C913" s="22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5"/>
      <c r="B914" s="15"/>
      <c r="C914" s="22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5"/>
      <c r="B915" s="15"/>
      <c r="C915" s="22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5"/>
      <c r="B916" s="15"/>
      <c r="C916" s="22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5"/>
      <c r="B917" s="15"/>
      <c r="C917" s="22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5"/>
      <c r="B918" s="15"/>
      <c r="C918" s="22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5"/>
      <c r="B919" s="15"/>
      <c r="C919" s="22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5"/>
      <c r="B920" s="15"/>
      <c r="C920" s="22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5"/>
      <c r="B921" s="15"/>
      <c r="C921" s="22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5"/>
      <c r="B922" s="15"/>
      <c r="C922" s="22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5"/>
      <c r="B923" s="15"/>
      <c r="C923" s="22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5"/>
      <c r="B924" s="15"/>
      <c r="C924" s="22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5"/>
      <c r="B925" s="15"/>
      <c r="C925" s="22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5"/>
      <c r="B926" s="15"/>
      <c r="C926" s="22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5"/>
      <c r="B927" s="15"/>
      <c r="C927" s="22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5"/>
      <c r="B928" s="15"/>
      <c r="C928" s="22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5"/>
      <c r="B929" s="15"/>
      <c r="C929" s="22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5"/>
      <c r="B930" s="15"/>
      <c r="C930" s="22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5"/>
      <c r="B931" s="15"/>
      <c r="C931" s="22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5"/>
      <c r="B932" s="15"/>
      <c r="C932" s="22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5"/>
      <c r="B933" s="15"/>
      <c r="C933" s="22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5"/>
      <c r="B934" s="15"/>
      <c r="C934" s="22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5"/>
      <c r="B935" s="15"/>
      <c r="C935" s="22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5"/>
      <c r="B936" s="15"/>
      <c r="C936" s="22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5"/>
      <c r="B937" s="15"/>
      <c r="C937" s="22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5"/>
      <c r="B938" s="15"/>
      <c r="C938" s="22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5"/>
      <c r="B939" s="15"/>
      <c r="C939" s="22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5"/>
      <c r="B940" s="15"/>
      <c r="C940" s="22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5"/>
      <c r="B941" s="15"/>
      <c r="C941" s="22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5"/>
      <c r="B942" s="15"/>
      <c r="C942" s="22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5"/>
      <c r="B943" s="15"/>
      <c r="C943" s="22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5"/>
      <c r="B944" s="15"/>
      <c r="C944" s="22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5"/>
      <c r="B945" s="15"/>
      <c r="C945" s="22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5"/>
      <c r="B946" s="15"/>
      <c r="C946" s="22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5"/>
      <c r="B947" s="15"/>
      <c r="C947" s="22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5"/>
      <c r="B948" s="15"/>
      <c r="C948" s="22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5"/>
      <c r="B949" s="15"/>
      <c r="C949" s="22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5"/>
      <c r="B950" s="15"/>
      <c r="C950" s="22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5"/>
      <c r="B951" s="15"/>
      <c r="C951" s="22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5"/>
      <c r="B952" s="15"/>
      <c r="C952" s="22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5"/>
      <c r="B953" s="15"/>
      <c r="C953" s="22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5"/>
      <c r="B954" s="15"/>
      <c r="C954" s="22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5"/>
      <c r="B955" s="15"/>
      <c r="C955" s="22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5"/>
      <c r="B956" s="15"/>
      <c r="C956" s="22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5"/>
      <c r="B957" s="15"/>
      <c r="C957" s="22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5"/>
      <c r="B958" s="15"/>
      <c r="C958" s="22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5"/>
      <c r="B959" s="15"/>
      <c r="C959" s="22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5"/>
      <c r="B960" s="15"/>
      <c r="C960" s="22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5"/>
      <c r="B961" s="15"/>
      <c r="C961" s="22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5"/>
      <c r="B962" s="15"/>
      <c r="C962" s="22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5"/>
      <c r="B963" s="15"/>
      <c r="C963" s="22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5"/>
      <c r="B964" s="15"/>
      <c r="C964" s="22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5"/>
      <c r="B965" s="15"/>
      <c r="C965" s="22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5"/>
      <c r="B966" s="15"/>
      <c r="C966" s="22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5"/>
      <c r="B967" s="15"/>
      <c r="C967" s="22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5"/>
      <c r="B968" s="15"/>
      <c r="C968" s="22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5"/>
      <c r="B969" s="15"/>
      <c r="C969" s="22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5"/>
      <c r="B970" s="15"/>
      <c r="C970" s="22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5"/>
      <c r="B971" s="15"/>
      <c r="C971" s="22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5"/>
      <c r="B972" s="15"/>
      <c r="C972" s="22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5"/>
      <c r="B973" s="15"/>
      <c r="C973" s="22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5"/>
      <c r="B974" s="15"/>
      <c r="C974" s="22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5"/>
      <c r="B975" s="15"/>
      <c r="C975" s="22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5"/>
      <c r="B976" s="15"/>
      <c r="C976" s="22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5"/>
      <c r="B977" s="15"/>
      <c r="C977" s="22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5"/>
      <c r="B978" s="15"/>
      <c r="C978" s="22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5"/>
      <c r="B979" s="15"/>
      <c r="C979" s="22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5"/>
      <c r="B980" s="15"/>
      <c r="C980" s="22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5"/>
      <c r="B981" s="15"/>
      <c r="C981" s="22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5"/>
      <c r="B982" s="15"/>
      <c r="C982" s="22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5"/>
      <c r="B983" s="15"/>
      <c r="C983" s="22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5"/>
      <c r="B984" s="15"/>
      <c r="C984" s="22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5"/>
      <c r="B985" s="15"/>
      <c r="C985" s="22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5"/>
      <c r="B986" s="15"/>
      <c r="C986" s="22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5"/>
      <c r="B987" s="15"/>
      <c r="C987" s="22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5"/>
      <c r="B988" s="15"/>
      <c r="C988" s="22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5"/>
      <c r="B989" s="15"/>
      <c r="C989" s="22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5"/>
      <c r="B990" s="15"/>
      <c r="C990" s="22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5"/>
      <c r="B991" s="15"/>
      <c r="C991" s="22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5"/>
      <c r="B992" s="15"/>
      <c r="C992" s="22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5"/>
      <c r="B993" s="15"/>
      <c r="C993" s="22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5"/>
      <c r="B994" s="15"/>
      <c r="C994" s="22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5"/>
      <c r="B995" s="15"/>
      <c r="C995" s="22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5"/>
      <c r="B996" s="15"/>
      <c r="C996" s="22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5"/>
      <c r="B997" s="15"/>
      <c r="C997" s="22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5"/>
      <c r="B998" s="15"/>
      <c r="C998" s="22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5"/>
      <c r="B999" s="15"/>
      <c r="C999" s="22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5"/>
      <c r="B1000" s="15"/>
      <c r="C1000" s="22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.71"/>
    <col customWidth="1" min="3" max="3" width="20.71"/>
    <col customWidth="1" min="4" max="4" width="10.71"/>
    <col customWidth="1" min="5" max="13" width="15.71"/>
    <col customWidth="1" min="14" max="14" width="2.71"/>
    <col customWidth="1" min="15" max="15" width="27.71"/>
    <col customWidth="1" min="16" max="16" width="10.71"/>
    <col customWidth="1" min="17" max="17" width="2.71"/>
    <col customWidth="1" min="18" max="18" width="27.71"/>
    <col customWidth="1" min="19" max="26" width="10.7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2" t="s">
        <v>0</v>
      </c>
      <c r="D2" s="3"/>
      <c r="E2" s="3"/>
      <c r="F2" s="3"/>
      <c r="G2" s="3"/>
      <c r="H2" s="3"/>
      <c r="I2" s="4" t="s">
        <v>1</v>
      </c>
      <c r="J2" s="4"/>
      <c r="K2" s="5"/>
      <c r="L2" s="5"/>
      <c r="M2" s="5">
        <v>1.0</v>
      </c>
      <c r="N2" s="1"/>
      <c r="O2" s="1"/>
      <c r="P2" s="1"/>
      <c r="Q2" s="1"/>
      <c r="R2" s="1"/>
      <c r="S2" s="1"/>
      <c r="T2" s="49"/>
      <c r="U2" s="1"/>
      <c r="V2" s="1"/>
      <c r="W2" s="1"/>
      <c r="X2" s="1"/>
      <c r="Y2" s="1"/>
      <c r="Z2" s="1"/>
    </row>
    <row r="3" ht="12.75" customHeight="1">
      <c r="A3" s="1"/>
      <c r="B3" s="1"/>
      <c r="C3" s="6" t="s">
        <v>229</v>
      </c>
      <c r="D3" s="3"/>
      <c r="E3" s="3"/>
      <c r="F3" s="3"/>
      <c r="G3" s="3"/>
      <c r="H3" s="3"/>
      <c r="I3" s="7"/>
      <c r="J3" s="7"/>
      <c r="K3" s="7"/>
      <c r="L3" s="7"/>
      <c r="M3" s="8" t="str">
        <f>IF(M2=1,"Base Case", IF(M2=2,"Bull Case", IF(M2=3,"Bear Case","-")))</f>
        <v>Base Case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50">
        <v>1.0</v>
      </c>
      <c r="I4" s="50">
        <v>1.0</v>
      </c>
      <c r="J4" s="50">
        <f t="shared" ref="J4:M4" si="1">+I4+1</f>
        <v>2</v>
      </c>
      <c r="K4" s="50">
        <f t="shared" si="1"/>
        <v>3</v>
      </c>
      <c r="L4" s="50">
        <f t="shared" si="1"/>
        <v>4</v>
      </c>
      <c r="M4" s="50">
        <f t="shared" si="1"/>
        <v>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9" t="s">
        <v>230</v>
      </c>
      <c r="D5" s="9"/>
      <c r="E5" s="9"/>
      <c r="F5" s="51"/>
      <c r="G5" s="51"/>
      <c r="H5" s="51"/>
      <c r="I5" s="51" t="s">
        <v>231</v>
      </c>
      <c r="J5" s="51" t="s">
        <v>232</v>
      </c>
      <c r="K5" s="51" t="s">
        <v>233</v>
      </c>
      <c r="L5" s="51" t="s">
        <v>234</v>
      </c>
      <c r="M5" s="51" t="s">
        <v>235</v>
      </c>
      <c r="N5" s="1"/>
      <c r="O5" s="9" t="s">
        <v>236</v>
      </c>
      <c r="P5" s="51" t="s">
        <v>231</v>
      </c>
      <c r="Q5" s="1"/>
      <c r="R5" s="9" t="s">
        <v>237</v>
      </c>
      <c r="S5" s="51" t="s">
        <v>238</v>
      </c>
      <c r="T5" s="51" t="s">
        <v>239</v>
      </c>
      <c r="U5" s="51" t="s">
        <v>240</v>
      </c>
      <c r="V5" s="51" t="s">
        <v>241</v>
      </c>
      <c r="W5" s="1"/>
      <c r="X5" s="1"/>
      <c r="Y5" s="1"/>
      <c r="Z5" s="1"/>
    </row>
    <row r="6" ht="12.75" customHeight="1">
      <c r="A6" s="1"/>
      <c r="B6" s="1"/>
      <c r="C6" s="30" t="s">
        <v>88</v>
      </c>
      <c r="D6" s="30"/>
      <c r="E6" s="30"/>
      <c r="F6" s="30"/>
      <c r="G6" s="30"/>
      <c r="H6" s="31"/>
      <c r="I6" s="31">
        <f>+Model!I218</f>
        <v>20705426.12</v>
      </c>
      <c r="J6" s="31">
        <f>+Model!J218</f>
        <v>22691795.35</v>
      </c>
      <c r="K6" s="31">
        <f>+Model!K218</f>
        <v>24736499.4</v>
      </c>
      <c r="L6" s="31">
        <f>+Model!L218</f>
        <v>26678790.95</v>
      </c>
      <c r="M6" s="31">
        <f>+Model!M218</f>
        <v>28795232.68</v>
      </c>
      <c r="N6" s="1"/>
      <c r="O6" s="1" t="s">
        <v>242</v>
      </c>
      <c r="P6" s="20" t="str">
        <f t="array" ref="P6">_FV(O6,"Precio")</f>
        <v>#NAME?</v>
      </c>
      <c r="Q6" s="1"/>
      <c r="R6" s="1" t="s">
        <v>243</v>
      </c>
      <c r="S6" s="52" t="str">
        <f t="shared" ref="S6:V6" si="2">+$P$6</f>
        <v>#NAME?</v>
      </c>
      <c r="T6" s="52" t="str">
        <f t="shared" si="2"/>
        <v>#NAME?</v>
      </c>
      <c r="U6" s="52" t="str">
        <f t="shared" si="2"/>
        <v>#NAME?</v>
      </c>
      <c r="V6" s="52" t="str">
        <f t="shared" si="2"/>
        <v>#NAME?</v>
      </c>
      <c r="W6" s="1"/>
      <c r="X6" s="1"/>
      <c r="Y6" s="1"/>
      <c r="Z6" s="1"/>
    </row>
    <row r="7" ht="12.75" customHeight="1">
      <c r="A7" s="1"/>
      <c r="B7" s="1"/>
      <c r="C7" s="1" t="s">
        <v>84</v>
      </c>
      <c r="D7" s="1"/>
      <c r="E7" s="1"/>
      <c r="F7" s="1"/>
      <c r="G7" s="1"/>
      <c r="H7" s="15"/>
      <c r="I7" s="15">
        <f>+Model!I219</f>
        <v>-1865860.306</v>
      </c>
      <c r="J7" s="15">
        <f>+Model!J219</f>
        <v>-1183554.481</v>
      </c>
      <c r="K7" s="15">
        <f>+Model!K219</f>
        <v>-488002.0715</v>
      </c>
      <c r="L7" s="15">
        <f>+Model!L219</f>
        <v>253288.9833</v>
      </c>
      <c r="M7" s="15">
        <f>+Model!M219</f>
        <v>-2074997.858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 t="s">
        <v>218</v>
      </c>
      <c r="D8" s="1"/>
      <c r="E8" s="1"/>
      <c r="F8" s="1"/>
      <c r="G8" s="1"/>
      <c r="H8" s="15"/>
      <c r="I8" s="15">
        <f>+Model!I222</f>
        <v>3586472.55</v>
      </c>
      <c r="J8" s="15">
        <f>+Model!J222</f>
        <v>410106.9257</v>
      </c>
      <c r="K8" s="15">
        <f>+Model!K222</f>
        <v>413213.9705</v>
      </c>
      <c r="L8" s="15">
        <f>+Model!L222</f>
        <v>425520.2119</v>
      </c>
      <c r="M8" s="15">
        <f>+Model!M222</f>
        <v>437202.6157</v>
      </c>
      <c r="N8" s="1"/>
      <c r="O8" s="1" t="s">
        <v>244</v>
      </c>
      <c r="P8" s="15">
        <f>+$M$24</f>
        <v>455372</v>
      </c>
      <c r="Q8" s="1"/>
      <c r="R8" s="1" t="s">
        <v>244</v>
      </c>
      <c r="S8" s="15">
        <f t="shared" ref="S8:V8" si="3">+$M$24</f>
        <v>455372</v>
      </c>
      <c r="T8" s="15">
        <f t="shared" si="3"/>
        <v>455372</v>
      </c>
      <c r="U8" s="15">
        <f t="shared" si="3"/>
        <v>455372</v>
      </c>
      <c r="V8" s="15">
        <f t="shared" si="3"/>
        <v>455372</v>
      </c>
      <c r="W8" s="1"/>
      <c r="X8" s="1"/>
      <c r="Y8" s="1"/>
      <c r="Z8" s="1"/>
    </row>
    <row r="9" ht="12.75" customHeight="1">
      <c r="A9" s="1"/>
      <c r="B9" s="1"/>
      <c r="C9" s="1" t="s">
        <v>245</v>
      </c>
      <c r="D9" s="1"/>
      <c r="E9" s="1"/>
      <c r="F9" s="1"/>
      <c r="G9" s="1"/>
      <c r="H9" s="1"/>
      <c r="I9" s="15">
        <f>+Model!I220+Model!I221</f>
        <v>127733.3958</v>
      </c>
      <c r="J9" s="15">
        <f>+Model!J220+Model!J221</f>
        <v>-154448.6804</v>
      </c>
      <c r="K9" s="15">
        <f>+Model!K220+Model!K221</f>
        <v>-150236.0775</v>
      </c>
      <c r="L9" s="15">
        <f>+Model!L220+Model!L221</f>
        <v>-156224.533</v>
      </c>
      <c r="M9" s="15">
        <f>+Model!M220+Model!M221</f>
        <v>-161310.2084</v>
      </c>
      <c r="N9" s="1"/>
      <c r="O9" s="1" t="s">
        <v>246</v>
      </c>
      <c r="P9" s="15" t="str">
        <f>+P8*P6</f>
        <v>#NAME?</v>
      </c>
      <c r="Q9" s="1"/>
      <c r="R9" s="1" t="s">
        <v>246</v>
      </c>
      <c r="S9" s="15" t="str">
        <f t="shared" ref="S9:V9" si="4">+S8*S6</f>
        <v>#NAME?</v>
      </c>
      <c r="T9" s="15" t="str">
        <f t="shared" si="4"/>
        <v>#NAME?</v>
      </c>
      <c r="U9" s="15" t="str">
        <f t="shared" si="4"/>
        <v>#NAME?</v>
      </c>
      <c r="V9" s="15" t="str">
        <f t="shared" si="4"/>
        <v>#NAME?</v>
      </c>
      <c r="W9" s="1"/>
      <c r="X9" s="1"/>
      <c r="Y9" s="1"/>
      <c r="Z9" s="1"/>
    </row>
    <row r="10" ht="12.75" customHeight="1">
      <c r="A10" s="1"/>
      <c r="B10" s="1"/>
      <c r="C10" s="26" t="s">
        <v>131</v>
      </c>
      <c r="D10" s="26"/>
      <c r="E10" s="26"/>
      <c r="F10" s="26"/>
      <c r="G10" s="26"/>
      <c r="H10" s="53"/>
      <c r="I10" s="53">
        <f t="shared" ref="I10:M10" si="5">SUM(I6:I9)</f>
        <v>22553771.76</v>
      </c>
      <c r="J10" s="53">
        <f t="shared" si="5"/>
        <v>21763899.11</v>
      </c>
      <c r="K10" s="53">
        <f t="shared" si="5"/>
        <v>24511475.22</v>
      </c>
      <c r="L10" s="53">
        <f t="shared" si="5"/>
        <v>27201375.61</v>
      </c>
      <c r="M10" s="53">
        <f t="shared" si="5"/>
        <v>26996127.23</v>
      </c>
      <c r="N10" s="1"/>
      <c r="O10" s="1" t="s">
        <v>247</v>
      </c>
      <c r="P10" s="15">
        <f>+Model!H91+Model!$H$87</f>
        <v>15392895</v>
      </c>
      <c r="Q10" s="1"/>
      <c r="R10" s="1" t="s">
        <v>247</v>
      </c>
      <c r="S10" s="15">
        <f t="shared" ref="S10:V10" si="6">+$P$10</f>
        <v>15392895</v>
      </c>
      <c r="T10" s="15">
        <f t="shared" si="6"/>
        <v>15392895</v>
      </c>
      <c r="U10" s="15">
        <f t="shared" si="6"/>
        <v>15392895</v>
      </c>
      <c r="V10" s="15">
        <f t="shared" si="6"/>
        <v>15392895</v>
      </c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 t="s">
        <v>248</v>
      </c>
      <c r="P11" s="15">
        <f>+(Model!H72+Model!H73-Model!H83-Model!H84-Model!H85-Model!H86-Model!H90)</f>
        <v>-8841335</v>
      </c>
      <c r="Q11" s="1"/>
      <c r="R11" s="1" t="s">
        <v>248</v>
      </c>
      <c r="S11" s="15">
        <f t="shared" ref="S11:V11" si="7">+$P$11</f>
        <v>-8841335</v>
      </c>
      <c r="T11" s="15">
        <f t="shared" si="7"/>
        <v>-8841335</v>
      </c>
      <c r="U11" s="15">
        <f t="shared" si="7"/>
        <v>-8841335</v>
      </c>
      <c r="V11" s="15">
        <f t="shared" si="7"/>
        <v>-8841335</v>
      </c>
      <c r="W11" s="1"/>
      <c r="X11" s="1"/>
      <c r="Y11" s="1"/>
      <c r="Z11" s="1"/>
    </row>
    <row r="12" ht="12.75" customHeight="1">
      <c r="A12" s="1"/>
      <c r="B12" s="1"/>
      <c r="C12" s="1" t="s">
        <v>249</v>
      </c>
      <c r="D12" s="1"/>
      <c r="E12" s="1"/>
      <c r="F12" s="1"/>
      <c r="G12" s="1"/>
      <c r="H12" s="15"/>
      <c r="I12" s="15">
        <f>+Model!I231+Model!I232</f>
        <v>-18565994.2</v>
      </c>
      <c r="J12" s="15">
        <f>+Model!J231+Model!J232</f>
        <v>-19058225.3</v>
      </c>
      <c r="K12" s="15">
        <f>+Model!K231+Model!K232</f>
        <v>-19560743.72</v>
      </c>
      <c r="L12" s="15">
        <f>+Model!L231+Model!L232</f>
        <v>-20076383.23</v>
      </c>
      <c r="M12" s="15">
        <f>+Model!M231+Model!M232</f>
        <v>-20605208.75</v>
      </c>
      <c r="N12" s="1"/>
      <c r="O12" s="1" t="s">
        <v>250</v>
      </c>
      <c r="P12" s="15">
        <v>0.0</v>
      </c>
      <c r="Q12" s="1"/>
      <c r="R12" s="1" t="s">
        <v>250</v>
      </c>
      <c r="S12" s="54">
        <f t="shared" ref="S12:V12" si="8">+$P$12</f>
        <v>0</v>
      </c>
      <c r="T12" s="54">
        <f t="shared" si="8"/>
        <v>0</v>
      </c>
      <c r="U12" s="54">
        <f t="shared" si="8"/>
        <v>0</v>
      </c>
      <c r="V12" s="54">
        <f t="shared" si="8"/>
        <v>0</v>
      </c>
      <c r="W12" s="1"/>
      <c r="X12" s="1"/>
      <c r="Y12" s="1"/>
      <c r="Z12" s="1"/>
    </row>
    <row r="13" ht="12.75" customHeight="1">
      <c r="A13" s="1"/>
      <c r="B13" s="1"/>
      <c r="C13" s="1" t="s">
        <v>251</v>
      </c>
      <c r="D13" s="1"/>
      <c r="E13" s="1"/>
      <c r="F13" s="1"/>
      <c r="G13" s="1"/>
      <c r="H13" s="15"/>
      <c r="I13" s="15"/>
      <c r="J13" s="15"/>
      <c r="K13" s="15"/>
      <c r="L13" s="15"/>
      <c r="M13" s="15"/>
      <c r="N13" s="1"/>
      <c r="O13" s="1" t="s">
        <v>252</v>
      </c>
      <c r="P13" s="15">
        <f>-Model!H71</f>
        <v>-6027804</v>
      </c>
      <c r="Q13" s="1"/>
      <c r="R13" s="1" t="s">
        <v>252</v>
      </c>
      <c r="S13" s="15">
        <f t="shared" ref="S13:V13" si="9">+$P$13</f>
        <v>-6027804</v>
      </c>
      <c r="T13" s="15">
        <f t="shared" si="9"/>
        <v>-6027804</v>
      </c>
      <c r="U13" s="15">
        <f t="shared" si="9"/>
        <v>-6027804</v>
      </c>
      <c r="V13" s="15">
        <f t="shared" si="9"/>
        <v>-6027804</v>
      </c>
      <c r="W13" s="1"/>
      <c r="X13" s="1"/>
      <c r="Y13" s="1"/>
      <c r="Z13" s="1"/>
    </row>
    <row r="14" ht="12.75" customHeight="1">
      <c r="A14" s="1"/>
      <c r="B14" s="1"/>
      <c r="C14" s="55" t="s">
        <v>136</v>
      </c>
      <c r="D14" s="55"/>
      <c r="E14" s="55"/>
      <c r="F14" s="56"/>
      <c r="G14" s="56"/>
      <c r="H14" s="56"/>
      <c r="I14" s="56">
        <f t="shared" ref="I14:M14" si="10">+I10+I12+I13</f>
        <v>3987777.557</v>
      </c>
      <c r="J14" s="56">
        <f t="shared" si="10"/>
        <v>2705673.815</v>
      </c>
      <c r="K14" s="56">
        <f t="shared" si="10"/>
        <v>4950731.503</v>
      </c>
      <c r="L14" s="56">
        <f t="shared" si="10"/>
        <v>7124992.375</v>
      </c>
      <c r="M14" s="56">
        <f t="shared" si="10"/>
        <v>6390918.473</v>
      </c>
      <c r="N14" s="1"/>
      <c r="O14" s="30" t="s">
        <v>253</v>
      </c>
      <c r="P14" s="57" t="str">
        <f>+SUM(P9:P13)</f>
        <v>#NAME?</v>
      </c>
      <c r="Q14" s="1"/>
      <c r="R14" s="30" t="s">
        <v>253</v>
      </c>
      <c r="S14" s="57" t="str">
        <f t="shared" ref="S14:V14" si="11">+SUM(S9:S13)</f>
        <v>#NAME?</v>
      </c>
      <c r="T14" s="57" t="str">
        <f t="shared" si="11"/>
        <v>#NAME?</v>
      </c>
      <c r="U14" s="57" t="str">
        <f t="shared" si="11"/>
        <v>#NAME?</v>
      </c>
      <c r="V14" s="57" t="str">
        <f t="shared" si="11"/>
        <v>#NAME?</v>
      </c>
      <c r="W14" s="1"/>
      <c r="X14" s="1"/>
      <c r="Y14" s="1"/>
      <c r="Z14" s="1"/>
    </row>
    <row r="15" ht="12.75" customHeight="1">
      <c r="A15" s="1"/>
      <c r="B15" s="1"/>
      <c r="C15" s="58" t="s">
        <v>254</v>
      </c>
      <c r="D15" s="58"/>
      <c r="E15" s="58"/>
      <c r="F15" s="59"/>
      <c r="G15" s="60">
        <v>0.25</v>
      </c>
      <c r="H15" s="61"/>
      <c r="I15" s="61"/>
      <c r="J15" s="61"/>
      <c r="K15" s="61"/>
      <c r="L15" s="61"/>
      <c r="M15" s="6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58" t="s">
        <v>255</v>
      </c>
      <c r="D16" s="58"/>
      <c r="E16" s="58"/>
      <c r="F16" s="59"/>
      <c r="G16" s="62"/>
      <c r="H16" s="63"/>
      <c r="I16" s="63">
        <f t="shared" ref="I16:M16" si="12">1/(1+$G$15)^I4</f>
        <v>0.8</v>
      </c>
      <c r="J16" s="63">
        <f t="shared" si="12"/>
        <v>0.64</v>
      </c>
      <c r="K16" s="63">
        <f t="shared" si="12"/>
        <v>0.512</v>
      </c>
      <c r="L16" s="63">
        <f t="shared" si="12"/>
        <v>0.4096</v>
      </c>
      <c r="M16" s="63">
        <f t="shared" si="12"/>
        <v>0.32768</v>
      </c>
      <c r="N16" s="1"/>
      <c r="O16" s="1" t="s">
        <v>256</v>
      </c>
      <c r="P16" s="15">
        <f>+Model!I61</f>
        <v>8164605.39</v>
      </c>
      <c r="Q16" s="1"/>
      <c r="R16" s="1" t="s">
        <v>256</v>
      </c>
      <c r="S16" s="15">
        <f>+Model!H61</f>
        <v>6194509</v>
      </c>
      <c r="T16" s="15">
        <f>+Model!I61</f>
        <v>8164605.39</v>
      </c>
      <c r="U16" s="15">
        <f>+Model!J61</f>
        <v>5428965.425</v>
      </c>
      <c r="V16" s="15">
        <f>+Model!K61</f>
        <v>2629505.786</v>
      </c>
      <c r="W16" s="1"/>
      <c r="X16" s="1"/>
      <c r="Y16" s="1"/>
      <c r="Z16" s="1"/>
    </row>
    <row r="17" ht="12.75" customHeight="1">
      <c r="A17" s="1"/>
      <c r="B17" s="1"/>
      <c r="C17" s="64"/>
      <c r="D17" s="65"/>
      <c r="E17" s="65"/>
      <c r="F17" s="65"/>
      <c r="G17" s="65"/>
      <c r="H17" s="65"/>
      <c r="I17" s="65"/>
      <c r="J17" s="65"/>
      <c r="K17" s="65"/>
      <c r="L17" s="66"/>
      <c r="M17" s="66"/>
      <c r="N17" s="1"/>
      <c r="O17" s="30" t="s">
        <v>257</v>
      </c>
      <c r="P17" s="67" t="str">
        <f>+P14/P16</f>
        <v>#NAME?</v>
      </c>
      <c r="Q17" s="1"/>
      <c r="R17" s="30" t="s">
        <v>257</v>
      </c>
      <c r="S17" s="67" t="str">
        <f t="shared" ref="S17:V17" si="13">+S14/S16</f>
        <v>#NAME?</v>
      </c>
      <c r="T17" s="67" t="str">
        <f t="shared" si="13"/>
        <v>#NAME?</v>
      </c>
      <c r="U17" s="67" t="str">
        <f t="shared" si="13"/>
        <v>#NAME?</v>
      </c>
      <c r="V17" s="67" t="str">
        <f t="shared" si="13"/>
        <v>#NAME?</v>
      </c>
      <c r="W17" s="1"/>
      <c r="X17" s="1"/>
      <c r="Y17" s="1"/>
      <c r="Z17" s="1"/>
    </row>
    <row r="18" ht="12.75" customHeight="1">
      <c r="A18" s="1"/>
      <c r="B18" s="1"/>
      <c r="C18" s="68" t="s">
        <v>258</v>
      </c>
      <c r="D18" s="68"/>
      <c r="E18" s="68"/>
      <c r="F18" s="69"/>
      <c r="G18" s="70">
        <v>15.0</v>
      </c>
      <c r="H18" s="71"/>
      <c r="I18" s="71"/>
      <c r="J18" s="71"/>
      <c r="K18" s="72"/>
      <c r="L18" s="73"/>
      <c r="M18" s="73">
        <f>+M14*G18</f>
        <v>95863777.09</v>
      </c>
      <c r="N18" s="74"/>
      <c r="O18" s="1"/>
      <c r="P18" s="15"/>
      <c r="Q18" s="1"/>
      <c r="R18" s="1"/>
      <c r="S18" s="15"/>
      <c r="T18" s="15"/>
      <c r="U18" s="15"/>
      <c r="V18" s="15"/>
      <c r="W18" s="1"/>
      <c r="X18" s="1"/>
      <c r="Y18" s="1"/>
      <c r="Z18" s="1"/>
    </row>
    <row r="19" ht="12.75" customHeight="1">
      <c r="A19" s="1"/>
      <c r="B19" s="1"/>
      <c r="C19" s="68" t="s">
        <v>259</v>
      </c>
      <c r="D19" s="68"/>
      <c r="E19" s="68"/>
      <c r="F19" s="73"/>
      <c r="G19" s="75"/>
      <c r="H19" s="73"/>
      <c r="I19" s="73">
        <f t="shared" ref="I19:M19" si="14">+I18+I14</f>
        <v>3987777.557</v>
      </c>
      <c r="J19" s="73">
        <f t="shared" si="14"/>
        <v>2705673.815</v>
      </c>
      <c r="K19" s="73">
        <f t="shared" si="14"/>
        <v>4950731.503</v>
      </c>
      <c r="L19" s="73">
        <f t="shared" si="14"/>
        <v>7124992.375</v>
      </c>
      <c r="M19" s="73">
        <f t="shared" si="14"/>
        <v>102254695.6</v>
      </c>
      <c r="N19" s="1"/>
      <c r="O19" s="1" t="s">
        <v>260</v>
      </c>
      <c r="P19" s="15">
        <f>+Model!I67</f>
        <v>5597580.918</v>
      </c>
      <c r="Q19" s="1"/>
      <c r="R19" s="1" t="s">
        <v>261</v>
      </c>
      <c r="S19" s="15"/>
      <c r="T19" s="15">
        <f t="shared" ref="T19:V19" si="15">+I10</f>
        <v>22553771.76</v>
      </c>
      <c r="U19" s="15">
        <f t="shared" si="15"/>
        <v>21763899.11</v>
      </c>
      <c r="V19" s="15">
        <f t="shared" si="15"/>
        <v>24511475.22</v>
      </c>
      <c r="W19" s="1"/>
      <c r="X19" s="1"/>
      <c r="Y19" s="1"/>
      <c r="Z19" s="1"/>
    </row>
    <row r="20" ht="12.75" customHeight="1">
      <c r="A20" s="1"/>
      <c r="B20" s="1"/>
      <c r="C20" s="76" t="s">
        <v>262</v>
      </c>
      <c r="D20" s="76"/>
      <c r="E20" s="76"/>
      <c r="F20" s="77"/>
      <c r="G20" s="77"/>
      <c r="H20" s="77"/>
      <c r="I20" s="77">
        <f t="shared" ref="I20:M20" si="16">I19*I16</f>
        <v>3190222.045</v>
      </c>
      <c r="J20" s="77">
        <f t="shared" si="16"/>
        <v>1731631.242</v>
      </c>
      <c r="K20" s="77">
        <f t="shared" si="16"/>
        <v>2534774.529</v>
      </c>
      <c r="L20" s="77">
        <f t="shared" si="16"/>
        <v>2918396.877</v>
      </c>
      <c r="M20" s="77">
        <f t="shared" si="16"/>
        <v>33506818.64</v>
      </c>
      <c r="N20" s="1"/>
      <c r="O20" s="1" t="s">
        <v>263</v>
      </c>
      <c r="P20" s="67" t="str">
        <f>+P9/P19</f>
        <v>#NAME?</v>
      </c>
      <c r="Q20" s="1"/>
      <c r="R20" s="1" t="s">
        <v>264</v>
      </c>
      <c r="S20" s="78"/>
      <c r="T20" s="78" t="str">
        <f t="shared" ref="T20:V20" si="17">+T14/T19</f>
        <v>#NAME?</v>
      </c>
      <c r="U20" s="78" t="str">
        <f t="shared" si="17"/>
        <v>#NAME?</v>
      </c>
      <c r="V20" s="78" t="str">
        <f t="shared" si="17"/>
        <v>#NAME?</v>
      </c>
      <c r="W20" s="1"/>
      <c r="X20" s="1"/>
      <c r="Y20" s="1"/>
      <c r="Z20" s="1"/>
    </row>
    <row r="21" ht="12.75" customHeight="1">
      <c r="A21" s="1"/>
      <c r="B21" s="1"/>
      <c r="C21" s="76" t="s">
        <v>265</v>
      </c>
      <c r="D21" s="59"/>
      <c r="E21" s="59"/>
      <c r="F21" s="59"/>
      <c r="G21" s="59"/>
      <c r="H21" s="59"/>
      <c r="I21" s="59"/>
      <c r="J21" s="59"/>
      <c r="K21" s="59"/>
      <c r="L21" s="77"/>
      <c r="M21" s="77">
        <f>+SUM(I20:M20)</f>
        <v>43881843.34</v>
      </c>
      <c r="N21" s="1"/>
      <c r="O21" s="30" t="s">
        <v>266</v>
      </c>
      <c r="P21" s="67"/>
      <c r="Q21" s="1"/>
      <c r="R21" s="30" t="s">
        <v>267</v>
      </c>
      <c r="S21" s="67"/>
      <c r="T21" s="67" t="str">
        <f t="shared" ref="T21:V21" si="18">+T9/T19</f>
        <v>#NAME?</v>
      </c>
      <c r="U21" s="67" t="str">
        <f t="shared" si="18"/>
        <v>#NAME?</v>
      </c>
      <c r="V21" s="67" t="str">
        <f t="shared" si="18"/>
        <v>#NAME?</v>
      </c>
      <c r="W21" s="1"/>
      <c r="X21" s="1"/>
      <c r="Y21" s="1"/>
      <c r="Z21" s="1"/>
    </row>
    <row r="22" ht="12.75" customHeight="1">
      <c r="A22" s="1"/>
      <c r="B22" s="1"/>
      <c r="C22" s="58" t="s">
        <v>268</v>
      </c>
      <c r="D22" s="58"/>
      <c r="E22" s="58"/>
      <c r="F22" s="61"/>
      <c r="G22" s="61"/>
      <c r="H22" s="61"/>
      <c r="I22" s="61"/>
      <c r="J22" s="61"/>
      <c r="K22" s="61"/>
      <c r="L22" s="79"/>
      <c r="M22" s="79">
        <f>-(Model!H87+Model!H91-Model!H71)</f>
        <v>-9365091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80" t="s">
        <v>269</v>
      </c>
      <c r="D23" s="80"/>
      <c r="E23" s="80"/>
      <c r="F23" s="81"/>
      <c r="G23" s="81"/>
      <c r="H23" s="81"/>
      <c r="I23" s="81"/>
      <c r="J23" s="81"/>
      <c r="K23" s="81"/>
      <c r="L23" s="81"/>
      <c r="M23" s="81">
        <f>+M22+M21</f>
        <v>34516752.34</v>
      </c>
      <c r="N23" s="1"/>
      <c r="O23" s="1" t="s">
        <v>270</v>
      </c>
      <c r="P23" s="15">
        <f>+Model!I56</f>
        <v>20705426.12</v>
      </c>
      <c r="Q23" s="1"/>
      <c r="R23" s="1" t="s">
        <v>271</v>
      </c>
      <c r="S23" s="1"/>
      <c r="T23" s="82">
        <f t="shared" ref="T23:V23" si="19">+I14-I13</f>
        <v>3987777.557</v>
      </c>
      <c r="U23" s="82">
        <f t="shared" si="19"/>
        <v>2705673.815</v>
      </c>
      <c r="V23" s="82">
        <f t="shared" si="19"/>
        <v>4950731.503</v>
      </c>
      <c r="W23" s="1"/>
      <c r="X23" s="1"/>
      <c r="Y23" s="1"/>
      <c r="Z23" s="1"/>
    </row>
    <row r="24" ht="12.75" customHeight="1">
      <c r="A24" s="1"/>
      <c r="B24" s="1"/>
      <c r="C24" s="58" t="s">
        <v>272</v>
      </c>
      <c r="D24" s="59"/>
      <c r="E24" s="59"/>
      <c r="F24" s="59"/>
      <c r="G24" s="59"/>
      <c r="H24" s="59"/>
      <c r="I24" s="59"/>
      <c r="J24" s="59"/>
      <c r="K24" s="59"/>
      <c r="L24" s="83"/>
      <c r="M24" s="79">
        <v>455372.0</v>
      </c>
      <c r="N24" s="1"/>
      <c r="O24" s="30" t="s">
        <v>273</v>
      </c>
      <c r="P24" s="67" t="str">
        <f>+P14/P23</f>
        <v>#NAME?</v>
      </c>
      <c r="Q24" s="1"/>
      <c r="R24" s="84" t="s">
        <v>274</v>
      </c>
      <c r="S24" s="84"/>
      <c r="T24" s="85" t="str">
        <f t="shared" ref="T24:V24" si="20">+T23/T9</f>
        <v>#NAME?</v>
      </c>
      <c r="U24" s="85" t="str">
        <f t="shared" si="20"/>
        <v>#NAME?</v>
      </c>
      <c r="V24" s="85" t="str">
        <f t="shared" si="20"/>
        <v>#NAME?</v>
      </c>
      <c r="W24" s="1"/>
      <c r="X24" s="1"/>
      <c r="Y24" s="1"/>
      <c r="Z24" s="1"/>
    </row>
    <row r="25" ht="12.75" customHeight="1">
      <c r="A25" s="1"/>
      <c r="B25" s="1"/>
      <c r="C25" s="30" t="s">
        <v>275</v>
      </c>
      <c r="D25" s="30"/>
      <c r="E25" s="30"/>
      <c r="F25" s="30"/>
      <c r="G25" s="30"/>
      <c r="H25" s="30"/>
      <c r="I25" s="30"/>
      <c r="J25" s="30"/>
      <c r="K25" s="30"/>
      <c r="L25" s="86"/>
      <c r="M25" s="86">
        <f>IFERROR(+M23/M24,0)</f>
        <v>75.7990222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9" t="s">
        <v>276</v>
      </c>
      <c r="D27" s="9"/>
      <c r="E27" s="9"/>
      <c r="F27" s="9"/>
      <c r="G27" s="51"/>
      <c r="H27" s="51"/>
      <c r="I27" s="51"/>
      <c r="J27" s="51"/>
      <c r="K27" s="87"/>
      <c r="L27" s="87"/>
      <c r="M27" s="87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58"/>
      <c r="D28" s="58"/>
      <c r="E28" s="58"/>
      <c r="F28" s="61"/>
      <c r="G28" s="61"/>
      <c r="H28" s="88"/>
      <c r="I28" s="88" t="s">
        <v>277</v>
      </c>
      <c r="J28" s="88"/>
      <c r="K28" s="79"/>
      <c r="L28" s="79"/>
      <c r="M28" s="79"/>
      <c r="N28" s="1"/>
      <c r="O28" s="1"/>
      <c r="P28" s="89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58"/>
      <c r="D29" s="61"/>
      <c r="E29" s="90">
        <f>+M25</f>
        <v>75.7990222</v>
      </c>
      <c r="F29" s="91">
        <f t="shared" ref="F29:H29" si="21">+G29-1</f>
        <v>12</v>
      </c>
      <c r="G29" s="91">
        <f t="shared" si="21"/>
        <v>13</v>
      </c>
      <c r="H29" s="91">
        <f t="shared" si="21"/>
        <v>14</v>
      </c>
      <c r="I29" s="92">
        <v>15.0</v>
      </c>
      <c r="J29" s="91">
        <f t="shared" ref="J29:L29" si="22">+I29+1</f>
        <v>16</v>
      </c>
      <c r="K29" s="91">
        <f t="shared" si="22"/>
        <v>17</v>
      </c>
      <c r="L29" s="91">
        <f t="shared" si="22"/>
        <v>18</v>
      </c>
      <c r="M29" s="79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58"/>
      <c r="D30" s="61"/>
      <c r="E30" s="93">
        <f t="shared" ref="E30:E31" si="23">E31-0.025</f>
        <v>0.2</v>
      </c>
      <c r="F30" s="94">
        <v>78.01714140916125</v>
      </c>
      <c r="G30" s="94">
        <v>83.65729231607874</v>
      </c>
      <c r="H30" s="94">
        <v>89.29744322299626</v>
      </c>
      <c r="I30" s="95">
        <v>94.93759412991375</v>
      </c>
      <c r="J30" s="94">
        <v>100.57774503683126</v>
      </c>
      <c r="K30" s="94">
        <v>106.21789594374874</v>
      </c>
      <c r="L30" s="94">
        <v>111.85804685066626</v>
      </c>
      <c r="M30" s="9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58"/>
      <c r="D31" s="96" t="s">
        <v>278</v>
      </c>
      <c r="E31" s="93">
        <f t="shared" si="23"/>
        <v>0.225</v>
      </c>
      <c r="F31" s="94">
        <v>69.54413624265784</v>
      </c>
      <c r="G31" s="94">
        <v>74.6317778547602</v>
      </c>
      <c r="H31" s="94">
        <v>79.71941946686258</v>
      </c>
      <c r="I31" s="95">
        <v>84.80706107896495</v>
      </c>
      <c r="J31" s="94">
        <v>89.8947026910673</v>
      </c>
      <c r="K31" s="94">
        <v>94.98234430316965</v>
      </c>
      <c r="L31" s="94">
        <v>100.06998591527204</v>
      </c>
      <c r="M31" s="9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58"/>
      <c r="D32" s="96" t="s">
        <v>279</v>
      </c>
      <c r="E32" s="97">
        <v>0.25</v>
      </c>
      <c r="F32" s="98">
        <v>62.00254701698593</v>
      </c>
      <c r="G32" s="98">
        <v>66.60137207683033</v>
      </c>
      <c r="H32" s="98">
        <v>71.20019713667475</v>
      </c>
      <c r="I32" s="99">
        <v>75.79902219651915</v>
      </c>
      <c r="J32" s="98">
        <v>80.39784725636355</v>
      </c>
      <c r="K32" s="98">
        <v>84.99667231620795</v>
      </c>
      <c r="L32" s="100">
        <v>89.59549737605236</v>
      </c>
      <c r="M32" s="9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01"/>
      <c r="D33" s="61"/>
      <c r="E33" s="93">
        <f t="shared" ref="E33:E34" si="24">+E32+2.5%</f>
        <v>0.275</v>
      </c>
      <c r="F33" s="94">
        <v>55.27254240919432</v>
      </c>
      <c r="G33" s="94">
        <v>59.4378399549133</v>
      </c>
      <c r="H33" s="94">
        <v>63.60313750063231</v>
      </c>
      <c r="I33" s="95">
        <v>67.76843504635129</v>
      </c>
      <c r="J33" s="94">
        <v>71.93373259207029</v>
      </c>
      <c r="K33" s="94">
        <v>76.09903013778926</v>
      </c>
      <c r="L33" s="94">
        <v>80.26432768350826</v>
      </c>
      <c r="M33" s="9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58"/>
      <c r="D34" s="61"/>
      <c r="E34" s="93">
        <f t="shared" si="24"/>
        <v>0.3</v>
      </c>
      <c r="F34" s="94">
        <v>49.25174552399154</v>
      </c>
      <c r="G34" s="94">
        <v>53.03164449992184</v>
      </c>
      <c r="H34" s="94">
        <v>56.811543475852176</v>
      </c>
      <c r="I34" s="102">
        <v>60.59144245178248</v>
      </c>
      <c r="J34" s="94">
        <v>64.37134142771279</v>
      </c>
      <c r="K34" s="94">
        <v>68.1512404036431</v>
      </c>
      <c r="L34" s="94">
        <v>71.93113937957342</v>
      </c>
      <c r="M34" s="9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2022-06-01T10:17:33Z</dcterms:created>
  <dc:creator>Edgar Fernández</dc:creator>
</cp:coreProperties>
</file>