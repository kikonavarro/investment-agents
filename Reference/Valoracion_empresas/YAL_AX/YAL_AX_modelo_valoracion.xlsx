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color rgb="FF0000FF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3" fillId="0" borderId="0" pivotButton="0" quotePrefix="0" xfId="0"/>
    <xf numFmtId="165" fontId="4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4" fillId="3" borderId="0" pivotButton="0" quotePrefix="0" xfId="0"/>
    <xf numFmtId="166" fontId="0" fillId="0" borderId="0" pivotButton="0" quotePrefix="0" xfId="0"/>
    <xf numFmtId="165" fontId="3" fillId="0" borderId="0" pivotButton="0" quotePrefix="0" xfId="0"/>
    <xf numFmtId="167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4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Yancoal Australia Ltd (YAL.AX)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B2" s="3" t="inlineStr"/>
      <c r="G2" s="4" t="n">
        <v>1</v>
      </c>
      <c r="H2" s="3" t="inlineStr">
        <is>
          <t>1=Base, 2=Bull, 3=Bear</t>
        </is>
      </c>
    </row>
    <row r="4">
      <c r="A4" s="3" t="inlineStr"/>
      <c r="C4" s="1" t="inlineStr">
        <is>
          <t>FY2021</t>
        </is>
      </c>
      <c r="D4" s="1" t="inlineStr">
        <is>
          <t>FY2022</t>
        </is>
      </c>
      <c r="E4" s="1" t="inlineStr">
        <is>
          <t>FY2023</t>
        </is>
      </c>
      <c r="F4" s="1" t="inlineStr">
        <is>
          <t>FY2024</t>
        </is>
      </c>
      <c r="G4" s="1" t="inlineStr">
        <is>
          <t>FY2025</t>
        </is>
      </c>
      <c r="H4" s="1" t="inlineStr">
        <is>
          <t>FY2026</t>
        </is>
      </c>
      <c r="I4" s="1" t="inlineStr">
        <is>
          <t>FY2027</t>
        </is>
      </c>
      <c r="J4" s="1" t="inlineStr">
        <is>
          <t>FY2028</t>
        </is>
      </c>
      <c r="K4" s="1" t="inlineStr">
        <is>
          <t>FY2029</t>
        </is>
      </c>
    </row>
    <row r="6">
      <c r="A6" s="1" t="inlineStr">
        <is>
          <t>Thermal Coal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5409</v>
      </c>
      <c r="D7" s="5" t="n">
        <v>10517</v>
      </c>
      <c r="E7" s="5" t="n">
        <v>7558</v>
      </c>
      <c r="F7" s="5" t="n">
        <v>6766</v>
      </c>
    </row>
    <row r="8">
      <c r="A8" s="3" t="inlineStr">
        <is>
          <t xml:space="preserve">  Revenue Growth - Base</t>
        </is>
      </c>
      <c r="G8" s="6" t="n">
        <v>-0.128</v>
      </c>
      <c r="H8" s="6" t="n">
        <v>-0.108</v>
      </c>
      <c r="I8" s="6" t="n">
        <v>-0.098</v>
      </c>
      <c r="J8" s="6" t="n">
        <v>-0.08799999999999999</v>
      </c>
      <c r="K8" s="6" t="n">
        <v>-0.078</v>
      </c>
    </row>
    <row r="9">
      <c r="A9" s="3" t="inlineStr">
        <is>
          <t xml:space="preserve">  Revenue Growth - Bull</t>
        </is>
      </c>
      <c r="G9" s="6" t="n">
        <v>-0.08960000000000001</v>
      </c>
      <c r="H9" s="6" t="n">
        <v>-0.09344</v>
      </c>
      <c r="I9" s="6" t="n">
        <v>-0.09728000000000001</v>
      </c>
      <c r="J9" s="6" t="n">
        <v>-0.10112</v>
      </c>
      <c r="K9" s="6" t="n">
        <v>-0.10496</v>
      </c>
    </row>
    <row r="10">
      <c r="A10" s="3" t="inlineStr">
        <is>
          <t xml:space="preserve">  Revenue Growth - Bear</t>
        </is>
      </c>
      <c r="G10" s="6" t="n">
        <v>-0.1664</v>
      </c>
      <c r="H10" s="6" t="n">
        <v>-0.16256</v>
      </c>
      <c r="I10" s="6" t="n">
        <v>-0.15872</v>
      </c>
      <c r="J10" s="6" t="n">
        <v>-0.15488</v>
      </c>
      <c r="K10" s="6" t="n">
        <v>-0.15104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3" t="inlineStr">
        <is>
          <t>Gross Margin - Base</t>
        </is>
      </c>
      <c r="G15" s="6" t="n">
        <v>0.8352883277060356</v>
      </c>
      <c r="H15" s="6" t="n">
        <v>0.8352883277060356</v>
      </c>
      <c r="I15" s="6" t="n">
        <v>0.8352883277060356</v>
      </c>
      <c r="J15" s="6" t="n">
        <v>0.8352883277060356</v>
      </c>
      <c r="K15" s="6" t="n">
        <v>0.8352883277060356</v>
      </c>
    </row>
    <row r="16">
      <c r="A16" s="3" t="inlineStr">
        <is>
          <t>Gross Margin - Bull</t>
        </is>
      </c>
      <c r="G16" s="6" t="n">
        <v>0.8552883277060356</v>
      </c>
      <c r="H16" s="6" t="n">
        <v>0.8552883277060356</v>
      </c>
      <c r="I16" s="6" t="n">
        <v>0.8552883277060356</v>
      </c>
      <c r="J16" s="6" t="n">
        <v>0.8552883277060356</v>
      </c>
      <c r="K16" s="6" t="n">
        <v>0.8552883277060356</v>
      </c>
    </row>
    <row r="17">
      <c r="A17" s="3" t="inlineStr">
        <is>
          <t>Gross Margin - Bear</t>
        </is>
      </c>
      <c r="G17" s="6" t="n">
        <v>0.8152883277060355</v>
      </c>
      <c r="H17" s="6" t="n">
        <v>0.8152883277060355</v>
      </c>
      <c r="I17" s="6" t="n">
        <v>0.8152883277060355</v>
      </c>
      <c r="J17" s="6" t="n">
        <v>0.8152883277060355</v>
      </c>
      <c r="K17" s="6" t="n">
        <v>0.8152883277060355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3" t="inlineStr">
        <is>
          <t>SG&amp;A % Revenue - Base</t>
        </is>
      </c>
      <c r="G20" s="6" t="n">
        <v>0.1988253390409176</v>
      </c>
      <c r="H20" s="6" t="n">
        <v>0.1988253390409176</v>
      </c>
      <c r="I20" s="6" t="n">
        <v>0.1988253390409176</v>
      </c>
      <c r="J20" s="6" t="n">
        <v>0.1988253390409176</v>
      </c>
      <c r="K20" s="6" t="n">
        <v>0.1988253390409176</v>
      </c>
    </row>
    <row r="21">
      <c r="A21" s="3" t="inlineStr">
        <is>
          <t>SG&amp;A % Revenue - Bull</t>
        </is>
      </c>
      <c r="G21" s="6" t="n">
        <v>0.1888253390409176</v>
      </c>
      <c r="H21" s="6" t="n">
        <v>0.1888253390409176</v>
      </c>
      <c r="I21" s="6" t="n">
        <v>0.1888253390409176</v>
      </c>
      <c r="J21" s="6" t="n">
        <v>0.1888253390409176</v>
      </c>
      <c r="K21" s="6" t="n">
        <v>0.1888253390409176</v>
      </c>
    </row>
    <row r="22">
      <c r="A22" s="3" t="inlineStr">
        <is>
          <t>SG&amp;A % Revenue - Bear</t>
        </is>
      </c>
      <c r="G22" s="6" t="n">
        <v>0.2088253390409176</v>
      </c>
      <c r="H22" s="6" t="n">
        <v>0.2088253390409176</v>
      </c>
      <c r="I22" s="6" t="n">
        <v>0.2088253390409176</v>
      </c>
      <c r="J22" s="6" t="n">
        <v>0.2088253390409176</v>
      </c>
      <c r="K22" s="6" t="n">
        <v>0.2088253390409176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3" t="inlineStr">
        <is>
          <t>R&amp;D % Revenue - Base</t>
        </is>
      </c>
      <c r="G25" s="6" t="n">
        <v>0.05</v>
      </c>
      <c r="H25" s="6" t="n">
        <v>0.05</v>
      </c>
      <c r="I25" s="6" t="n">
        <v>0.05</v>
      </c>
      <c r="J25" s="6" t="n">
        <v>0.05</v>
      </c>
      <c r="K25" s="6" t="n">
        <v>0.05</v>
      </c>
    </row>
    <row r="26">
      <c r="A26" s="3" t="inlineStr">
        <is>
          <t>R&amp;D % Revenue - Bull</t>
        </is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</row>
    <row r="27">
      <c r="A27" s="3" t="inlineStr">
        <is>
          <t>R&amp;D % Revenue - Bear</t>
        </is>
      </c>
      <c r="G27" s="6" t="n">
        <v>0.055</v>
      </c>
      <c r="H27" s="6" t="n">
        <v>0.055</v>
      </c>
      <c r="I27" s="6" t="n">
        <v>0.055</v>
      </c>
      <c r="J27" s="6" t="n">
        <v>0.055</v>
      </c>
      <c r="K27" s="6" t="n">
        <v>0.055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3" t="inlineStr">
        <is>
          <t>D&amp;A % Revenue</t>
        </is>
      </c>
      <c r="G30" s="6" t="n">
        <v>0.1151579639035987</v>
      </c>
      <c r="H30" s="6" t="n">
        <v>0.1151579639035987</v>
      </c>
      <c r="I30" s="6" t="n">
        <v>0.1151579639035987</v>
      </c>
      <c r="J30" s="6" t="n">
        <v>0.1151579639035987</v>
      </c>
      <c r="K30" s="6" t="n">
        <v>0.1151579639035987</v>
      </c>
    </row>
    <row r="31">
      <c r="A31" s="3" t="inlineStr">
        <is>
          <t>CapEx % Revenue</t>
        </is>
      </c>
      <c r="G31" s="6" t="n">
        <v>0.07213064307448076</v>
      </c>
      <c r="H31" s="6" t="n">
        <v>0.07213064307448076</v>
      </c>
      <c r="I31" s="6" t="n">
        <v>0.07213064307448076</v>
      </c>
      <c r="J31" s="6" t="n">
        <v>0.07213064307448076</v>
      </c>
      <c r="K31" s="6" t="n">
        <v>0.07213064307448076</v>
      </c>
    </row>
    <row r="32">
      <c r="A32" s="3" t="inlineStr">
        <is>
          <t>Tax Rate</t>
        </is>
      </c>
      <c r="G32" s="6" t="n">
        <v>0.2234191894816486</v>
      </c>
      <c r="H32" s="6" t="n">
        <v>0.2234191894816486</v>
      </c>
      <c r="I32" s="6" t="n">
        <v>0.2234191894816486</v>
      </c>
      <c r="J32" s="6" t="n">
        <v>0.2234191894816486</v>
      </c>
      <c r="K32" s="6" t="n">
        <v>0.2234191894816486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3" t="inlineStr">
        <is>
          <t>WACC - Base</t>
        </is>
      </c>
      <c r="C35" s="6" t="n">
        <v>0.1</v>
      </c>
    </row>
    <row r="36">
      <c r="A36" s="3" t="inlineStr">
        <is>
          <t>WACC - Bull</t>
        </is>
      </c>
      <c r="C36" s="6" t="n">
        <v>0.09000000000000001</v>
      </c>
    </row>
    <row r="37">
      <c r="A37" s="3" t="inlineStr">
        <is>
          <t>WACC - Bear</t>
        </is>
      </c>
      <c r="C37" s="6" t="n">
        <v>0.12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3" t="inlineStr">
        <is>
          <t>Terminal Value Multiple - Base</t>
        </is>
      </c>
      <c r="C40" s="9" t="n">
        <v>6</v>
      </c>
    </row>
    <row r="41">
      <c r="A41" s="3" t="inlineStr">
        <is>
          <t>Terminal Value Multiple - Bull</t>
        </is>
      </c>
      <c r="C41" s="9" t="n">
        <v>8</v>
      </c>
    </row>
    <row r="42">
      <c r="A42" s="3" t="inlineStr">
        <is>
          <t>Terminal Value Multiple - Bear</t>
        </is>
      </c>
      <c r="C42" s="9" t="n">
        <v>5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Yancoal Australia Ltd (YAL.AX) - Historical Financial Statements</t>
        </is>
      </c>
      <c r="B1" s="1" t="n"/>
      <c r="C1" s="1" t="n"/>
      <c r="D1" s="1" t="n"/>
      <c r="E1" s="1" t="n"/>
      <c r="F1" s="1" t="n"/>
    </row>
    <row r="3">
      <c r="A3" s="3" t="inlineStr">
        <is>
          <t>($ in millions)</t>
        </is>
      </c>
      <c r="C3" s="1" t="inlineStr">
        <is>
          <t>FY2021</t>
        </is>
      </c>
      <c r="D3" s="1" t="inlineStr">
        <is>
          <t>FY2022</t>
        </is>
      </c>
      <c r="E3" s="1" t="inlineStr">
        <is>
          <t>FY2023</t>
        </is>
      </c>
      <c r="F3" s="1" t="inlineStr">
        <is>
          <t>FY2024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5409</v>
      </c>
      <c r="D6" s="5" t="n">
        <v>10517</v>
      </c>
      <c r="E6" s="5" t="n">
        <v>7558</v>
      </c>
      <c r="F6" s="5" t="n">
        <v>6766</v>
      </c>
    </row>
    <row r="7">
      <c r="A7" s="3" t="inlineStr">
        <is>
          <t>Cost of Revenue</t>
        </is>
      </c>
      <c r="C7" s="5" t="n">
        <v>979</v>
      </c>
      <c r="D7" s="5" t="n">
        <v>1117</v>
      </c>
      <c r="E7" s="5" t="n">
        <v>1245</v>
      </c>
      <c r="F7" s="5" t="n">
        <v>1400</v>
      </c>
    </row>
    <row r="8">
      <c r="A8" s="2" t="inlineStr">
        <is>
          <t>Gross Profit</t>
        </is>
      </c>
      <c r="C8" s="5" t="n">
        <v>4430</v>
      </c>
      <c r="D8" s="5" t="n">
        <v>9400</v>
      </c>
      <c r="E8" s="5" t="n">
        <v>6313</v>
      </c>
      <c r="F8" s="5" t="n">
        <v>5366</v>
      </c>
    </row>
    <row r="9">
      <c r="A9" s="3" t="inlineStr">
        <is>
          <t xml:space="preserve">  Gross Margin</t>
        </is>
      </c>
      <c r="C9" s="11" t="n">
        <v>0.819005361434646</v>
      </c>
      <c r="D9" s="11" t="n">
        <v>0.89379100503946</v>
      </c>
      <c r="E9" s="11" t="n">
        <v>0.8352738819793596</v>
      </c>
      <c r="F9" s="11" t="n">
        <v>0.7930830623706769</v>
      </c>
    </row>
    <row r="11">
      <c r="A11" s="3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3" t="inlineStr">
        <is>
          <t>SG&amp;A Expense</t>
        </is>
      </c>
      <c r="C12" s="5" t="n">
        <v>1224</v>
      </c>
      <c r="D12" s="5" t="n">
        <v>1343</v>
      </c>
      <c r="E12" s="5" t="n">
        <v>1518</v>
      </c>
      <c r="F12" s="5" t="n">
        <v>1627</v>
      </c>
    </row>
    <row r="13">
      <c r="A13" s="2" t="inlineStr">
        <is>
          <t>Operating Income (EBIT)</t>
        </is>
      </c>
      <c r="C13" s="5" t="n">
        <v>1695</v>
      </c>
      <c r="D13" s="5" t="n">
        <v>6237</v>
      </c>
      <c r="E13" s="5" t="n">
        <v>3104</v>
      </c>
      <c r="F13" s="5" t="n">
        <v>2129</v>
      </c>
    </row>
    <row r="14">
      <c r="A14" s="3" t="inlineStr">
        <is>
          <t xml:space="preserve">  EBIT Margin</t>
        </is>
      </c>
      <c r="C14" s="11" t="n">
        <v>0.3133666112035496</v>
      </c>
      <c r="D14" s="11" t="n">
        <v>0.5930398402586289</v>
      </c>
      <c r="E14" s="11" t="n">
        <v>0.4106906589044721</v>
      </c>
      <c r="F14" s="11" t="n">
        <v>0.3146615430091635</v>
      </c>
    </row>
    <row r="16">
      <c r="A16" s="3" t="inlineStr">
        <is>
          <t>Interest Expense</t>
        </is>
      </c>
      <c r="C16" s="5" t="n">
        <v>251</v>
      </c>
      <c r="D16" s="5" t="n">
        <v>45</v>
      </c>
      <c r="E16" s="5" t="n">
        <v>43</v>
      </c>
      <c r="F16" s="5" t="n">
        <v>31</v>
      </c>
    </row>
    <row r="17">
      <c r="A17" s="3" t="inlineStr">
        <is>
          <t>Tax Provision</t>
        </is>
      </c>
      <c r="C17" s="5" t="n">
        <v>312</v>
      </c>
      <c r="D17" s="5" t="n">
        <v>1505</v>
      </c>
      <c r="E17" s="5" t="n">
        <v>764</v>
      </c>
      <c r="F17" s="5" t="n">
        <v>473</v>
      </c>
    </row>
    <row r="18">
      <c r="A18" s="2" t="inlineStr">
        <is>
          <t>Net Income</t>
        </is>
      </c>
      <c r="C18" s="5" t="n">
        <v>791</v>
      </c>
      <c r="D18" s="5" t="n">
        <v>3586</v>
      </c>
      <c r="E18" s="5" t="n">
        <v>1819</v>
      </c>
      <c r="F18" s="5" t="n">
        <v>1216</v>
      </c>
    </row>
    <row r="19">
      <c r="A19" s="3" t="inlineStr">
        <is>
          <t xml:space="preserve">  Net Margin</t>
        </is>
      </c>
      <c r="C19" s="11" t="n">
        <v>0.1462377518949898</v>
      </c>
      <c r="D19" s="11" t="n">
        <v>0.3409717600076067</v>
      </c>
      <c r="E19" s="11" t="n">
        <v>0.2406721354855782</v>
      </c>
      <c r="F19" s="11" t="n">
        <v>0.1797221401123263</v>
      </c>
    </row>
    <row r="21">
      <c r="A21" s="2" t="inlineStr">
        <is>
          <t>EBITDA</t>
        </is>
      </c>
      <c r="C21" s="5" t="n">
        <v>2185</v>
      </c>
      <c r="D21" s="5" t="n">
        <v>5973</v>
      </c>
      <c r="E21" s="5" t="n">
        <v>3507</v>
      </c>
      <c r="F21" s="5" t="n">
        <v>2470</v>
      </c>
    </row>
    <row r="22">
      <c r="A22" s="3" t="inlineStr">
        <is>
          <t xml:space="preserve">  EBITDA Margin</t>
        </is>
      </c>
      <c r="C22" s="11" t="n">
        <v>0.4039563690146053</v>
      </c>
      <c r="D22" s="11" t="n">
        <v>0.5679376247979462</v>
      </c>
      <c r="E22" s="11" t="n">
        <v>0.4640116432918762</v>
      </c>
      <c r="F22" s="11" t="n">
        <v>0.3650605971031629</v>
      </c>
    </row>
    <row r="23">
      <c r="A23" s="3" t="inlineStr">
        <is>
          <t>Diluted EPS</t>
        </is>
      </c>
      <c r="C23" s="12" t="n">
        <v>0.597</v>
      </c>
      <c r="D23" s="12" t="n">
        <v>2.702</v>
      </c>
      <c r="E23" s="12" t="n">
        <v>1.371</v>
      </c>
      <c r="F23" s="12" t="n">
        <v>0.921</v>
      </c>
    </row>
    <row r="24">
      <c r="A24" s="3" t="inlineStr">
        <is>
          <t>D&amp;A</t>
        </is>
      </c>
      <c r="C24" s="5" t="n">
        <v>831</v>
      </c>
      <c r="D24" s="5" t="n">
        <v>837</v>
      </c>
      <c r="E24" s="5" t="n">
        <v>881</v>
      </c>
      <c r="F24" s="5" t="n">
        <v>750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3" t="inlineStr">
        <is>
          <t>Cash &amp; Equivalents</t>
        </is>
      </c>
      <c r="C28" s="5" t="n">
        <v>1495</v>
      </c>
      <c r="D28" s="5" t="n">
        <v>2699</v>
      </c>
      <c r="E28" s="5" t="n">
        <v>1397</v>
      </c>
      <c r="F28" s="5" t="n">
        <v>2461</v>
      </c>
    </row>
    <row r="29">
      <c r="A29" s="3" t="inlineStr">
        <is>
          <t>Current Assets</t>
        </is>
      </c>
      <c r="C29" s="5" t="n">
        <v>2531</v>
      </c>
      <c r="D29" s="5" t="n">
        <v>3889</v>
      </c>
      <c r="E29" s="5" t="n">
        <v>2666</v>
      </c>
      <c r="F29" s="5" t="n">
        <v>3540</v>
      </c>
    </row>
    <row r="30">
      <c r="A30" s="3" t="inlineStr">
        <is>
          <t>Net PP&amp;E</t>
        </is>
      </c>
      <c r="C30" s="5" t="n">
        <v>8037</v>
      </c>
      <c r="D30" s="5" t="n">
        <v>10333</v>
      </c>
      <c r="E30" s="5" t="n">
        <v>7860</v>
      </c>
      <c r="F30" s="5" t="n">
        <v>7932</v>
      </c>
    </row>
    <row r="31">
      <c r="A31" s="3" t="inlineStr">
        <is>
          <t>Goodwill</t>
        </is>
      </c>
      <c r="C31" s="5" t="n">
        <v>60</v>
      </c>
      <c r="D31" s="5" t="n">
        <v>60</v>
      </c>
      <c r="E31" s="5" t="n">
        <v>60</v>
      </c>
      <c r="F31" s="5" t="n">
        <v>60</v>
      </c>
    </row>
    <row r="32">
      <c r="A32" s="2" t="inlineStr">
        <is>
          <t>Total Assets</t>
        </is>
      </c>
      <c r="C32" s="5" t="n">
        <v>11456</v>
      </c>
      <c r="D32" s="5" t="n">
        <v>12880</v>
      </c>
      <c r="E32" s="5" t="n">
        <v>11387</v>
      </c>
      <c r="F32" s="5" t="n">
        <v>12356</v>
      </c>
    </row>
    <row r="34">
      <c r="A34" s="3" t="inlineStr">
        <is>
          <t>Current Liabilities</t>
        </is>
      </c>
      <c r="C34" s="5" t="n">
        <v>826</v>
      </c>
      <c r="D34" s="5" t="n">
        <v>2580</v>
      </c>
      <c r="E34" s="5" t="n">
        <v>1048</v>
      </c>
      <c r="F34" s="5" t="n">
        <v>1234</v>
      </c>
    </row>
    <row r="35">
      <c r="A35" s="3" t="inlineStr">
        <is>
          <t>Total Debt</t>
        </is>
      </c>
      <c r="C35" s="5" t="n">
        <v>3435</v>
      </c>
      <c r="D35" s="5" t="n">
        <v>1346</v>
      </c>
      <c r="E35" s="5" t="n">
        <v>248</v>
      </c>
      <c r="F35" s="5" t="n">
        <v>112</v>
      </c>
    </row>
    <row r="36">
      <c r="A36" s="2" t="inlineStr">
        <is>
          <t>Total Liabilities</t>
        </is>
      </c>
      <c r="C36" s="5" t="n">
        <v>5654</v>
      </c>
      <c r="D36" s="5" t="n">
        <v>5444</v>
      </c>
      <c r="E36" s="5" t="n">
        <v>2914</v>
      </c>
      <c r="F36" s="5" t="n">
        <v>3039</v>
      </c>
    </row>
    <row r="38">
      <c r="A38" s="2" t="inlineStr">
        <is>
          <t>Total Equity</t>
        </is>
      </c>
      <c r="C38" s="5" t="n">
        <v>6146</v>
      </c>
      <c r="D38" s="5" t="n">
        <v>8030</v>
      </c>
      <c r="E38" s="5" t="n">
        <v>8442</v>
      </c>
      <c r="F38" s="5" t="n">
        <v>9317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1900</v>
      </c>
      <c r="D42" s="5" t="n">
        <v>6528</v>
      </c>
      <c r="E42" s="5" t="n">
        <v>1261</v>
      </c>
      <c r="F42" s="5" t="n">
        <v>2133</v>
      </c>
    </row>
    <row r="43">
      <c r="A43" s="3" t="inlineStr">
        <is>
          <t>Capital Expenditure</t>
        </is>
      </c>
      <c r="C43" s="5" t="n">
        <v>-269</v>
      </c>
      <c r="D43" s="5" t="n">
        <v>-550</v>
      </c>
      <c r="E43" s="5" t="n">
        <v>-622</v>
      </c>
      <c r="F43" s="5" t="n">
        <v>-705</v>
      </c>
    </row>
    <row r="44">
      <c r="A44" s="2" t="inlineStr">
        <is>
          <t>Free Cash Flow</t>
        </is>
      </c>
      <c r="C44" s="5" t="n">
        <v>1631</v>
      </c>
      <c r="D44" s="5" t="n">
        <v>5978</v>
      </c>
      <c r="E44" s="5" t="n">
        <v>639</v>
      </c>
      <c r="F44" s="5" t="n">
        <v>1428</v>
      </c>
    </row>
    <row r="46">
      <c r="A46" s="3" t="inlineStr">
        <is>
          <t>D&amp;A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3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3" t="inlineStr">
        <is>
          <t>Change in Working Capital</t>
        </is>
      </c>
      <c r="C48" s="5" t="n">
        <v>0</v>
      </c>
      <c r="D48" s="5" t="n">
        <v>0</v>
      </c>
      <c r="E48" s="5" t="n">
        <v>0</v>
      </c>
      <c r="F4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Yancoal Australia Ltd (YAL.AX)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3" t="inlineStr">
        <is>
          <t>($M)</t>
        </is>
      </c>
      <c r="C4" s="1" t="inlineStr">
        <is>
          <t>FY2021</t>
        </is>
      </c>
      <c r="D4" s="1" t="inlineStr">
        <is>
          <t>FY2022</t>
        </is>
      </c>
      <c r="E4" s="1" t="inlineStr">
        <is>
          <t>FY2023</t>
        </is>
      </c>
      <c r="F4" s="1" t="inlineStr">
        <is>
          <t>FY2024</t>
        </is>
      </c>
      <c r="G4" s="1" t="inlineStr">
        <is>
          <t>FY2025</t>
        </is>
      </c>
      <c r="H4" s="1" t="inlineStr">
        <is>
          <t>FY2026</t>
        </is>
      </c>
      <c r="I4" s="1" t="inlineStr">
        <is>
          <t>FY2027</t>
        </is>
      </c>
      <c r="J4" s="1" t="inlineStr">
        <is>
          <t>FY2028</t>
        </is>
      </c>
      <c r="K4" s="1" t="inlineStr">
        <is>
          <t>FY2029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Thermal Coal</t>
        </is>
      </c>
      <c r="C8" s="5" t="n">
        <v>5409</v>
      </c>
      <c r="D8" s="5" t="n">
        <v>10517</v>
      </c>
      <c r="E8" s="5" t="n">
        <v>7558</v>
      </c>
      <c r="F8" s="5" t="n">
        <v>6766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3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3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3" t="inlineStr">
        <is>
          <t>Cost of Goods Sold (COGS)</t>
        </is>
      </c>
      <c r="C16" s="5" t="n">
        <v>979</v>
      </c>
      <c r="D16" s="5" t="n">
        <v>1117</v>
      </c>
      <c r="E16" s="5" t="n">
        <v>1245</v>
      </c>
      <c r="F16" s="5" t="n">
        <v>1400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3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3" t="inlineStr">
        <is>
          <t>SG&amp;A Expense</t>
        </is>
      </c>
      <c r="C20" s="5" t="n">
        <v>1224</v>
      </c>
      <c r="D20" s="5" t="n">
        <v>1343</v>
      </c>
      <c r="E20" s="5" t="n">
        <v>1518</v>
      </c>
      <c r="F20" s="5" t="n">
        <v>1627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3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3" t="inlineStr">
        <is>
          <t>Depreciation &amp; Amortization</t>
        </is>
      </c>
      <c r="C22" s="5" t="n">
        <v>831</v>
      </c>
      <c r="D22" s="5" t="n">
        <v>837</v>
      </c>
      <c r="E22" s="5" t="n">
        <v>881</v>
      </c>
      <c r="F22" s="5" t="n">
        <v>750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3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3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3" t="inlineStr">
        <is>
          <t>Interest Expense</t>
        </is>
      </c>
      <c r="C29" s="5" t="n">
        <v>251</v>
      </c>
      <c r="D29" s="5" t="n">
        <v>45</v>
      </c>
      <c r="E29" s="5" t="n">
        <v>43</v>
      </c>
      <c r="F29" s="5" t="n">
        <v>31</v>
      </c>
      <c r="G29" s="5" t="n">
        <v>31</v>
      </c>
      <c r="H29" s="5" t="n">
        <v>31</v>
      </c>
      <c r="I29" s="5" t="n">
        <v>31</v>
      </c>
      <c r="J29" s="5" t="n">
        <v>31</v>
      </c>
      <c r="K29" s="5" t="n">
        <v>31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3" t="inlineStr">
        <is>
          <t>Taxes</t>
        </is>
      </c>
      <c r="C31" s="5" t="n">
        <v>312</v>
      </c>
      <c r="D31" s="5" t="n">
        <v>1505</v>
      </c>
      <c r="E31" s="5" t="n">
        <v>764</v>
      </c>
      <c r="F31" s="5" t="n">
        <v>473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3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3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3" t="inlineStr">
        <is>
          <t>(+/-) Change in Working Capital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3" t="inlineStr">
        <is>
          <t>(-) Capital Expenditure</t>
        </is>
      </c>
      <c r="C42" s="5" t="n">
        <v>-269</v>
      </c>
      <c r="D42" s="5" t="n">
        <v>-550</v>
      </c>
      <c r="E42" s="5" t="n">
        <v>-622</v>
      </c>
      <c r="F42" s="5" t="n">
        <v>-705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Yancoal Australia Ltd (YAL.AX)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5.64</v>
      </c>
    </row>
    <row r="4">
      <c r="A4" s="3" t="inlineStr">
        <is>
          <t>Year</t>
        </is>
      </c>
      <c r="G4" s="1" t="n">
        <v>2025</v>
      </c>
      <c r="H4" s="1" t="n">
        <v>2026</v>
      </c>
      <c r="I4" s="1" t="n">
        <v>2027</v>
      </c>
      <c r="J4" s="1" t="n">
        <v>2028</v>
      </c>
      <c r="K4" s="1" t="n">
        <v>2029</v>
      </c>
    </row>
    <row r="5">
      <c r="A5" s="3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3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3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3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3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3" t="inlineStr">
        <is>
          <t>WACC</t>
        </is>
      </c>
      <c r="C15" s="7">
        <f>Assumptions!C42</f>
        <v/>
      </c>
    </row>
    <row r="16">
      <c r="A16" s="3" t="inlineStr">
        <is>
          <t>Terminal Value Multiple</t>
        </is>
      </c>
      <c r="C16" s="10">
        <f>Assumptions!C48</f>
        <v/>
      </c>
    </row>
    <row r="18">
      <c r="A18" s="3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3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3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3" t="inlineStr">
        <is>
          <t>Sum of PV of UFCF ($M)</t>
        </is>
      </c>
      <c r="C25" s="8">
        <f>SUM(G19:K19)</f>
        <v/>
      </c>
    </row>
    <row r="26">
      <c r="A26" s="3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3" t="inlineStr">
        <is>
          <t>(-) Net Debt ($M)</t>
        </is>
      </c>
      <c r="C29" s="18" t="n">
        <v>-0</v>
      </c>
    </row>
    <row r="30">
      <c r="A30" s="2" t="inlineStr">
        <is>
          <t>Equity Value ($M)</t>
        </is>
      </c>
      <c r="C30" s="8">
        <f>C27+C29</f>
        <v/>
      </c>
    </row>
    <row r="32">
      <c r="A32" s="3" t="inlineStr">
        <is>
          <t>Shares Outstanding (M)</t>
        </is>
      </c>
      <c r="C32" s="18" t="n">
        <v>1320.439437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C33/5.64-1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3" t="inlineStr">
        <is>
          <t>WACC \ TV Multiple</t>
        </is>
      </c>
      <c r="C38" s="1" t="inlineStr">
        <is>
          <t>2x</t>
        </is>
      </c>
      <c r="D38" s="1" t="inlineStr">
        <is>
          <t>4x</t>
        </is>
      </c>
      <c r="E38" s="1" t="inlineStr">
        <is>
          <t>6x</t>
        </is>
      </c>
      <c r="F38" s="1" t="inlineStr">
        <is>
          <t>8x</t>
        </is>
      </c>
      <c r="G38" s="1" t="inlineStr">
        <is>
          <t>10x</t>
        </is>
      </c>
    </row>
    <row r="39">
      <c r="A39" s="21" t="n">
        <v>0.07000000000000001</v>
      </c>
      <c r="C39" s="22">
        <f>(G$12/(1+$A$39)^1+H$12/(1+$A$39)^2+I$12/(1+$A$39)^3+J$12/(1+$A$39)^4+K$12/(1+$A$39)^5+K$12*2/(1+$A$39)^5+$C$29)/$C$32</f>
        <v/>
      </c>
      <c r="D39" s="22">
        <f>(G$12/(1+$A$39)^1+H$12/(1+$A$39)^2+I$12/(1+$A$39)^3+J$12/(1+$A$39)^4+K$12/(1+$A$39)^5+K$12*4/(1+$A$39)^5+$C$29)/$C$32</f>
        <v/>
      </c>
      <c r="E39" s="22">
        <f>(G$12/(1+$A$39)^1+H$12/(1+$A$39)^2+I$12/(1+$A$39)^3+J$12/(1+$A$39)^4+K$12/(1+$A$39)^5+K$12*6/(1+$A$39)^5+$C$29)/$C$32</f>
        <v/>
      </c>
      <c r="F39" s="22">
        <f>(G$12/(1+$A$39)^1+H$12/(1+$A$39)^2+I$12/(1+$A$39)^3+J$12/(1+$A$39)^4+K$12/(1+$A$39)^5+K$12*8/(1+$A$39)^5+$C$29)/$C$32</f>
        <v/>
      </c>
      <c r="G39" s="22">
        <f>(G$12/(1+$A$39)^1+H$12/(1+$A$39)^2+I$12/(1+$A$39)^3+J$12/(1+$A$39)^4+K$12/(1+$A$39)^5+K$12*10/(1+$A$39)^5+$C$29)/$C$32</f>
        <v/>
      </c>
    </row>
    <row r="40">
      <c r="A40" s="21" t="n">
        <v>0.08</v>
      </c>
      <c r="C40" s="22">
        <f>(G$12/(1+$A$40)^1+H$12/(1+$A$40)^2+I$12/(1+$A$40)^3+J$12/(1+$A$40)^4+K$12/(1+$A$40)^5+K$12*2/(1+$A$40)^5+$C$29)/$C$32</f>
        <v/>
      </c>
      <c r="D40" s="22">
        <f>(G$12/(1+$A$40)^1+H$12/(1+$A$40)^2+I$12/(1+$A$40)^3+J$12/(1+$A$40)^4+K$12/(1+$A$40)^5+K$12*4/(1+$A$40)^5+$C$29)/$C$32</f>
        <v/>
      </c>
      <c r="E40" s="22">
        <f>(G$12/(1+$A$40)^1+H$12/(1+$A$40)^2+I$12/(1+$A$40)^3+J$12/(1+$A$40)^4+K$12/(1+$A$40)^5+K$12*6/(1+$A$40)^5+$C$29)/$C$32</f>
        <v/>
      </c>
      <c r="F40" s="22">
        <f>(G$12/(1+$A$40)^1+H$12/(1+$A$40)^2+I$12/(1+$A$40)^3+J$12/(1+$A$40)^4+K$12/(1+$A$40)^5+K$12*8/(1+$A$40)^5+$C$29)/$C$32</f>
        <v/>
      </c>
      <c r="G40" s="22">
        <f>(G$12/(1+$A$40)^1+H$12/(1+$A$40)^2+I$12/(1+$A$40)^3+J$12/(1+$A$40)^4+K$12/(1+$A$40)^5+K$12*10/(1+$A$40)^5+$C$29)/$C$32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(G$12/(1+$A$41)^1+H$12/(1+$A$41)^2+I$12/(1+$A$41)^3+J$12/(1+$A$41)^4+K$12/(1+$A$41)^5+K$12*2/(1+$A$41)^5+$C$29)/$C$32</f>
        <v/>
      </c>
      <c r="D41" s="22">
        <f>(G$12/(1+$A$41)^1+H$12/(1+$A$41)^2+I$12/(1+$A$41)^3+J$12/(1+$A$41)^4+K$12/(1+$A$41)^5+K$12*4/(1+$A$41)^5+$C$29)/$C$32</f>
        <v/>
      </c>
      <c r="E41" s="22">
        <f>(G$12/(1+$A$41)^1+H$12/(1+$A$41)^2+I$12/(1+$A$41)^3+J$12/(1+$A$41)^4+K$12/(1+$A$41)^5+K$12*6/(1+$A$41)^5+$C$29)/$C$32</f>
        <v/>
      </c>
      <c r="F41" s="22">
        <f>(G$12/(1+$A$41)^1+H$12/(1+$A$41)^2+I$12/(1+$A$41)^3+J$12/(1+$A$41)^4+K$12/(1+$A$41)^5+K$12*8/(1+$A$41)^5+$C$29)/$C$32</f>
        <v/>
      </c>
      <c r="G41" s="22">
        <f>(G$12/(1+$A$41)^1+H$12/(1+$A$41)^2+I$12/(1+$A$41)^3+J$12/(1+$A$41)^4+K$12/(1+$A$41)^5+K$12*10/(1+$A$41)^5+$C$29)/$C$32</f>
        <v/>
      </c>
    </row>
    <row r="42">
      <c r="A42" s="21" t="n">
        <v>0.1</v>
      </c>
      <c r="C42" s="22">
        <f>(G$12/(1+$A$42)^1+H$12/(1+$A$42)^2+I$12/(1+$A$42)^3+J$12/(1+$A$42)^4+K$12/(1+$A$42)^5+K$12*2/(1+$A$42)^5+$C$29)/$C$32</f>
        <v/>
      </c>
      <c r="D42" s="22">
        <f>(G$12/(1+$A$42)^1+H$12/(1+$A$42)^2+I$12/(1+$A$42)^3+J$12/(1+$A$42)^4+K$12/(1+$A$42)^5+K$12*4/(1+$A$42)^5+$C$29)/$C$32</f>
        <v/>
      </c>
      <c r="E42" s="23">
        <f>(G$12/(1+$A$42)^1+H$12/(1+$A$42)^2+I$12/(1+$A$42)^3+J$12/(1+$A$42)^4+K$12/(1+$A$42)^5+K$12*6/(1+$A$42)^5+$C$29)/$C$32</f>
        <v/>
      </c>
      <c r="F42" s="22">
        <f>(G$12/(1+$A$42)^1+H$12/(1+$A$42)^2+I$12/(1+$A$42)^3+J$12/(1+$A$42)^4+K$12/(1+$A$42)^5+K$12*8/(1+$A$42)^5+$C$29)/$C$32</f>
        <v/>
      </c>
      <c r="G42" s="22">
        <f>(G$12/(1+$A$42)^1+H$12/(1+$A$42)^2+I$12/(1+$A$42)^3+J$12/(1+$A$42)^4+K$12/(1+$A$42)^5+K$12*10/(1+$A$42)^5+$C$29)/$C$32</f>
        <v/>
      </c>
    </row>
    <row r="43">
      <c r="A43" s="21" t="n">
        <v>0.11</v>
      </c>
      <c r="C43" s="22">
        <f>(G$12/(1+$A$43)^1+H$12/(1+$A$43)^2+I$12/(1+$A$43)^3+J$12/(1+$A$43)^4+K$12/(1+$A$43)^5+K$12*2/(1+$A$43)^5+$C$29)/$C$32</f>
        <v/>
      </c>
      <c r="D43" s="22">
        <f>(G$12/(1+$A$43)^1+H$12/(1+$A$43)^2+I$12/(1+$A$43)^3+J$12/(1+$A$43)^4+K$12/(1+$A$43)^5+K$12*4/(1+$A$43)^5+$C$29)/$C$32</f>
        <v/>
      </c>
      <c r="E43" s="22">
        <f>(G$12/(1+$A$43)^1+H$12/(1+$A$43)^2+I$12/(1+$A$43)^3+J$12/(1+$A$43)^4+K$12/(1+$A$43)^5+K$12*6/(1+$A$43)^5+$C$29)/$C$32</f>
        <v/>
      </c>
      <c r="F43" s="22">
        <f>(G$12/(1+$A$43)^1+H$12/(1+$A$43)^2+I$12/(1+$A$43)^3+J$12/(1+$A$43)^4+K$12/(1+$A$43)^5+K$12*8/(1+$A$43)^5+$C$29)/$C$32</f>
        <v/>
      </c>
      <c r="G43" s="22">
        <f>(G$12/(1+$A$43)^1+H$12/(1+$A$43)^2+I$12/(1+$A$43)^3+J$12/(1+$A$43)^4+K$12/(1+$A$43)^5+K$12*10/(1+$A$43)^5+$C$29)/$C$32</f>
        <v/>
      </c>
    </row>
    <row r="44">
      <c r="A44" s="21" t="n">
        <v>0.12</v>
      </c>
      <c r="C44" s="22">
        <f>(G$12/(1+$A$44)^1+H$12/(1+$A$44)^2+I$12/(1+$A$44)^3+J$12/(1+$A$44)^4+K$12/(1+$A$44)^5+K$12*2/(1+$A$44)^5+$C$29)/$C$32</f>
        <v/>
      </c>
      <c r="D44" s="22">
        <f>(G$12/(1+$A$44)^1+H$12/(1+$A$44)^2+I$12/(1+$A$44)^3+J$12/(1+$A$44)^4+K$12/(1+$A$44)^5+K$12*4/(1+$A$44)^5+$C$29)/$C$32</f>
        <v/>
      </c>
      <c r="E44" s="22">
        <f>(G$12/(1+$A$44)^1+H$12/(1+$A$44)^2+I$12/(1+$A$44)^3+J$12/(1+$A$44)^4+K$12/(1+$A$44)^5+K$12*6/(1+$A$44)^5+$C$29)/$C$32</f>
        <v/>
      </c>
      <c r="F44" s="22">
        <f>(G$12/(1+$A$44)^1+H$12/(1+$A$44)^2+I$12/(1+$A$44)^3+J$12/(1+$A$44)^4+K$12/(1+$A$44)^5+K$12*8/(1+$A$44)^5+$C$29)/$C$32</f>
        <v/>
      </c>
      <c r="G44" s="22">
        <f>(G$12/(1+$A$44)^1+H$12/(1+$A$44)^2+I$12/(1+$A$44)^3+J$12/(1+$A$44)^4+K$12/(1+$A$44)^5+K$12*10/(1+$A$44)^5+$C$29)/$C$32</f>
        <v/>
      </c>
    </row>
    <row r="45">
      <c r="A45" s="21" t="n">
        <v>0.13</v>
      </c>
      <c r="C45" s="22">
        <f>(G$12/(1+$A$45)^1+H$12/(1+$A$45)^2+I$12/(1+$A$45)^3+J$12/(1+$A$45)^4+K$12/(1+$A$45)^5+K$12*2/(1+$A$45)^5+$C$29)/$C$32</f>
        <v/>
      </c>
      <c r="D45" s="22">
        <f>(G$12/(1+$A$45)^1+H$12/(1+$A$45)^2+I$12/(1+$A$45)^3+J$12/(1+$A$45)^4+K$12/(1+$A$45)^5+K$12*4/(1+$A$45)^5+$C$29)/$C$32</f>
        <v/>
      </c>
      <c r="E45" s="22">
        <f>(G$12/(1+$A$45)^1+H$12/(1+$A$45)^2+I$12/(1+$A$45)^3+J$12/(1+$A$45)^4+K$12/(1+$A$45)^5+K$12*6/(1+$A$45)^5+$C$29)/$C$32</f>
        <v/>
      </c>
      <c r="F45" s="22">
        <f>(G$12/(1+$A$45)^1+H$12/(1+$A$45)^2+I$12/(1+$A$45)^3+J$12/(1+$A$45)^4+K$12/(1+$A$45)^5+K$12*8/(1+$A$45)^5+$C$29)/$C$32</f>
        <v/>
      </c>
      <c r="G45" s="22">
        <f>(G$12/(1+$A$45)^1+H$12/(1+$A$45)^2+I$12/(1+$A$45)^3+J$12/(1+$A$45)^4+K$12/(1+$A$45)^5+K$12*10/(1+$A$45)^5+$C$29)/$C$32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2026-02-26T20:36:05Z</dcterms:created>
  <dcterms:modified xmlns:dcterms="http://purl.org/dc/terms/" xmlns:xsi="http://www.w3.org/2001/XMLSchema-instance" xsi:type="dcterms:W3CDTF">2026-02-26T20:36:05Z</dcterms:modified>
</cp:coreProperties>
</file>