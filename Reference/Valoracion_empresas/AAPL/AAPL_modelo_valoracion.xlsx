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sz val="10"/>
    </font>
    <font>
      <name val="Calibri"/>
      <color rgb="FF0000FF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164" fontId="3" fillId="0" borderId="0" pivotButton="0" quotePrefix="0" xfId="0"/>
    <xf numFmtId="165" fontId="4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4" fillId="3" borderId="0" pivotButton="0" quotePrefix="0" xfId="0"/>
    <xf numFmtId="166" fontId="0" fillId="0" borderId="0" pivotButton="0" quotePrefix="0" xfId="0"/>
    <xf numFmtId="165" fontId="3" fillId="0" borderId="0" pivotButton="0" quotePrefix="0" xfId="0"/>
    <xf numFmtId="167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4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Apple Inc. (AAPL)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B2" s="3" t="inlineStr"/>
      <c r="G2" s="4" t="n">
        <v>1</v>
      </c>
      <c r="H2" s="3" t="inlineStr">
        <is>
          <t>1=Base, 2=Bull, 3=Bear</t>
        </is>
      </c>
    </row>
    <row r="4">
      <c r="A4" s="3" t="inlineStr"/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Consumer Electronics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394328</v>
      </c>
      <c r="D7" s="5" t="n">
        <v>383285</v>
      </c>
      <c r="E7" s="5" t="n">
        <v>391035</v>
      </c>
      <c r="F7" s="5" t="n">
        <v>416161</v>
      </c>
    </row>
    <row r="8">
      <c r="A8" s="3" t="inlineStr">
        <is>
          <t xml:space="preserve">  Revenue Growth - Base</t>
        </is>
      </c>
      <c r="G8" s="6" t="n">
        <v>0.157</v>
      </c>
      <c r="H8" s="6" t="n">
        <v>0.1413</v>
      </c>
      <c r="I8" s="6" t="n">
        <v>0.1256</v>
      </c>
      <c r="J8" s="6" t="n">
        <v>0.1099</v>
      </c>
      <c r="K8" s="6" t="n">
        <v>0.09419999999999999</v>
      </c>
    </row>
    <row r="9">
      <c r="A9" s="3" t="inlineStr">
        <is>
          <t xml:space="preserve">  Revenue Growth - Bull</t>
        </is>
      </c>
      <c r="G9" s="6" t="n">
        <v>0.2041</v>
      </c>
      <c r="H9" s="6" t="n">
        <v>0.19939</v>
      </c>
      <c r="I9" s="6" t="n">
        <v>0.19468</v>
      </c>
      <c r="J9" s="6" t="n">
        <v>0.18997</v>
      </c>
      <c r="K9" s="6" t="n">
        <v>0.18526</v>
      </c>
    </row>
    <row r="10">
      <c r="A10" s="3" t="inlineStr">
        <is>
          <t xml:space="preserve">  Revenue Growth - Bear</t>
        </is>
      </c>
      <c r="G10" s="6" t="n">
        <v>0.1099</v>
      </c>
      <c r="H10" s="6" t="n">
        <v>0.11461</v>
      </c>
      <c r="I10" s="6" t="n">
        <v>0.11932</v>
      </c>
      <c r="J10" s="6" t="n">
        <v>0.12403</v>
      </c>
      <c r="K10" s="6" t="n">
        <v>0.12874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3" t="inlineStr">
        <is>
          <t>Gross Margin - Base</t>
        </is>
      </c>
      <c r="G15" s="6" t="n">
        <v>0.4513806851524051</v>
      </c>
      <c r="H15" s="6" t="n">
        <v>0.4513806851524051</v>
      </c>
      <c r="I15" s="6" t="n">
        <v>0.4513806851524051</v>
      </c>
      <c r="J15" s="6" t="n">
        <v>0.4513806851524051</v>
      </c>
      <c r="K15" s="6" t="n">
        <v>0.4513806851524051</v>
      </c>
    </row>
    <row r="16">
      <c r="A16" s="3" t="inlineStr">
        <is>
          <t>Gross Margin - Bull</t>
        </is>
      </c>
      <c r="G16" s="6" t="n">
        <v>0.4713806851524051</v>
      </c>
      <c r="H16" s="6" t="n">
        <v>0.4713806851524051</v>
      </c>
      <c r="I16" s="6" t="n">
        <v>0.4713806851524051</v>
      </c>
      <c r="J16" s="6" t="n">
        <v>0.4713806851524051</v>
      </c>
      <c r="K16" s="6" t="n">
        <v>0.4713806851524051</v>
      </c>
    </row>
    <row r="17">
      <c r="A17" s="3" t="inlineStr">
        <is>
          <t>Gross Margin - Bear</t>
        </is>
      </c>
      <c r="G17" s="6" t="n">
        <v>0.4313806851524051</v>
      </c>
      <c r="H17" s="6" t="n">
        <v>0.4313806851524051</v>
      </c>
      <c r="I17" s="6" t="n">
        <v>0.4313806851524051</v>
      </c>
      <c r="J17" s="6" t="n">
        <v>0.4313806851524051</v>
      </c>
      <c r="K17" s="6" t="n">
        <v>0.4313806851524051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3" t="inlineStr">
        <is>
          <t>SG&amp;A % Revenue - Base</t>
        </is>
      </c>
      <c r="G20" s="6" t="n">
        <v>0.06543668517974537</v>
      </c>
      <c r="H20" s="6" t="n">
        <v>0.06543668517974537</v>
      </c>
      <c r="I20" s="6" t="n">
        <v>0.06543668517974537</v>
      </c>
      <c r="J20" s="6" t="n">
        <v>0.06543668517974537</v>
      </c>
      <c r="K20" s="6" t="n">
        <v>0.06543668517974537</v>
      </c>
    </row>
    <row r="21">
      <c r="A21" s="3" t="inlineStr">
        <is>
          <t>SG&amp;A % Revenue - Bull</t>
        </is>
      </c>
      <c r="G21" s="6" t="n">
        <v>0.05543668517974536</v>
      </c>
      <c r="H21" s="6" t="n">
        <v>0.05543668517974536</v>
      </c>
      <c r="I21" s="6" t="n">
        <v>0.05543668517974536</v>
      </c>
      <c r="J21" s="6" t="n">
        <v>0.05543668517974536</v>
      </c>
      <c r="K21" s="6" t="n">
        <v>0.05543668517974536</v>
      </c>
    </row>
    <row r="22">
      <c r="A22" s="3" t="inlineStr">
        <is>
          <t>SG&amp;A % Revenue - Bear</t>
        </is>
      </c>
      <c r="G22" s="6" t="n">
        <v>0.07543668517974536</v>
      </c>
      <c r="H22" s="6" t="n">
        <v>0.07543668517974536</v>
      </c>
      <c r="I22" s="6" t="n">
        <v>0.07543668517974536</v>
      </c>
      <c r="J22" s="6" t="n">
        <v>0.07543668517974536</v>
      </c>
      <c r="K22" s="6" t="n">
        <v>0.07543668517974536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3" t="inlineStr">
        <is>
          <t>R&amp;D % Revenue - Base</t>
        </is>
      </c>
      <c r="G25" s="6" t="n">
        <v>0.07696605173960779</v>
      </c>
      <c r="H25" s="6" t="n">
        <v>0.07696605173960779</v>
      </c>
      <c r="I25" s="6" t="n">
        <v>0.07696605173960779</v>
      </c>
      <c r="J25" s="6" t="n">
        <v>0.07696605173960779</v>
      </c>
      <c r="K25" s="6" t="n">
        <v>0.07696605173960779</v>
      </c>
    </row>
    <row r="26">
      <c r="A26" s="3" t="inlineStr">
        <is>
          <t>R&amp;D % Revenue - Bull</t>
        </is>
      </c>
      <c r="G26" s="6" t="n">
        <v>0.07696605173960779</v>
      </c>
      <c r="H26" s="6" t="n">
        <v>0.07696605173960779</v>
      </c>
      <c r="I26" s="6" t="n">
        <v>0.07696605173960779</v>
      </c>
      <c r="J26" s="6" t="n">
        <v>0.07696605173960779</v>
      </c>
      <c r="K26" s="6" t="n">
        <v>0.07696605173960779</v>
      </c>
    </row>
    <row r="27">
      <c r="A27" s="3" t="inlineStr">
        <is>
          <t>R&amp;D % Revenue - Bear</t>
        </is>
      </c>
      <c r="G27" s="6" t="n">
        <v>0.08196605173960779</v>
      </c>
      <c r="H27" s="6" t="n">
        <v>0.08196605173960779</v>
      </c>
      <c r="I27" s="6" t="n">
        <v>0.08196605173960779</v>
      </c>
      <c r="J27" s="6" t="n">
        <v>0.08196605173960779</v>
      </c>
      <c r="K27" s="6" t="n">
        <v>0.08196605173960779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3" t="inlineStr">
        <is>
          <t>D&amp;A % Revenue</t>
        </is>
      </c>
      <c r="G30" s="6" t="n">
        <v>0.02889761166940512</v>
      </c>
      <c r="H30" s="6" t="n">
        <v>0.02889761166940512</v>
      </c>
      <c r="I30" s="6" t="n">
        <v>0.02889761166940512</v>
      </c>
      <c r="J30" s="6" t="n">
        <v>0.02889761166940512</v>
      </c>
      <c r="K30" s="6" t="n">
        <v>0.02889761166940512</v>
      </c>
    </row>
    <row r="31">
      <c r="A31" s="3" t="inlineStr">
        <is>
          <t>CapEx % Revenue</t>
        </is>
      </c>
      <c r="G31" s="6" t="n">
        <v>0.02761485036770544</v>
      </c>
      <c r="H31" s="6" t="n">
        <v>0.02761485036770544</v>
      </c>
      <c r="I31" s="6" t="n">
        <v>0.02761485036770544</v>
      </c>
      <c r="J31" s="6" t="n">
        <v>0.02761485036770544</v>
      </c>
      <c r="K31" s="6" t="n">
        <v>0.02761485036770544</v>
      </c>
    </row>
    <row r="32">
      <c r="A32" s="3" t="inlineStr">
        <is>
          <t>Tax Rate</t>
        </is>
      </c>
      <c r="G32" s="6" t="n">
        <v>0.1763042098965495</v>
      </c>
      <c r="H32" s="6" t="n">
        <v>0.1763042098965495</v>
      </c>
      <c r="I32" s="6" t="n">
        <v>0.1763042098965495</v>
      </c>
      <c r="J32" s="6" t="n">
        <v>0.1763042098965495</v>
      </c>
      <c r="K32" s="6" t="n">
        <v>0.1763042098965495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3" t="inlineStr">
        <is>
          <t>WACC - Base</t>
        </is>
      </c>
      <c r="C35" s="6" t="n">
        <v>0.1044</v>
      </c>
    </row>
    <row r="36">
      <c r="A36" s="3" t="inlineStr">
        <is>
          <t>WACC - Bull</t>
        </is>
      </c>
      <c r="C36" s="6" t="n">
        <v>0.09440000000000001</v>
      </c>
    </row>
    <row r="37">
      <c r="A37" s="3" t="inlineStr">
        <is>
          <t>WACC - Bear</t>
        </is>
      </c>
      <c r="C37" s="6" t="n">
        <v>0.1244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3" t="inlineStr">
        <is>
          <t>Terminal Value Multiple - Base</t>
        </is>
      </c>
      <c r="C40" s="9" t="n">
        <v>19</v>
      </c>
    </row>
    <row r="41">
      <c r="A41" s="3" t="inlineStr">
        <is>
          <t>Terminal Value Multiple - Bull</t>
        </is>
      </c>
      <c r="C41" s="9" t="n">
        <v>21</v>
      </c>
    </row>
    <row r="42">
      <c r="A42" s="3" t="inlineStr">
        <is>
          <t>Terminal Value Multiple - Bear</t>
        </is>
      </c>
      <c r="C42" s="9" t="n">
        <v>16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Apple Inc. (AAPL) - Historical Financial Statements</t>
        </is>
      </c>
      <c r="B1" s="1" t="n"/>
      <c r="C1" s="1" t="n"/>
      <c r="D1" s="1" t="n"/>
      <c r="E1" s="1" t="n"/>
      <c r="F1" s="1" t="n"/>
    </row>
    <row r="3">
      <c r="A3" s="3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394328</v>
      </c>
      <c r="D6" s="5" t="n">
        <v>383285</v>
      </c>
      <c r="E6" s="5" t="n">
        <v>391035</v>
      </c>
      <c r="F6" s="5" t="n">
        <v>416161</v>
      </c>
    </row>
    <row r="7">
      <c r="A7" s="3" t="inlineStr">
        <is>
          <t>Cost of Revenue</t>
        </is>
      </c>
      <c r="C7" s="5" t="n">
        <v>223546</v>
      </c>
      <c r="D7" s="5" t="n">
        <v>214137</v>
      </c>
      <c r="E7" s="5" t="n">
        <v>210352</v>
      </c>
      <c r="F7" s="5" t="n">
        <v>220960</v>
      </c>
    </row>
    <row r="8">
      <c r="A8" s="2" t="inlineStr">
        <is>
          <t>Gross Profit</t>
        </is>
      </c>
      <c r="C8" s="5" t="n">
        <v>170782</v>
      </c>
      <c r="D8" s="5" t="n">
        <v>169148</v>
      </c>
      <c r="E8" s="5" t="n">
        <v>180683</v>
      </c>
      <c r="F8" s="5" t="n">
        <v>195201</v>
      </c>
    </row>
    <row r="9">
      <c r="A9" s="3" t="inlineStr">
        <is>
          <t xml:space="preserve">  Gross Margin</t>
        </is>
      </c>
      <c r="C9" s="11" t="n">
        <v>0.4330963056136009</v>
      </c>
      <c r="D9" s="11" t="n">
        <v>0.4413112957720756</v>
      </c>
      <c r="E9" s="11" t="n">
        <v>0.4620634981523393</v>
      </c>
      <c r="F9" s="11" t="n">
        <v>0.4690516410716045</v>
      </c>
    </row>
    <row r="11">
      <c r="A11" s="3" t="inlineStr">
        <is>
          <t>R&amp;D Expense</t>
        </is>
      </c>
      <c r="C11" s="5" t="n">
        <v>26251</v>
      </c>
      <c r="D11" s="5" t="n">
        <v>29915</v>
      </c>
      <c r="E11" s="5" t="n">
        <v>31370</v>
      </c>
      <c r="F11" s="5" t="n">
        <v>34550</v>
      </c>
    </row>
    <row r="12">
      <c r="A12" s="3" t="inlineStr">
        <is>
          <t>SG&amp;A Expense</t>
        </is>
      </c>
      <c r="C12" s="5" t="n">
        <v>25094</v>
      </c>
      <c r="D12" s="5" t="n">
        <v>24932</v>
      </c>
      <c r="E12" s="5" t="n">
        <v>26097</v>
      </c>
      <c r="F12" s="5" t="n">
        <v>27601</v>
      </c>
    </row>
    <row r="13">
      <c r="A13" s="2" t="inlineStr">
        <is>
          <t>Operating Income (EBIT)</t>
        </is>
      </c>
      <c r="C13" s="5" t="n">
        <v>119437</v>
      </c>
      <c r="D13" s="5" t="n">
        <v>114301</v>
      </c>
      <c r="E13" s="5" t="n">
        <v>123216</v>
      </c>
      <c r="F13" s="5" t="n">
        <v>133050</v>
      </c>
    </row>
    <row r="14">
      <c r="A14" s="3" t="inlineStr">
        <is>
          <t xml:space="preserve">  EBIT Margin</t>
        </is>
      </c>
      <c r="C14" s="11" t="n">
        <v>0.3028874439552859</v>
      </c>
      <c r="D14" s="11" t="n">
        <v>0.2982141226502472</v>
      </c>
      <c r="E14" s="11" t="n">
        <v>0.3151022287007557</v>
      </c>
      <c r="F14" s="11" t="n">
        <v>0.3197079976259188</v>
      </c>
    </row>
    <row r="16">
      <c r="A16" s="3" t="inlineStr">
        <is>
          <t>Interest Expense</t>
        </is>
      </c>
      <c r="C16" s="5" t="n">
        <v>2931</v>
      </c>
      <c r="D16" s="5" t="n">
        <v>3933</v>
      </c>
      <c r="E16" s="5" t="n">
        <v>0</v>
      </c>
      <c r="F16" s="5" t="n">
        <v>0</v>
      </c>
    </row>
    <row r="17">
      <c r="A17" s="3" t="inlineStr">
        <is>
          <t>Tax Provision</t>
        </is>
      </c>
      <c r="C17" s="5" t="n">
        <v>19300</v>
      </c>
      <c r="D17" s="5" t="n">
        <v>16741</v>
      </c>
      <c r="E17" s="5" t="n">
        <v>29749</v>
      </c>
      <c r="F17" s="5" t="n">
        <v>20719</v>
      </c>
    </row>
    <row r="18">
      <c r="A18" s="2" t="inlineStr">
        <is>
          <t>Net Income</t>
        </is>
      </c>
      <c r="C18" s="5" t="n">
        <v>99803</v>
      </c>
      <c r="D18" s="5" t="n">
        <v>96995</v>
      </c>
      <c r="E18" s="5" t="n">
        <v>93736</v>
      </c>
      <c r="F18" s="5" t="n">
        <v>112010</v>
      </c>
    </row>
    <row r="19">
      <c r="A19" s="3" t="inlineStr">
        <is>
          <t xml:space="preserve">  Net Margin</t>
        </is>
      </c>
      <c r="C19" s="11" t="n">
        <v>0.2530964070519973</v>
      </c>
      <c r="D19" s="11" t="n">
        <v>0.2530623426432028</v>
      </c>
      <c r="E19" s="11" t="n">
        <v>0.2397125576994387</v>
      </c>
      <c r="F19" s="11" t="n">
        <v>0.2691506412181824</v>
      </c>
    </row>
    <row r="21">
      <c r="A21" s="2" t="inlineStr">
        <is>
          <t>EBITDA</t>
        </is>
      </c>
      <c r="C21" s="5" t="n">
        <v>130541</v>
      </c>
      <c r="D21" s="5" t="n">
        <v>125820</v>
      </c>
      <c r="E21" s="5" t="n">
        <v>134661</v>
      </c>
      <c r="F21" s="5" t="n">
        <v>144748</v>
      </c>
    </row>
    <row r="22">
      <c r="A22" s="3" t="inlineStr">
        <is>
          <t xml:space="preserve">  EBITDA Margin</t>
        </is>
      </c>
      <c r="C22" s="11" t="n">
        <v>0.3310467428130896</v>
      </c>
      <c r="D22" s="11" t="n">
        <v>0.3282674772036474</v>
      </c>
      <c r="E22" s="11" t="n">
        <v>0.3443707085043538</v>
      </c>
      <c r="F22" s="11" t="n">
        <v>0.3478173110887373</v>
      </c>
    </row>
    <row r="23">
      <c r="A23" s="3" t="inlineStr">
        <is>
          <t>Diluted EPS</t>
        </is>
      </c>
      <c r="C23" s="12" t="n">
        <v>6.11</v>
      </c>
      <c r="D23" s="12" t="n">
        <v>6.13</v>
      </c>
      <c r="E23" s="12" t="n">
        <v>6.08</v>
      </c>
      <c r="F23" s="12" t="n">
        <v>7.46</v>
      </c>
    </row>
    <row r="24">
      <c r="A24" s="3" t="inlineStr">
        <is>
          <t>D&amp;A</t>
        </is>
      </c>
      <c r="C24" s="5" t="n">
        <v>11104</v>
      </c>
      <c r="D24" s="5" t="n">
        <v>11519</v>
      </c>
      <c r="E24" s="5" t="n">
        <v>11445</v>
      </c>
      <c r="F24" s="5" t="n">
        <v>11698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3" t="inlineStr">
        <is>
          <t>Cash &amp; Equivalents</t>
        </is>
      </c>
      <c r="C28" s="5" t="n">
        <v>23646</v>
      </c>
      <c r="D28" s="5" t="n">
        <v>29965</v>
      </c>
      <c r="E28" s="5" t="n">
        <v>29943</v>
      </c>
      <c r="F28" s="5" t="n">
        <v>35934</v>
      </c>
    </row>
    <row r="29">
      <c r="A29" s="3" t="inlineStr">
        <is>
          <t>Current Assets</t>
        </is>
      </c>
      <c r="C29" s="5" t="n">
        <v>135405</v>
      </c>
      <c r="D29" s="5" t="n">
        <v>143566</v>
      </c>
      <c r="E29" s="5" t="n">
        <v>152987</v>
      </c>
      <c r="F29" s="5" t="n">
        <v>147957</v>
      </c>
    </row>
    <row r="30">
      <c r="A30" s="3" t="inlineStr">
        <is>
          <t>Net PP&amp;E</t>
        </is>
      </c>
      <c r="C30" s="5" t="n">
        <v>42117</v>
      </c>
      <c r="D30" s="5" t="n">
        <v>43715</v>
      </c>
      <c r="E30" s="5" t="n">
        <v>45680</v>
      </c>
      <c r="F30" s="5" t="n">
        <v>49834</v>
      </c>
    </row>
    <row r="31">
      <c r="A31" s="3" t="inlineStr">
        <is>
          <t>Goodwill</t>
        </is>
      </c>
      <c r="C31" s="5" t="n">
        <v>0</v>
      </c>
      <c r="D31" s="5" t="n">
        <v>0</v>
      </c>
      <c r="E31" s="5" t="n">
        <v>0</v>
      </c>
      <c r="F31" s="5" t="n">
        <v>0</v>
      </c>
    </row>
    <row r="32">
      <c r="A32" s="2" t="inlineStr">
        <is>
          <t>Total Assets</t>
        </is>
      </c>
      <c r="C32" s="5" t="n">
        <v>352755</v>
      </c>
      <c r="D32" s="5" t="n">
        <v>352583</v>
      </c>
      <c r="E32" s="5" t="n">
        <v>364980</v>
      </c>
      <c r="F32" s="5" t="n">
        <v>359241</v>
      </c>
    </row>
    <row r="34">
      <c r="A34" s="3" t="inlineStr">
        <is>
          <t>Current Liabilities</t>
        </is>
      </c>
      <c r="C34" s="5" t="n">
        <v>153982</v>
      </c>
      <c r="D34" s="5" t="n">
        <v>145308</v>
      </c>
      <c r="E34" s="5" t="n">
        <v>176392</v>
      </c>
      <c r="F34" s="5" t="n">
        <v>165631</v>
      </c>
    </row>
    <row r="35">
      <c r="A35" s="3" t="inlineStr">
        <is>
          <t>Total Debt</t>
        </is>
      </c>
      <c r="C35" s="5" t="n">
        <v>132480</v>
      </c>
      <c r="D35" s="5" t="n">
        <v>111088</v>
      </c>
      <c r="E35" s="5" t="n">
        <v>106629</v>
      </c>
      <c r="F35" s="5" t="n">
        <v>98657</v>
      </c>
    </row>
    <row r="36">
      <c r="A36" s="2" t="inlineStr">
        <is>
          <t>Total Liabilities</t>
        </is>
      </c>
      <c r="C36" s="5" t="n">
        <v>302083</v>
      </c>
      <c r="D36" s="5" t="n">
        <v>290437</v>
      </c>
      <c r="E36" s="5" t="n">
        <v>308030</v>
      </c>
      <c r="F36" s="5" t="n">
        <v>285508</v>
      </c>
    </row>
    <row r="38">
      <c r="A38" s="2" t="inlineStr">
        <is>
          <t>Total Equity</t>
        </is>
      </c>
      <c r="C38" s="5" t="n">
        <v>50672</v>
      </c>
      <c r="D38" s="5" t="n">
        <v>62146</v>
      </c>
      <c r="E38" s="5" t="n">
        <v>56950</v>
      </c>
      <c r="F38" s="5" t="n">
        <v>73733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122151</v>
      </c>
      <c r="D42" s="5" t="n">
        <v>110543</v>
      </c>
      <c r="E42" s="5" t="n">
        <v>118254</v>
      </c>
      <c r="F42" s="5" t="n">
        <v>111482</v>
      </c>
    </row>
    <row r="43">
      <c r="A43" s="3" t="inlineStr">
        <is>
          <t>Capital Expenditure</t>
        </is>
      </c>
      <c r="C43" s="5" t="n">
        <v>-10708</v>
      </c>
      <c r="D43" s="5" t="n">
        <v>-10959</v>
      </c>
      <c r="E43" s="5" t="n">
        <v>-9447</v>
      </c>
      <c r="F43" s="5" t="n">
        <v>-12715</v>
      </c>
    </row>
    <row r="44">
      <c r="A44" s="2" t="inlineStr">
        <is>
          <t>Free Cash Flow</t>
        </is>
      </c>
      <c r="C44" s="5" t="n">
        <v>111443</v>
      </c>
      <c r="D44" s="5" t="n">
        <v>99584</v>
      </c>
      <c r="E44" s="5" t="n">
        <v>108807</v>
      </c>
      <c r="F44" s="5" t="n">
        <v>98767</v>
      </c>
    </row>
    <row r="46">
      <c r="A46" s="3" t="inlineStr">
        <is>
          <t>D&amp;A</t>
        </is>
      </c>
      <c r="C46" s="5" t="n">
        <v>11104</v>
      </c>
      <c r="D46" s="5" t="n">
        <v>11519</v>
      </c>
      <c r="E46" s="5" t="n">
        <v>11445</v>
      </c>
      <c r="F46" s="5" t="n">
        <v>11698</v>
      </c>
    </row>
    <row r="47">
      <c r="A47" s="3" t="inlineStr">
        <is>
          <t>Stock-Based Compensation</t>
        </is>
      </c>
      <c r="C47" s="5" t="n">
        <v>9038</v>
      </c>
      <c r="D47" s="5" t="n">
        <v>10833</v>
      </c>
      <c r="E47" s="5" t="n">
        <v>11688</v>
      </c>
      <c r="F47" s="5" t="n">
        <v>12863</v>
      </c>
    </row>
    <row r="48">
      <c r="A48" s="3" t="inlineStr">
        <is>
          <t>Change in Working Capital</t>
        </is>
      </c>
      <c r="C48" s="5" t="n">
        <v>1200</v>
      </c>
      <c r="D48" s="5" t="n">
        <v>-6577</v>
      </c>
      <c r="E48" s="5" t="n">
        <v>3651</v>
      </c>
      <c r="F48" s="5" t="n">
        <v>-25000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Apple Inc. (AAPL)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3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Consumer Electronics</t>
        </is>
      </c>
      <c r="C8" s="5" t="n">
        <v>394328</v>
      </c>
      <c r="D8" s="5" t="n">
        <v>383285</v>
      </c>
      <c r="E8" s="5" t="n">
        <v>391035</v>
      </c>
      <c r="F8" s="5" t="n">
        <v>416161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3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3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3" t="inlineStr">
        <is>
          <t>Cost of Goods Sold (COGS)</t>
        </is>
      </c>
      <c r="C16" s="5" t="n">
        <v>223546</v>
      </c>
      <c r="D16" s="5" t="n">
        <v>214137</v>
      </c>
      <c r="E16" s="5" t="n">
        <v>210352</v>
      </c>
      <c r="F16" s="5" t="n">
        <v>220960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3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3" t="inlineStr">
        <is>
          <t>SG&amp;A Expense</t>
        </is>
      </c>
      <c r="C20" s="5" t="n">
        <v>25094</v>
      </c>
      <c r="D20" s="5" t="n">
        <v>24932</v>
      </c>
      <c r="E20" s="5" t="n">
        <v>26097</v>
      </c>
      <c r="F20" s="5" t="n">
        <v>27601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3" t="inlineStr">
        <is>
          <t>R&amp;D Expense</t>
        </is>
      </c>
      <c r="C21" s="5" t="n">
        <v>26251</v>
      </c>
      <c r="D21" s="5" t="n">
        <v>29915</v>
      </c>
      <c r="E21" s="5" t="n">
        <v>31370</v>
      </c>
      <c r="F21" s="5" t="n">
        <v>34550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3" t="inlineStr">
        <is>
          <t>Depreciation &amp; Amortization</t>
        </is>
      </c>
      <c r="C22" s="5" t="n">
        <v>11104</v>
      </c>
      <c r="D22" s="5" t="n">
        <v>11519</v>
      </c>
      <c r="E22" s="5" t="n">
        <v>11445</v>
      </c>
      <c r="F22" s="5" t="n">
        <v>11698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3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3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3" t="inlineStr">
        <is>
          <t>Interest Expense</t>
        </is>
      </c>
      <c r="C29" s="5" t="n">
        <v>2931</v>
      </c>
      <c r="D29" s="5" t="n">
        <v>3933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3" t="inlineStr">
        <is>
          <t>Taxes</t>
        </is>
      </c>
      <c r="C31" s="5" t="n">
        <v>19300</v>
      </c>
      <c r="D31" s="5" t="n">
        <v>16741</v>
      </c>
      <c r="E31" s="5" t="n">
        <v>29749</v>
      </c>
      <c r="F31" s="5" t="n">
        <v>20719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3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3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3" t="inlineStr">
        <is>
          <t>(+/-) Change in Working Capital</t>
        </is>
      </c>
      <c r="C39" s="5" t="n">
        <v>1200</v>
      </c>
      <c r="D39" s="5" t="n">
        <v>-6577</v>
      </c>
      <c r="E39" s="5" t="n">
        <v>3651</v>
      </c>
      <c r="F39" s="5" t="n">
        <v>-25000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3" t="inlineStr">
        <is>
          <t>(-) Capital Expenditure</t>
        </is>
      </c>
      <c r="C42" s="5" t="n">
        <v>-10708</v>
      </c>
      <c r="D42" s="5" t="n">
        <v>-10959</v>
      </c>
      <c r="E42" s="5" t="n">
        <v>-9447</v>
      </c>
      <c r="F42" s="5" t="n">
        <v>-12715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Apple Inc. (AAPL)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264.72</v>
      </c>
    </row>
    <row r="4">
      <c r="A4" s="3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3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3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3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3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3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3" t="inlineStr">
        <is>
          <t>WACC</t>
        </is>
      </c>
      <c r="C15" s="7">
        <f>Assumptions!C42</f>
        <v/>
      </c>
    </row>
    <row r="16">
      <c r="A16" s="3" t="inlineStr">
        <is>
          <t>Terminal Value Multiple</t>
        </is>
      </c>
      <c r="C16" s="10">
        <f>Assumptions!C48</f>
        <v/>
      </c>
    </row>
    <row r="18">
      <c r="A18" s="3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3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K12*$C$16</f>
        <v/>
      </c>
    </row>
    <row r="22">
      <c r="A22" s="3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3" t="inlineStr">
        <is>
          <t>Sum of PV of UFCF ($M)</t>
        </is>
      </c>
      <c r="C25" s="8">
        <f>SUM(G19:K19)</f>
        <v/>
      </c>
    </row>
    <row r="26">
      <c r="A26" s="3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3" t="inlineStr">
        <is>
          <t>(-) Net Debt ($M)</t>
        </is>
      </c>
      <c r="C29" s="18" t="n">
        <v>-0</v>
      </c>
    </row>
    <row r="30">
      <c r="A30" s="2" t="inlineStr">
        <is>
          <t>Equity Value ($M)</t>
        </is>
      </c>
      <c r="C30" s="8">
        <f>C27+C29</f>
        <v/>
      </c>
    </row>
    <row r="32">
      <c r="A32" s="3" t="inlineStr">
        <is>
          <t>Shares Outstanding (M)</t>
        </is>
      </c>
      <c r="C32" s="18" t="n">
        <v>14681.14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C33/264.72-1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3" t="inlineStr">
        <is>
          <t>WACC \ TV Multiple</t>
        </is>
      </c>
      <c r="C38" s="1" t="inlineStr">
        <is>
          <t>15x</t>
        </is>
      </c>
      <c r="D38" s="1" t="inlineStr">
        <is>
          <t>17x</t>
        </is>
      </c>
      <c r="E38" s="1" t="inlineStr">
        <is>
          <t>19x</t>
        </is>
      </c>
      <c r="F38" s="1" t="inlineStr">
        <is>
          <t>21x</t>
        </is>
      </c>
      <c r="G38" s="1" t="inlineStr">
        <is>
          <t>23x</t>
        </is>
      </c>
    </row>
    <row r="39">
      <c r="A39" s="21" t="n">
        <v>0.07440000000000001</v>
      </c>
      <c r="C39" s="22">
        <f>(G$12/(1+$A$39)^1+H$12/(1+$A$39)^2+I$12/(1+$A$39)^3+J$12/(1+$A$39)^4+K$12/(1+$A$39)^5+K$12*15/(1+$A$39)^5+$C$29)/$C$32</f>
        <v/>
      </c>
      <c r="D39" s="22">
        <f>(G$12/(1+$A$39)^1+H$12/(1+$A$39)^2+I$12/(1+$A$39)^3+J$12/(1+$A$39)^4+K$12/(1+$A$39)^5+K$12*17/(1+$A$39)^5+$C$29)/$C$32</f>
        <v/>
      </c>
      <c r="E39" s="22">
        <f>(G$12/(1+$A$39)^1+H$12/(1+$A$39)^2+I$12/(1+$A$39)^3+J$12/(1+$A$39)^4+K$12/(1+$A$39)^5+K$12*19/(1+$A$39)^5+$C$29)/$C$32</f>
        <v/>
      </c>
      <c r="F39" s="22">
        <f>(G$12/(1+$A$39)^1+H$12/(1+$A$39)^2+I$12/(1+$A$39)^3+J$12/(1+$A$39)^4+K$12/(1+$A$39)^5+K$12*21/(1+$A$39)^5+$C$29)/$C$32</f>
        <v/>
      </c>
      <c r="G39" s="22">
        <f>(G$12/(1+$A$39)^1+H$12/(1+$A$39)^2+I$12/(1+$A$39)^3+J$12/(1+$A$39)^4+K$12/(1+$A$39)^5+K$12*23/(1+$A$39)^5+$C$29)/$C$32</f>
        <v/>
      </c>
    </row>
    <row r="40">
      <c r="A40" s="21" t="n">
        <v>0.0844</v>
      </c>
      <c r="C40" s="22">
        <f>(G$12/(1+$A$40)^1+H$12/(1+$A$40)^2+I$12/(1+$A$40)^3+J$12/(1+$A$40)^4+K$12/(1+$A$40)^5+K$12*15/(1+$A$40)^5+$C$29)/$C$32</f>
        <v/>
      </c>
      <c r="D40" s="22">
        <f>(G$12/(1+$A$40)^1+H$12/(1+$A$40)^2+I$12/(1+$A$40)^3+J$12/(1+$A$40)^4+K$12/(1+$A$40)^5+K$12*17/(1+$A$40)^5+$C$29)/$C$32</f>
        <v/>
      </c>
      <c r="E40" s="22">
        <f>(G$12/(1+$A$40)^1+H$12/(1+$A$40)^2+I$12/(1+$A$40)^3+J$12/(1+$A$40)^4+K$12/(1+$A$40)^5+K$12*19/(1+$A$40)^5+$C$29)/$C$32</f>
        <v/>
      </c>
      <c r="F40" s="22">
        <f>(G$12/(1+$A$40)^1+H$12/(1+$A$40)^2+I$12/(1+$A$40)^3+J$12/(1+$A$40)^4+K$12/(1+$A$40)^5+K$12*21/(1+$A$40)^5+$C$29)/$C$32</f>
        <v/>
      </c>
      <c r="G40" s="22">
        <f>(G$12/(1+$A$40)^1+H$12/(1+$A$40)^2+I$12/(1+$A$40)^3+J$12/(1+$A$40)^4+K$12/(1+$A$40)^5+K$12*23/(1+$A$40)^5+$C$29)/$C$32</f>
        <v/>
      </c>
    </row>
    <row r="41">
      <c r="A41" s="21" t="n">
        <v>0.09440000000000001</v>
      </c>
      <c r="C41" s="22">
        <f>(G$12/(1+$A$41)^1+H$12/(1+$A$41)^2+I$12/(1+$A$41)^3+J$12/(1+$A$41)^4+K$12/(1+$A$41)^5+K$12*15/(1+$A$41)^5+$C$29)/$C$32</f>
        <v/>
      </c>
      <c r="D41" s="22">
        <f>(G$12/(1+$A$41)^1+H$12/(1+$A$41)^2+I$12/(1+$A$41)^3+J$12/(1+$A$41)^4+K$12/(1+$A$41)^5+K$12*17/(1+$A$41)^5+$C$29)/$C$32</f>
        <v/>
      </c>
      <c r="E41" s="22">
        <f>(G$12/(1+$A$41)^1+H$12/(1+$A$41)^2+I$12/(1+$A$41)^3+J$12/(1+$A$41)^4+K$12/(1+$A$41)^5+K$12*19/(1+$A$41)^5+$C$29)/$C$32</f>
        <v/>
      </c>
      <c r="F41" s="22">
        <f>(G$12/(1+$A$41)^1+H$12/(1+$A$41)^2+I$12/(1+$A$41)^3+J$12/(1+$A$41)^4+K$12/(1+$A$41)^5+K$12*21/(1+$A$41)^5+$C$29)/$C$32</f>
        <v/>
      </c>
      <c r="G41" s="22">
        <f>(G$12/(1+$A$41)^1+H$12/(1+$A$41)^2+I$12/(1+$A$41)^3+J$12/(1+$A$41)^4+K$12/(1+$A$41)^5+K$12*23/(1+$A$41)^5+$C$29)/$C$32</f>
        <v/>
      </c>
    </row>
    <row r="42">
      <c r="A42" s="21" t="n">
        <v>0.1044</v>
      </c>
      <c r="C42" s="22">
        <f>(G$12/(1+$A$42)^1+H$12/(1+$A$42)^2+I$12/(1+$A$42)^3+J$12/(1+$A$42)^4+K$12/(1+$A$42)^5+K$12*15/(1+$A$42)^5+$C$29)/$C$32</f>
        <v/>
      </c>
      <c r="D42" s="22">
        <f>(G$12/(1+$A$42)^1+H$12/(1+$A$42)^2+I$12/(1+$A$42)^3+J$12/(1+$A$42)^4+K$12/(1+$A$42)^5+K$12*17/(1+$A$42)^5+$C$29)/$C$32</f>
        <v/>
      </c>
      <c r="E42" s="23">
        <f>(G$12/(1+$A$42)^1+H$12/(1+$A$42)^2+I$12/(1+$A$42)^3+J$12/(1+$A$42)^4+K$12/(1+$A$42)^5+K$12*19/(1+$A$42)^5+$C$29)/$C$32</f>
        <v/>
      </c>
      <c r="F42" s="22">
        <f>(G$12/(1+$A$42)^1+H$12/(1+$A$42)^2+I$12/(1+$A$42)^3+J$12/(1+$A$42)^4+K$12/(1+$A$42)^5+K$12*21/(1+$A$42)^5+$C$29)/$C$32</f>
        <v/>
      </c>
      <c r="G42" s="22">
        <f>(G$12/(1+$A$42)^1+H$12/(1+$A$42)^2+I$12/(1+$A$42)^3+J$12/(1+$A$42)^4+K$12/(1+$A$42)^5+K$12*23/(1+$A$42)^5+$C$29)/$C$32</f>
        <v/>
      </c>
    </row>
    <row r="43">
      <c r="A43" s="21" t="n">
        <v>0.1144</v>
      </c>
      <c r="C43" s="22">
        <f>(G$12/(1+$A$43)^1+H$12/(1+$A$43)^2+I$12/(1+$A$43)^3+J$12/(1+$A$43)^4+K$12/(1+$A$43)^5+K$12*15/(1+$A$43)^5+$C$29)/$C$32</f>
        <v/>
      </c>
      <c r="D43" s="22">
        <f>(G$12/(1+$A$43)^1+H$12/(1+$A$43)^2+I$12/(1+$A$43)^3+J$12/(1+$A$43)^4+K$12/(1+$A$43)^5+K$12*17/(1+$A$43)^5+$C$29)/$C$32</f>
        <v/>
      </c>
      <c r="E43" s="22">
        <f>(G$12/(1+$A$43)^1+H$12/(1+$A$43)^2+I$12/(1+$A$43)^3+J$12/(1+$A$43)^4+K$12/(1+$A$43)^5+K$12*19/(1+$A$43)^5+$C$29)/$C$32</f>
        <v/>
      </c>
      <c r="F43" s="22">
        <f>(G$12/(1+$A$43)^1+H$12/(1+$A$43)^2+I$12/(1+$A$43)^3+J$12/(1+$A$43)^4+K$12/(1+$A$43)^5+K$12*21/(1+$A$43)^5+$C$29)/$C$32</f>
        <v/>
      </c>
      <c r="G43" s="22">
        <f>(G$12/(1+$A$43)^1+H$12/(1+$A$43)^2+I$12/(1+$A$43)^3+J$12/(1+$A$43)^4+K$12/(1+$A$43)^5+K$12*23/(1+$A$43)^5+$C$29)/$C$32</f>
        <v/>
      </c>
    </row>
    <row r="44">
      <c r="A44" s="21" t="n">
        <v>0.1244</v>
      </c>
      <c r="C44" s="22">
        <f>(G$12/(1+$A$44)^1+H$12/(1+$A$44)^2+I$12/(1+$A$44)^3+J$12/(1+$A$44)^4+K$12/(1+$A$44)^5+K$12*15/(1+$A$44)^5+$C$29)/$C$32</f>
        <v/>
      </c>
      <c r="D44" s="22">
        <f>(G$12/(1+$A$44)^1+H$12/(1+$A$44)^2+I$12/(1+$A$44)^3+J$12/(1+$A$44)^4+K$12/(1+$A$44)^5+K$12*17/(1+$A$44)^5+$C$29)/$C$32</f>
        <v/>
      </c>
      <c r="E44" s="22">
        <f>(G$12/(1+$A$44)^1+H$12/(1+$A$44)^2+I$12/(1+$A$44)^3+J$12/(1+$A$44)^4+K$12/(1+$A$44)^5+K$12*19/(1+$A$44)^5+$C$29)/$C$32</f>
        <v/>
      </c>
      <c r="F44" s="22">
        <f>(G$12/(1+$A$44)^1+H$12/(1+$A$44)^2+I$12/(1+$A$44)^3+J$12/(1+$A$44)^4+K$12/(1+$A$44)^5+K$12*21/(1+$A$44)^5+$C$29)/$C$32</f>
        <v/>
      </c>
      <c r="G44" s="22">
        <f>(G$12/(1+$A$44)^1+H$12/(1+$A$44)^2+I$12/(1+$A$44)^3+J$12/(1+$A$44)^4+K$12/(1+$A$44)^5+K$12*23/(1+$A$44)^5+$C$29)/$C$32</f>
        <v/>
      </c>
    </row>
    <row r="45">
      <c r="A45" s="21" t="n">
        <v>0.1344</v>
      </c>
      <c r="C45" s="22">
        <f>(G$12/(1+$A$45)^1+H$12/(1+$A$45)^2+I$12/(1+$A$45)^3+J$12/(1+$A$45)^4+K$12/(1+$A$45)^5+K$12*15/(1+$A$45)^5+$C$29)/$C$32</f>
        <v/>
      </c>
      <c r="D45" s="22">
        <f>(G$12/(1+$A$45)^1+H$12/(1+$A$45)^2+I$12/(1+$A$45)^3+J$12/(1+$A$45)^4+K$12/(1+$A$45)^5+K$12*17/(1+$A$45)^5+$C$29)/$C$32</f>
        <v/>
      </c>
      <c r="E45" s="22">
        <f>(G$12/(1+$A$45)^1+H$12/(1+$A$45)^2+I$12/(1+$A$45)^3+J$12/(1+$A$45)^4+K$12/(1+$A$45)^5+K$12*19/(1+$A$45)^5+$C$29)/$C$32</f>
        <v/>
      </c>
      <c r="F45" s="22">
        <f>(G$12/(1+$A$45)^1+H$12/(1+$A$45)^2+I$12/(1+$A$45)^3+J$12/(1+$A$45)^4+K$12/(1+$A$45)^5+K$12*21/(1+$A$45)^5+$C$29)/$C$32</f>
        <v/>
      </c>
      <c r="G45" s="22">
        <f>(G$12/(1+$A$45)^1+H$12/(1+$A$45)^2+I$12/(1+$A$45)^3+J$12/(1+$A$45)^4+K$12/(1+$A$45)^5+K$12*23/(1+$A$45)^5+$C$29)/$C$32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2026-03-02T21:36:29Z</dcterms:created>
  <dcterms:modified xmlns:dcterms="http://purl.org/dc/terms/" xmlns:xsi="http://www.w3.org/2001/XMLSchema-instance" xsi:type="dcterms:W3CDTF">2026-03-02T21:36:29Z</dcterms:modified>
</cp:coreProperties>
</file>