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NWF Group plc (NYY.F)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Refining &amp; Marketing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878.6</v>
      </c>
      <c r="D7" s="5" t="n">
        <v>1053.9</v>
      </c>
      <c r="E7" s="5" t="n">
        <v>950.6</v>
      </c>
      <c r="F7" s="5" t="n">
        <v>903.1</v>
      </c>
    </row>
    <row r="8">
      <c r="A8" s="4" t="inlineStr">
        <is>
          <t xml:space="preserve">  Revenue Growth - Base</t>
        </is>
      </c>
      <c r="G8" s="6" t="n">
        <v>-0.03299999999999999</v>
      </c>
      <c r="H8" s="6" t="n">
        <v>-0.023</v>
      </c>
      <c r="I8" s="6" t="n">
        <v>-0.013</v>
      </c>
      <c r="J8" s="6" t="n">
        <v>-0.002999999999999996</v>
      </c>
      <c r="K8" s="6" t="n">
        <v>0.007000000000000006</v>
      </c>
    </row>
    <row r="9">
      <c r="A9" s="4" t="inlineStr">
        <is>
          <t xml:space="preserve">  Revenue Growth - Bull</t>
        </is>
      </c>
      <c r="G9" s="6" t="n">
        <v>-0.002999999999999997</v>
      </c>
      <c r="H9" s="6" t="n">
        <v>0.007000000000000003</v>
      </c>
      <c r="I9" s="6" t="n">
        <v>0.017</v>
      </c>
      <c r="J9" s="6" t="n">
        <v>0.027</v>
      </c>
      <c r="K9" s="6" t="n">
        <v>0.03700000000000001</v>
      </c>
    </row>
    <row r="10">
      <c r="A10" s="4" t="inlineStr">
        <is>
          <t xml:space="preserve">  Revenue Growth - Bear</t>
        </is>
      </c>
      <c r="G10" s="6" t="n">
        <v>-0.063</v>
      </c>
      <c r="H10" s="6" t="n">
        <v>-0.05299999999999999</v>
      </c>
      <c r="I10" s="6" t="n">
        <v>-0.043</v>
      </c>
      <c r="J10" s="6" t="n">
        <v>-0.03299999999999999</v>
      </c>
      <c r="K10" s="6" t="n">
        <v>-0.02299999999999999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</v>
      </c>
      <c r="H15" s="6" t="n">
        <v>0.1</v>
      </c>
      <c r="I15" s="6" t="n">
        <v>0.1</v>
      </c>
      <c r="J15" s="6" t="n">
        <v>0.1</v>
      </c>
      <c r="K15" s="6" t="n">
        <v>0.1</v>
      </c>
    </row>
    <row r="16">
      <c r="A16" s="4" t="inlineStr">
        <is>
          <t>Gross Margin - Bull</t>
        </is>
      </c>
      <c r="G16" s="6" t="n">
        <v>0.1</v>
      </c>
      <c r="H16" s="6" t="n">
        <v>0.1</v>
      </c>
      <c r="I16" s="6" t="n">
        <v>0.1</v>
      </c>
      <c r="J16" s="6" t="n">
        <v>0.1</v>
      </c>
      <c r="K16" s="6" t="n">
        <v>0.1</v>
      </c>
    </row>
    <row r="17">
      <c r="A17" s="4" t="inlineStr">
        <is>
          <t>Gross Margin - Bear</t>
        </is>
      </c>
      <c r="G17" s="6" t="n">
        <v>0.1</v>
      </c>
      <c r="H17" s="6" t="n">
        <v>0.1</v>
      </c>
      <c r="I17" s="6" t="n">
        <v>0.1</v>
      </c>
      <c r="J17" s="6" t="n">
        <v>0.1</v>
      </c>
      <c r="K17" s="6" t="n">
        <v>0.1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0.03901466458079562</v>
      </c>
      <c r="H20" s="6" t="n">
        <v>0.03901466458079562</v>
      </c>
      <c r="I20" s="6" t="n">
        <v>0.03901466458079562</v>
      </c>
      <c r="J20" s="6" t="n">
        <v>0.03901466458079562</v>
      </c>
      <c r="K20" s="6" t="n">
        <v>0.03901466458079562</v>
      </c>
    </row>
    <row r="21">
      <c r="A21" s="4" t="inlineStr">
        <is>
          <t>SG&amp;A % Revenue - Bull</t>
        </is>
      </c>
      <c r="G21" s="6" t="n">
        <v>0.02901466458079562</v>
      </c>
      <c r="H21" s="6" t="n">
        <v>0.02901466458079562</v>
      </c>
      <c r="I21" s="6" t="n">
        <v>0.02901466458079562</v>
      </c>
      <c r="J21" s="6" t="n">
        <v>0.02901466458079562</v>
      </c>
      <c r="K21" s="6" t="n">
        <v>0.02901466458079562</v>
      </c>
    </row>
    <row r="22">
      <c r="A22" s="4" t="inlineStr">
        <is>
          <t>SG&amp;A % Revenue - Bear</t>
        </is>
      </c>
      <c r="G22" s="6" t="n">
        <v>0.04901466458079563</v>
      </c>
      <c r="H22" s="6" t="n">
        <v>0.04901466458079563</v>
      </c>
      <c r="I22" s="6" t="n">
        <v>0.04901466458079563</v>
      </c>
      <c r="J22" s="6" t="n">
        <v>0.04901466458079563</v>
      </c>
      <c r="K22" s="6" t="n">
        <v>0.04901466458079563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0.01742517260039113</v>
      </c>
      <c r="H30" s="6" t="n">
        <v>0.01742517260039113</v>
      </c>
      <c r="I30" s="6" t="n">
        <v>0.01742517260039113</v>
      </c>
      <c r="J30" s="6" t="n">
        <v>0.01742517260039113</v>
      </c>
      <c r="K30" s="6" t="n">
        <v>0.01742517260039113</v>
      </c>
    </row>
    <row r="31">
      <c r="A31" s="4" t="inlineStr">
        <is>
          <t>CapEx % Revenue</t>
        </is>
      </c>
      <c r="G31" s="6" t="n">
        <v>0.005931743932800865</v>
      </c>
      <c r="H31" s="6" t="n">
        <v>0.005931743932800865</v>
      </c>
      <c r="I31" s="6" t="n">
        <v>0.005931743932800865</v>
      </c>
      <c r="J31" s="6" t="n">
        <v>0.005931743932800865</v>
      </c>
      <c r="K31" s="6" t="n">
        <v>0.005931743932800865</v>
      </c>
    </row>
    <row r="32">
      <c r="A32" s="4" t="inlineStr">
        <is>
          <t>Tax Rate</t>
        </is>
      </c>
      <c r="G32" s="6" t="n">
        <v>0.2324292482059472</v>
      </c>
      <c r="H32" s="6" t="n">
        <v>0.2324292482059472</v>
      </c>
      <c r="I32" s="6" t="n">
        <v>0.2324292482059472</v>
      </c>
      <c r="J32" s="6" t="n">
        <v>0.2324292482059472</v>
      </c>
      <c r="K32" s="6" t="n">
        <v>0.2324292482059472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0.05</v>
      </c>
    </row>
    <row r="36">
      <c r="A36" s="4" t="inlineStr">
        <is>
          <t>WACC - Bull</t>
        </is>
      </c>
      <c r="C36" s="6" t="n">
        <v>0.04</v>
      </c>
    </row>
    <row r="37">
      <c r="A37" s="4" t="inlineStr">
        <is>
          <t>WACC - Bear</t>
        </is>
      </c>
      <c r="C37" s="6" t="n">
        <v>0.07000000000000001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6</v>
      </c>
    </row>
    <row r="41">
      <c r="A41" s="4" t="inlineStr">
        <is>
          <t>Terminal Value Multiple - Bull</t>
        </is>
      </c>
      <c r="C41" s="9" t="n">
        <v>8</v>
      </c>
    </row>
    <row r="42">
      <c r="A42" s="4" t="inlineStr">
        <is>
          <t>Terminal Value Multiple - Bear</t>
        </is>
      </c>
      <c r="C42" s="9" t="n">
        <v>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NWF Group plc (NYY.F)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878.6</v>
      </c>
      <c r="D6" s="5" t="n">
        <v>1053.9</v>
      </c>
      <c r="E6" s="5" t="n">
        <v>950.6</v>
      </c>
      <c r="F6" s="5" t="n">
        <v>903.1</v>
      </c>
    </row>
    <row r="7">
      <c r="A7" s="4" t="inlineStr">
        <is>
          <t>Cost of Revenue</t>
        </is>
      </c>
      <c r="C7" s="5" t="n">
        <v>823.3</v>
      </c>
      <c r="D7" s="5" t="n">
        <v>999.8</v>
      </c>
      <c r="E7" s="5" t="n">
        <v>903.4</v>
      </c>
      <c r="F7" s="5" t="n">
        <v>852.8</v>
      </c>
    </row>
    <row r="8">
      <c r="A8" s="2" t="inlineStr">
        <is>
          <t>Gross Profit</t>
        </is>
      </c>
      <c r="C8" s="5" t="n">
        <v>55.3</v>
      </c>
      <c r="D8" s="5" t="n">
        <v>54.1</v>
      </c>
      <c r="E8" s="5" t="n">
        <v>47.2</v>
      </c>
      <c r="F8" s="5" t="n">
        <v>50.3</v>
      </c>
    </row>
    <row r="9">
      <c r="A9" s="4" t="inlineStr">
        <is>
          <t xml:space="preserve">  Gross Margin</t>
        </is>
      </c>
      <c r="C9" s="11" t="n">
        <v>0.06294104256772137</v>
      </c>
      <c r="D9" s="11" t="n">
        <v>0.05133314356200778</v>
      </c>
      <c r="E9" s="11" t="n">
        <v>0.04965285083105407</v>
      </c>
      <c r="F9" s="11" t="n">
        <v>0.05569704351677555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42.1</v>
      </c>
      <c r="D12" s="5" t="n">
        <v>33.5</v>
      </c>
      <c r="E12" s="5" t="n">
        <v>32.9</v>
      </c>
      <c r="F12" s="5" t="n">
        <v>37.7</v>
      </c>
    </row>
    <row r="13">
      <c r="A13" s="2" t="inlineStr">
        <is>
          <t>Operating Income (EBIT)</t>
        </is>
      </c>
      <c r="C13" s="5" t="n">
        <v>13.2</v>
      </c>
      <c r="D13" s="5" t="n">
        <v>20.6</v>
      </c>
      <c r="E13" s="5" t="n">
        <v>14.3</v>
      </c>
      <c r="F13" s="5" t="n">
        <v>12.6</v>
      </c>
    </row>
    <row r="14">
      <c r="A14" s="4" t="inlineStr">
        <is>
          <t xml:space="preserve">  EBIT Margin</t>
        </is>
      </c>
      <c r="C14" s="11" t="n">
        <v>0.01502390166173458</v>
      </c>
      <c r="D14" s="11" t="n">
        <v>0.01954644653192903</v>
      </c>
      <c r="E14" s="11" t="n">
        <v>0.01504313065432358</v>
      </c>
      <c r="F14" s="11" t="n">
        <v>0.0139519433063891</v>
      </c>
    </row>
    <row r="16">
      <c r="A16" s="4" t="inlineStr">
        <is>
          <t>Interest Expense</t>
        </is>
      </c>
      <c r="C16" s="5" t="n">
        <v>1.2</v>
      </c>
      <c r="D16" s="5" t="n">
        <v>1.7</v>
      </c>
      <c r="E16" s="5" t="n">
        <v>2.1</v>
      </c>
      <c r="F16" s="5" t="n">
        <v>3.4</v>
      </c>
    </row>
    <row r="17">
      <c r="A17" s="4" t="inlineStr">
        <is>
          <t>Tax Provision</t>
        </is>
      </c>
      <c r="C17" s="5" t="n">
        <v>3.6</v>
      </c>
      <c r="D17" s="5" t="n">
        <v>4</v>
      </c>
      <c r="E17" s="5" t="n">
        <v>3.1</v>
      </c>
      <c r="F17" s="5" t="n">
        <v>3.1</v>
      </c>
    </row>
    <row r="18">
      <c r="A18" s="2" t="inlineStr">
        <is>
          <t>Net Income</t>
        </is>
      </c>
      <c r="C18" s="5" t="n">
        <v>8.4</v>
      </c>
      <c r="D18" s="5" t="n">
        <v>14.9</v>
      </c>
      <c r="E18" s="5" t="n">
        <v>9.1</v>
      </c>
      <c r="F18" s="5" t="n">
        <v>6.2</v>
      </c>
    </row>
    <row r="19">
      <c r="A19" s="4" t="inlineStr">
        <is>
          <t xml:space="preserve">  Net Margin</t>
        </is>
      </c>
      <c r="C19" s="11" t="n">
        <v>0.009560664693831095</v>
      </c>
      <c r="D19" s="11" t="n">
        <v>0.01413796375367682</v>
      </c>
      <c r="E19" s="11" t="n">
        <v>0.009572901325478646</v>
      </c>
      <c r="F19" s="11" t="n">
        <v>0.006865241944413686</v>
      </c>
    </row>
    <row r="21">
      <c r="A21" s="2" t="inlineStr">
        <is>
          <t>EBITDA</t>
        </is>
      </c>
      <c r="C21" s="5" t="n">
        <v>27.2</v>
      </c>
      <c r="D21" s="5" t="n">
        <v>35.9</v>
      </c>
      <c r="E21" s="5" t="n">
        <v>31.4</v>
      </c>
      <c r="F21" s="5" t="n">
        <v>31.9</v>
      </c>
    </row>
    <row r="22">
      <c r="A22" s="4" t="inlineStr">
        <is>
          <t xml:space="preserve">  EBITDA Margin</t>
        </is>
      </c>
      <c r="C22" s="11" t="n">
        <v>0.03095834281811973</v>
      </c>
      <c r="D22" s="11" t="n">
        <v>0.03406395293671127</v>
      </c>
      <c r="E22" s="11" t="n">
        <v>0.03303176940879445</v>
      </c>
      <c r="F22" s="11" t="n">
        <v>0.03532277710109622</v>
      </c>
    </row>
    <row r="23">
      <c r="A23" s="4" t="inlineStr">
        <is>
          <t>Diluted EPS</t>
        </is>
      </c>
      <c r="C23" s="12" t="n">
        <v>0.17</v>
      </c>
      <c r="D23" s="12" t="n">
        <v>0.301</v>
      </c>
      <c r="E23" s="12" t="n">
        <v>0.184</v>
      </c>
      <c r="F23" s="12" t="n">
        <v>0.123</v>
      </c>
    </row>
    <row r="24">
      <c r="A24" s="4" t="inlineStr">
        <is>
          <t>D&amp;A</t>
        </is>
      </c>
      <c r="C24" s="5" t="n">
        <v>14</v>
      </c>
      <c r="D24" s="5" t="n">
        <v>15.3</v>
      </c>
      <c r="E24" s="5" t="n">
        <v>17.1</v>
      </c>
      <c r="F24" s="5" t="n">
        <v>19.2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9.1</v>
      </c>
      <c r="D28" s="5" t="n">
        <v>16.3</v>
      </c>
      <c r="E28" s="5" t="n">
        <v>16.4</v>
      </c>
      <c r="F28" s="5" t="n">
        <v>10.9</v>
      </c>
    </row>
    <row r="29">
      <c r="A29" s="4" t="inlineStr">
        <is>
          <t>Current Assets</t>
        </is>
      </c>
      <c r="C29" s="5" t="n">
        <v>118.3</v>
      </c>
      <c r="D29" s="5" t="n">
        <v>113</v>
      </c>
      <c r="E29" s="5" t="n">
        <v>115.9</v>
      </c>
      <c r="F29" s="5" t="n">
        <v>108.9</v>
      </c>
    </row>
    <row r="30">
      <c r="A30" s="4" t="inlineStr">
        <is>
          <t>Net PP&amp;E</t>
        </is>
      </c>
      <c r="C30" s="5" t="n">
        <v>72.90000000000001</v>
      </c>
      <c r="D30" s="5" t="n">
        <v>72.8</v>
      </c>
      <c r="E30" s="5" t="n">
        <v>94.90000000000001</v>
      </c>
      <c r="F30" s="5" t="n">
        <v>106.3</v>
      </c>
    </row>
    <row r="31">
      <c r="A31" s="4" t="inlineStr">
        <is>
          <t>Goodwill</t>
        </is>
      </c>
      <c r="C31" s="5" t="n">
        <v>20.1</v>
      </c>
      <c r="D31" s="5" t="n">
        <v>26.6</v>
      </c>
      <c r="E31" s="5" t="n">
        <v>27.9</v>
      </c>
      <c r="F31" s="5" t="n">
        <v>37.9</v>
      </c>
    </row>
    <row r="32">
      <c r="A32" s="2" t="inlineStr">
        <is>
          <t>Total Assets</t>
        </is>
      </c>
      <c r="C32" s="5" t="n">
        <v>213.9</v>
      </c>
      <c r="D32" s="5" t="n">
        <v>217.6</v>
      </c>
      <c r="E32" s="5" t="n">
        <v>244.1</v>
      </c>
      <c r="F32" s="5" t="n">
        <v>260.2</v>
      </c>
    </row>
    <row r="34">
      <c r="A34" s="4" t="inlineStr">
        <is>
          <t>Current Liabilities</t>
        </is>
      </c>
      <c r="C34" s="5" t="n">
        <v>112.9</v>
      </c>
      <c r="D34" s="5" t="n">
        <v>105.1</v>
      </c>
      <c r="E34" s="5" t="n">
        <v>107.4</v>
      </c>
      <c r="F34" s="5" t="n">
        <v>111.3</v>
      </c>
    </row>
    <row r="35">
      <c r="A35" s="4" t="inlineStr">
        <is>
          <t>Total Debt</t>
        </is>
      </c>
      <c r="C35" s="5" t="n">
        <v>28.3</v>
      </c>
      <c r="D35" s="5" t="n">
        <v>29.8</v>
      </c>
      <c r="E35" s="5" t="n">
        <v>52.7</v>
      </c>
      <c r="F35" s="5" t="n">
        <v>64.8</v>
      </c>
    </row>
    <row r="36">
      <c r="A36" s="2" t="inlineStr">
        <is>
          <t>Total Liabilities</t>
        </is>
      </c>
      <c r="C36" s="5" t="n">
        <v>145.8</v>
      </c>
      <c r="D36" s="5" t="n">
        <v>139.7</v>
      </c>
      <c r="E36" s="5" t="n">
        <v>158.7</v>
      </c>
      <c r="F36" s="5" t="n">
        <v>173</v>
      </c>
    </row>
    <row r="38">
      <c r="A38" s="2" t="inlineStr">
        <is>
          <t>Total Equity</t>
        </is>
      </c>
      <c r="C38" s="5" t="n">
        <v>68.09999999999999</v>
      </c>
      <c r="D38" s="5" t="n">
        <v>77.90000000000001</v>
      </c>
      <c r="E38" s="5" t="n">
        <v>85.40000000000001</v>
      </c>
      <c r="F38" s="5" t="n">
        <v>87.2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30.1</v>
      </c>
      <c r="D42" s="5" t="n">
        <v>32.5</v>
      </c>
      <c r="E42" s="5" t="n">
        <v>20.9</v>
      </c>
      <c r="F42" s="5" t="n">
        <v>25.1</v>
      </c>
    </row>
    <row r="43">
      <c r="A43" s="4" t="inlineStr">
        <is>
          <t>Capital Expenditure</t>
        </is>
      </c>
      <c r="C43" s="5" t="n">
        <v>-3.6</v>
      </c>
      <c r="D43" s="5" t="n">
        <v>-3.2</v>
      </c>
      <c r="E43" s="5" t="n">
        <v>-10.3</v>
      </c>
      <c r="F43" s="5" t="n">
        <v>-5.2</v>
      </c>
    </row>
    <row r="44">
      <c r="A44" s="2" t="inlineStr">
        <is>
          <t>Free Cash Flow</t>
        </is>
      </c>
      <c r="C44" s="5" t="n">
        <v>26.5</v>
      </c>
      <c r="D44" s="5" t="n">
        <v>29.3</v>
      </c>
      <c r="E44" s="5" t="n">
        <v>10.6</v>
      </c>
      <c r="F44" s="5" t="n">
        <v>19.9</v>
      </c>
    </row>
    <row r="46">
      <c r="A46" s="4" t="inlineStr">
        <is>
          <t>D&amp;A</t>
        </is>
      </c>
      <c r="C46" s="5" t="n">
        <v>14</v>
      </c>
      <c r="D46" s="5" t="n">
        <v>15.3</v>
      </c>
      <c r="E46" s="5" t="n">
        <v>17.1</v>
      </c>
      <c r="F46" s="5" t="n">
        <v>19.2</v>
      </c>
    </row>
    <row r="47">
      <c r="A47" s="4" t="inlineStr">
        <is>
          <t>Stock-Based Compensation</t>
        </is>
      </c>
      <c r="C47" s="5" t="n">
        <v>0.8</v>
      </c>
      <c r="D47" s="5" t="n">
        <v>0.5</v>
      </c>
      <c r="E47" s="5" t="n">
        <v>-0.1</v>
      </c>
      <c r="F47" s="5" t="n">
        <v>-0.3</v>
      </c>
    </row>
    <row r="48">
      <c r="A48" s="4" t="inlineStr">
        <is>
          <t>Change in Working Capital</t>
        </is>
      </c>
      <c r="C48" s="5" t="n">
        <v>-0.7</v>
      </c>
      <c r="D48" s="5" t="n">
        <v>4.1</v>
      </c>
      <c r="E48" s="5" t="n">
        <v>-3</v>
      </c>
      <c r="F48" s="5" t="n">
        <v>-1.1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NWF Group plc (NYY.F)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Refining &amp; Marketing</t>
        </is>
      </c>
      <c r="C8" s="5" t="n">
        <v>878.6</v>
      </c>
      <c r="D8" s="5" t="n">
        <v>1053.9</v>
      </c>
      <c r="E8" s="5" t="n">
        <v>950.6</v>
      </c>
      <c r="F8" s="5" t="n">
        <v>903.1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823.3</v>
      </c>
      <c r="D16" s="5" t="n">
        <v>999.8</v>
      </c>
      <c r="E16" s="5" t="n">
        <v>903.4</v>
      </c>
      <c r="F16" s="5" t="n">
        <v>852.8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42.1</v>
      </c>
      <c r="D20" s="5" t="n">
        <v>33.5</v>
      </c>
      <c r="E20" s="5" t="n">
        <v>32.9</v>
      </c>
      <c r="F20" s="5" t="n">
        <v>37.7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14</v>
      </c>
      <c r="D22" s="5" t="n">
        <v>15.3</v>
      </c>
      <c r="E22" s="5" t="n">
        <v>17.1</v>
      </c>
      <c r="F22" s="5" t="n">
        <v>19.2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1.2</v>
      </c>
      <c r="D29" s="5" t="n">
        <v>1.7</v>
      </c>
      <c r="E29" s="5" t="n">
        <v>2.1</v>
      </c>
      <c r="F29" s="5" t="n">
        <v>3.4</v>
      </c>
      <c r="G29" s="5" t="n">
        <v>3.4</v>
      </c>
      <c r="H29" s="5" t="n">
        <v>3.4</v>
      </c>
      <c r="I29" s="5" t="n">
        <v>3.4</v>
      </c>
      <c r="J29" s="5" t="n">
        <v>3.4</v>
      </c>
      <c r="K29" s="5" t="n">
        <v>3.4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3.6</v>
      </c>
      <c r="D31" s="5" t="n">
        <v>4</v>
      </c>
      <c r="E31" s="5" t="n">
        <v>3.1</v>
      </c>
      <c r="F31" s="5" t="n">
        <v>3.1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-0.7</v>
      </c>
      <c r="D39" s="5" t="n">
        <v>4.1</v>
      </c>
      <c r="E39" s="5" t="n">
        <v>-3</v>
      </c>
      <c r="F39" s="5" t="n">
        <v>-1.1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-3.6</v>
      </c>
      <c r="D42" s="5" t="n">
        <v>-3.2</v>
      </c>
      <c r="E42" s="5" t="n">
        <v>-10.3</v>
      </c>
      <c r="F42" s="5" t="n">
        <v>-5.2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NWF Group plc (NYY.F)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1.53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-53.9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49.597701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C33/1.53-1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2x</t>
        </is>
      </c>
      <c r="D38" s="1" t="inlineStr">
        <is>
          <t>4x</t>
        </is>
      </c>
      <c r="E38" s="1" t="inlineStr">
        <is>
          <t>6x</t>
        </is>
      </c>
      <c r="F38" s="1" t="inlineStr">
        <is>
          <t>8x</t>
        </is>
      </c>
      <c r="G38" s="1" t="inlineStr">
        <is>
          <t>10x</t>
        </is>
      </c>
    </row>
    <row r="39">
      <c r="A39" s="21" t="n">
        <v>0.02</v>
      </c>
      <c r="C39" s="22">
        <f>(G$12/(1+$A$39)^1+H$12/(1+$A$39)^2+I$12/(1+$A$39)^3+J$12/(1+$A$39)^4+K$12/(1+$A$39)^5+K$12*2/(1+$A$39)^5+$C$29)/$C$32</f>
        <v/>
      </c>
      <c r="D39" s="22">
        <f>(G$12/(1+$A$39)^1+H$12/(1+$A$39)^2+I$12/(1+$A$39)^3+J$12/(1+$A$39)^4+K$12/(1+$A$39)^5+K$12*4/(1+$A$39)^5+$C$29)/$C$32</f>
        <v/>
      </c>
      <c r="E39" s="22">
        <f>(G$12/(1+$A$39)^1+H$12/(1+$A$39)^2+I$12/(1+$A$39)^3+J$12/(1+$A$39)^4+K$12/(1+$A$39)^5+K$12*6/(1+$A$39)^5+$C$29)/$C$32</f>
        <v/>
      </c>
      <c r="F39" s="22">
        <f>(G$12/(1+$A$39)^1+H$12/(1+$A$39)^2+I$12/(1+$A$39)^3+J$12/(1+$A$39)^4+K$12/(1+$A$39)^5+K$12*8/(1+$A$39)^5+$C$29)/$C$32</f>
        <v/>
      </c>
      <c r="G39" s="22">
        <f>(G$12/(1+$A$39)^1+H$12/(1+$A$39)^2+I$12/(1+$A$39)^3+J$12/(1+$A$39)^4+K$12/(1+$A$39)^5+K$12*10/(1+$A$39)^5+$C$29)/$C$32</f>
        <v/>
      </c>
    </row>
    <row r="40">
      <c r="A40" s="21" t="n">
        <v>0.03</v>
      </c>
      <c r="C40" s="22">
        <f>(G$12/(1+$A$40)^1+H$12/(1+$A$40)^2+I$12/(1+$A$40)^3+J$12/(1+$A$40)^4+K$12/(1+$A$40)^5+K$12*2/(1+$A$40)^5+$C$29)/$C$32</f>
        <v/>
      </c>
      <c r="D40" s="22">
        <f>(G$12/(1+$A$40)^1+H$12/(1+$A$40)^2+I$12/(1+$A$40)^3+J$12/(1+$A$40)^4+K$12/(1+$A$40)^5+K$12*4/(1+$A$40)^5+$C$29)/$C$32</f>
        <v/>
      </c>
      <c r="E40" s="22">
        <f>(G$12/(1+$A$40)^1+H$12/(1+$A$40)^2+I$12/(1+$A$40)^3+J$12/(1+$A$40)^4+K$12/(1+$A$40)^5+K$12*6/(1+$A$40)^5+$C$29)/$C$32</f>
        <v/>
      </c>
      <c r="F40" s="22">
        <f>(G$12/(1+$A$40)^1+H$12/(1+$A$40)^2+I$12/(1+$A$40)^3+J$12/(1+$A$40)^4+K$12/(1+$A$40)^5+K$12*8/(1+$A$40)^5+$C$29)/$C$32</f>
        <v/>
      </c>
      <c r="G40" s="22">
        <f>(G$12/(1+$A$40)^1+H$12/(1+$A$40)^2+I$12/(1+$A$40)^3+J$12/(1+$A$40)^4+K$12/(1+$A$40)^5+K$12*10/(1+$A$40)^5+$C$29)/$C$32</f>
        <v/>
      </c>
    </row>
    <row r="41">
      <c r="A41" s="21" t="n">
        <v>0.04</v>
      </c>
      <c r="C41" s="22">
        <f>(G$12/(1+$A$41)^1+H$12/(1+$A$41)^2+I$12/(1+$A$41)^3+J$12/(1+$A$41)^4+K$12/(1+$A$41)^5+K$12*2/(1+$A$41)^5+$C$29)/$C$32</f>
        <v/>
      </c>
      <c r="D41" s="22">
        <f>(G$12/(1+$A$41)^1+H$12/(1+$A$41)^2+I$12/(1+$A$41)^3+J$12/(1+$A$41)^4+K$12/(1+$A$41)^5+K$12*4/(1+$A$41)^5+$C$29)/$C$32</f>
        <v/>
      </c>
      <c r="E41" s="22">
        <f>(G$12/(1+$A$41)^1+H$12/(1+$A$41)^2+I$12/(1+$A$41)^3+J$12/(1+$A$41)^4+K$12/(1+$A$41)^5+K$12*6/(1+$A$41)^5+$C$29)/$C$32</f>
        <v/>
      </c>
      <c r="F41" s="22">
        <f>(G$12/(1+$A$41)^1+H$12/(1+$A$41)^2+I$12/(1+$A$41)^3+J$12/(1+$A$41)^4+K$12/(1+$A$41)^5+K$12*8/(1+$A$41)^5+$C$29)/$C$32</f>
        <v/>
      </c>
      <c r="G41" s="22">
        <f>(G$12/(1+$A$41)^1+H$12/(1+$A$41)^2+I$12/(1+$A$41)^3+J$12/(1+$A$41)^4+K$12/(1+$A$41)^5+K$12*10/(1+$A$41)^5+$C$29)/$C$32</f>
        <v/>
      </c>
    </row>
    <row r="42">
      <c r="A42" s="21" t="n">
        <v>0.05</v>
      </c>
      <c r="C42" s="22">
        <f>(G$12/(1+$A$42)^1+H$12/(1+$A$42)^2+I$12/(1+$A$42)^3+J$12/(1+$A$42)^4+K$12/(1+$A$42)^5+K$12*2/(1+$A$42)^5+$C$29)/$C$32</f>
        <v/>
      </c>
      <c r="D42" s="22">
        <f>(G$12/(1+$A$42)^1+H$12/(1+$A$42)^2+I$12/(1+$A$42)^3+J$12/(1+$A$42)^4+K$12/(1+$A$42)^5+K$12*4/(1+$A$42)^5+$C$29)/$C$32</f>
        <v/>
      </c>
      <c r="E42" s="23">
        <f>(G$12/(1+$A$42)^1+H$12/(1+$A$42)^2+I$12/(1+$A$42)^3+J$12/(1+$A$42)^4+K$12/(1+$A$42)^5+K$12*6/(1+$A$42)^5+$C$29)/$C$32</f>
        <v/>
      </c>
      <c r="F42" s="22">
        <f>(G$12/(1+$A$42)^1+H$12/(1+$A$42)^2+I$12/(1+$A$42)^3+J$12/(1+$A$42)^4+K$12/(1+$A$42)^5+K$12*8/(1+$A$42)^5+$C$29)/$C$32</f>
        <v/>
      </c>
      <c r="G42" s="22">
        <f>(G$12/(1+$A$42)^1+H$12/(1+$A$42)^2+I$12/(1+$A$42)^3+J$12/(1+$A$42)^4+K$12/(1+$A$42)^5+K$12*10/(1+$A$42)^5+$C$29)/$C$32</f>
        <v/>
      </c>
    </row>
    <row r="43">
      <c r="A43" s="21" t="n">
        <v>0.06</v>
      </c>
      <c r="C43" s="22">
        <f>(G$12/(1+$A$43)^1+H$12/(1+$A$43)^2+I$12/(1+$A$43)^3+J$12/(1+$A$43)^4+K$12/(1+$A$43)^5+K$12*2/(1+$A$43)^5+$C$29)/$C$32</f>
        <v/>
      </c>
      <c r="D43" s="22">
        <f>(G$12/(1+$A$43)^1+H$12/(1+$A$43)^2+I$12/(1+$A$43)^3+J$12/(1+$A$43)^4+K$12/(1+$A$43)^5+K$12*4/(1+$A$43)^5+$C$29)/$C$32</f>
        <v/>
      </c>
      <c r="E43" s="22">
        <f>(G$12/(1+$A$43)^1+H$12/(1+$A$43)^2+I$12/(1+$A$43)^3+J$12/(1+$A$43)^4+K$12/(1+$A$43)^5+K$12*6/(1+$A$43)^5+$C$29)/$C$32</f>
        <v/>
      </c>
      <c r="F43" s="22">
        <f>(G$12/(1+$A$43)^1+H$12/(1+$A$43)^2+I$12/(1+$A$43)^3+J$12/(1+$A$43)^4+K$12/(1+$A$43)^5+K$12*8/(1+$A$43)^5+$C$29)/$C$32</f>
        <v/>
      </c>
      <c r="G43" s="22">
        <f>(G$12/(1+$A$43)^1+H$12/(1+$A$43)^2+I$12/(1+$A$43)^3+J$12/(1+$A$43)^4+K$12/(1+$A$43)^5+K$12*10/(1+$A$43)^5+$C$29)/$C$32</f>
        <v/>
      </c>
    </row>
    <row r="44">
      <c r="A44" s="21" t="n">
        <v>0.07000000000000001</v>
      </c>
      <c r="C44" s="22">
        <f>(G$12/(1+$A$44)^1+H$12/(1+$A$44)^2+I$12/(1+$A$44)^3+J$12/(1+$A$44)^4+K$12/(1+$A$44)^5+K$12*2/(1+$A$44)^5+$C$29)/$C$32</f>
        <v/>
      </c>
      <c r="D44" s="22">
        <f>(G$12/(1+$A$44)^1+H$12/(1+$A$44)^2+I$12/(1+$A$44)^3+J$12/(1+$A$44)^4+K$12/(1+$A$44)^5+K$12*4/(1+$A$44)^5+$C$29)/$C$32</f>
        <v/>
      </c>
      <c r="E44" s="22">
        <f>(G$12/(1+$A$44)^1+H$12/(1+$A$44)^2+I$12/(1+$A$44)^3+J$12/(1+$A$44)^4+K$12/(1+$A$44)^5+K$12*6/(1+$A$44)^5+$C$29)/$C$32</f>
        <v/>
      </c>
      <c r="F44" s="22">
        <f>(G$12/(1+$A$44)^1+H$12/(1+$A$44)^2+I$12/(1+$A$44)^3+J$12/(1+$A$44)^4+K$12/(1+$A$44)^5+K$12*8/(1+$A$44)^5+$C$29)/$C$32</f>
        <v/>
      </c>
      <c r="G44" s="22">
        <f>(G$12/(1+$A$44)^1+H$12/(1+$A$44)^2+I$12/(1+$A$44)^3+J$12/(1+$A$44)^4+K$12/(1+$A$44)^5+K$12*10/(1+$A$44)^5+$C$29)/$C$32</f>
        <v/>
      </c>
    </row>
    <row r="45">
      <c r="A45" s="21" t="n">
        <v>0.08</v>
      </c>
      <c r="C45" s="22">
        <f>(G$12/(1+$A$45)^1+H$12/(1+$A$45)^2+I$12/(1+$A$45)^3+J$12/(1+$A$45)^4+K$12/(1+$A$45)^5+K$12*2/(1+$A$45)^5+$C$29)/$C$32</f>
        <v/>
      </c>
      <c r="D45" s="22">
        <f>(G$12/(1+$A$45)^1+H$12/(1+$A$45)^2+I$12/(1+$A$45)^3+J$12/(1+$A$45)^4+K$12/(1+$A$45)^5+K$12*4/(1+$A$45)^5+$C$29)/$C$32</f>
        <v/>
      </c>
      <c r="E45" s="22">
        <f>(G$12/(1+$A$45)^1+H$12/(1+$A$45)^2+I$12/(1+$A$45)^3+J$12/(1+$A$45)^4+K$12/(1+$A$45)^5+K$12*6/(1+$A$45)^5+$C$29)/$C$32</f>
        <v/>
      </c>
      <c r="F45" s="22">
        <f>(G$12/(1+$A$45)^1+H$12/(1+$A$45)^2+I$12/(1+$A$45)^3+J$12/(1+$A$45)^4+K$12/(1+$A$45)^5+K$12*8/(1+$A$45)^5+$C$29)/$C$32</f>
        <v/>
      </c>
      <c r="G45" s="22">
        <f>(G$12/(1+$A$45)^1+H$12/(1+$A$45)^2+I$12/(1+$A$45)^3+J$12/(1+$A$45)^4+K$12/(1+$A$45)^5+K$12*10/(1+$A$45)^5+$C$29)/$C$32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2026-03-16T18:05:37Z</dcterms:created>
  <dcterms:modified xmlns:dcterms="http://purl.org/dc/terms/" xmlns:xsi="http://www.w3.org/2001/XMLSchema-instance" xsi:type="dcterms:W3CDTF">2026-03-16T18:05:37Z</dcterms:modified>
</cp:coreProperties>
</file>