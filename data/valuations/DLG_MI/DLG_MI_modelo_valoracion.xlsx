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De'Longhi S.p.A. (DLG_MI)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Furnishings, Fixtures &amp; Appliances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3156.384</v>
      </c>
      <c r="D7" s="5" t="n">
        <v>3073.505</v>
      </c>
      <c r="E7" s="5" t="n">
        <v>3489.861</v>
      </c>
      <c r="F7" s="5" t="n">
        <v>3792.511</v>
      </c>
    </row>
    <row r="8">
      <c r="A8" s="4" t="inlineStr">
        <is>
          <t xml:space="preserve">  Revenue Growth - Base</t>
        </is>
      </c>
      <c r="G8" s="6" t="n">
        <v>0.05</v>
      </c>
      <c r="H8" s="6" t="n">
        <v>0.06</v>
      </c>
      <c r="I8" s="6" t="n">
        <v>0.06</v>
      </c>
      <c r="J8" s="6" t="n">
        <v>0.05</v>
      </c>
      <c r="K8" s="6" t="n">
        <v>0.04</v>
      </c>
    </row>
    <row r="9">
      <c r="A9" s="4" t="inlineStr">
        <is>
          <t xml:space="preserve">  Revenue Growth - Bull</t>
        </is>
      </c>
      <c r="G9" s="6" t="n">
        <v>0.07000000000000001</v>
      </c>
      <c r="H9" s="6" t="n">
        <v>0.08</v>
      </c>
      <c r="I9" s="6" t="n">
        <v>0.08</v>
      </c>
      <c r="J9" s="6" t="n">
        <v>0.07000000000000001</v>
      </c>
      <c r="K9" s="6" t="n">
        <v>0.06</v>
      </c>
    </row>
    <row r="10">
      <c r="A10" s="4" t="inlineStr">
        <is>
          <t xml:space="preserve">  Revenue Growth - Bear</t>
        </is>
      </c>
      <c r="G10" s="6" t="n">
        <v>0.02</v>
      </c>
      <c r="H10" s="6" t="n">
        <v>0.03</v>
      </c>
      <c r="I10" s="6" t="n">
        <v>0.04</v>
      </c>
      <c r="J10" s="6" t="n">
        <v>0.04</v>
      </c>
      <c r="K10" s="6" t="n">
        <v>0.03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0.5600000000000001</v>
      </c>
      <c r="H15" s="6" t="n">
        <v>0.5600000000000001</v>
      </c>
      <c r="I15" s="6" t="n">
        <v>0.5600000000000001</v>
      </c>
      <c r="J15" s="6" t="n">
        <v>0.5600000000000001</v>
      </c>
      <c r="K15" s="6" t="n">
        <v>0.5600000000000001</v>
      </c>
    </row>
    <row r="16">
      <c r="A16" s="4" t="inlineStr">
        <is>
          <t>Gross Margin - Bull</t>
        </is>
      </c>
      <c r="G16" s="6" t="n">
        <v>0.57</v>
      </c>
      <c r="H16" s="6" t="n">
        <v>0.57</v>
      </c>
      <c r="I16" s="6" t="n">
        <v>0.57</v>
      </c>
      <c r="J16" s="6" t="n">
        <v>0.57</v>
      </c>
      <c r="K16" s="6" t="n">
        <v>0.57</v>
      </c>
    </row>
    <row r="17">
      <c r="A17" s="4" t="inlineStr">
        <is>
          <t>Gross Margin - Bear</t>
        </is>
      </c>
      <c r="G17" s="6" t="n">
        <v>0.55</v>
      </c>
      <c r="H17" s="6" t="n">
        <v>0.55</v>
      </c>
      <c r="I17" s="6" t="n">
        <v>0.55</v>
      </c>
      <c r="J17" s="6" t="n">
        <v>0.55</v>
      </c>
      <c r="K17" s="6" t="n">
        <v>0.55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0.435</v>
      </c>
      <c r="H20" s="6" t="n">
        <v>0.435</v>
      </c>
      <c r="I20" s="6" t="n">
        <v>0.435</v>
      </c>
      <c r="J20" s="6" t="n">
        <v>0.435</v>
      </c>
      <c r="K20" s="6" t="n">
        <v>0.435</v>
      </c>
    </row>
    <row r="21">
      <c r="A21" s="4" t="inlineStr">
        <is>
          <t>SG&amp;A % Revenue - Bull</t>
        </is>
      </c>
      <c r="G21" s="6" t="n">
        <v>0.425</v>
      </c>
      <c r="H21" s="6" t="n">
        <v>0.425</v>
      </c>
      <c r="I21" s="6" t="n">
        <v>0.425</v>
      </c>
      <c r="J21" s="6" t="n">
        <v>0.425</v>
      </c>
      <c r="K21" s="6" t="n">
        <v>0.425</v>
      </c>
    </row>
    <row r="22">
      <c r="A22" s="4" t="inlineStr">
        <is>
          <t>SG&amp;A % Revenue - Bear</t>
        </is>
      </c>
      <c r="G22" s="6" t="n">
        <v>0.445</v>
      </c>
      <c r="H22" s="6" t="n">
        <v>0.445</v>
      </c>
      <c r="I22" s="6" t="n">
        <v>0.445</v>
      </c>
      <c r="J22" s="6" t="n">
        <v>0.445</v>
      </c>
      <c r="K22" s="6" t="n">
        <v>0.445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0.034</v>
      </c>
      <c r="H30" s="6" t="n">
        <v>0.034</v>
      </c>
      <c r="I30" s="6" t="n">
        <v>0.034</v>
      </c>
      <c r="J30" s="6" t="n">
        <v>0.034</v>
      </c>
      <c r="K30" s="6" t="n">
        <v>0.034</v>
      </c>
    </row>
    <row r="31">
      <c r="A31" s="4" t="inlineStr">
        <is>
          <t>CapEx % Revenue</t>
        </is>
      </c>
      <c r="G31" s="6" t="n">
        <v>0.03</v>
      </c>
      <c r="H31" s="6" t="n">
        <v>0.03</v>
      </c>
      <c r="I31" s="6" t="n">
        <v>0.03</v>
      </c>
      <c r="J31" s="6" t="n">
        <v>0.03</v>
      </c>
      <c r="K31" s="6" t="n">
        <v>0.03</v>
      </c>
    </row>
    <row r="32">
      <c r="A32" s="4" t="inlineStr">
        <is>
          <t>Tax Rate</t>
        </is>
      </c>
      <c r="G32" s="6" t="n">
        <v>0.24</v>
      </c>
      <c r="H32" s="6" t="n">
        <v>0.24</v>
      </c>
      <c r="I32" s="6" t="n">
        <v>0.24</v>
      </c>
      <c r="J32" s="6" t="n">
        <v>0.24</v>
      </c>
      <c r="K32" s="6" t="n">
        <v>0.24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0.11</v>
      </c>
    </row>
    <row r="36">
      <c r="A36" s="4" t="inlineStr">
        <is>
          <t>WACC - Bull</t>
        </is>
      </c>
      <c r="C36" s="6" t="n">
        <v>0.1</v>
      </c>
    </row>
    <row r="37">
      <c r="A37" s="4" t="inlineStr">
        <is>
          <t>WACC - Bear</t>
        </is>
      </c>
      <c r="C37" s="6" t="n">
        <v>0.12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9</v>
      </c>
    </row>
    <row r="41">
      <c r="A41" s="4" t="inlineStr">
        <is>
          <t>Terminal Value Multiple - Bull</t>
        </is>
      </c>
      <c r="C41" s="9" t="n">
        <v>12</v>
      </c>
    </row>
    <row r="42">
      <c r="A42" s="4" t="inlineStr">
        <is>
          <t>Terminal Value Multiple - Bear</t>
        </is>
      </c>
      <c r="C42" s="9" t="n">
        <v>7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De'Longhi S.p.A. (DLG_MI)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3156.384</v>
      </c>
      <c r="D6" s="5" t="n">
        <v>3073.505</v>
      </c>
      <c r="E6" s="5" t="n">
        <v>3489.861</v>
      </c>
      <c r="F6" s="5" t="n">
        <v>3792.511</v>
      </c>
    </row>
    <row r="7">
      <c r="A7" s="4" t="inlineStr">
        <is>
          <t>Cost of Revenue</t>
        </is>
      </c>
      <c r="C7" s="5" t="n">
        <v>1465.21</v>
      </c>
      <c r="D7" s="5" t="n">
        <v>1381.333</v>
      </c>
      <c r="E7" s="5" t="n">
        <v>1488.655</v>
      </c>
      <c r="F7" s="5" t="n">
        <v>1586.007</v>
      </c>
    </row>
    <row r="8">
      <c r="A8" s="2" t="inlineStr">
        <is>
          <t>Gross Profit</t>
        </is>
      </c>
      <c r="C8" s="5" t="n">
        <v>1691.174</v>
      </c>
      <c r="D8" s="5" t="n">
        <v>1692.172</v>
      </c>
      <c r="E8" s="5" t="n">
        <v>2001.206</v>
      </c>
      <c r="F8" s="5" t="n">
        <v>2206.504</v>
      </c>
    </row>
    <row r="9">
      <c r="A9" s="4" t="inlineStr">
        <is>
          <t xml:space="preserve">  Gross Margin</t>
        </is>
      </c>
      <c r="C9" s="11" t="n">
        <v>0.535794757545343</v>
      </c>
      <c r="D9" s="11" t="n">
        <v>0.5505675116845425</v>
      </c>
      <c r="E9" s="11" t="n">
        <v>0.5734343001053623</v>
      </c>
      <c r="F9" s="11" t="n">
        <v>0.5818055636489914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481.861</v>
      </c>
      <c r="D12" s="5" t="n">
        <v>451.536</v>
      </c>
      <c r="E12" s="5" t="n">
        <v>502.506</v>
      </c>
      <c r="F12" s="5" t="n">
        <v>536.898</v>
      </c>
    </row>
    <row r="13">
      <c r="A13" s="2" t="inlineStr">
        <is>
          <t>Operating Income (EBIT)</t>
        </is>
      </c>
      <c r="C13" s="5" t="n">
        <v>262.967</v>
      </c>
      <c r="D13" s="5" t="n">
        <v>328.891</v>
      </c>
      <c r="E13" s="5" t="n">
        <v>430.648</v>
      </c>
      <c r="F13" s="5" t="n">
        <v>455.932</v>
      </c>
    </row>
    <row r="14">
      <c r="A14" s="4" t="inlineStr">
        <is>
          <t xml:space="preserve">  EBIT Margin</t>
        </is>
      </c>
      <c r="C14" s="11" t="n">
        <v>0.08331274014822024</v>
      </c>
      <c r="D14" s="11" t="n">
        <v>0.1070084480096828</v>
      </c>
      <c r="E14" s="11" t="n">
        <v>0.1233997571823061</v>
      </c>
      <c r="F14" s="11" t="n">
        <v>0.1202190316653004</v>
      </c>
    </row>
    <row r="16">
      <c r="A16" s="4" t="inlineStr">
        <is>
          <t>Interest Expense</t>
        </is>
      </c>
      <c r="C16" s="5" t="n">
        <v>13.984</v>
      </c>
      <c r="D16" s="5" t="n">
        <v>1.896</v>
      </c>
      <c r="E16" s="5" t="n">
        <v>28.391</v>
      </c>
      <c r="F16" s="5" t="n">
        <v>22.657</v>
      </c>
    </row>
    <row r="17">
      <c r="A17" s="4" t="inlineStr">
        <is>
          <t>Tax Provision</t>
        </is>
      </c>
      <c r="C17" s="5" t="n">
        <v>58.354</v>
      </c>
      <c r="D17" s="5" t="n">
        <v>76.886</v>
      </c>
      <c r="E17" s="5" t="n">
        <v>104.424</v>
      </c>
      <c r="F17" s="5" t="n">
        <v>108.586</v>
      </c>
    </row>
    <row r="18">
      <c r="A18" s="2" t="inlineStr">
        <is>
          <t>Net Income</t>
        </is>
      </c>
      <c r="C18" s="5" t="n">
        <v>177.428</v>
      </c>
      <c r="D18" s="5" t="n">
        <v>250.377</v>
      </c>
      <c r="E18" s="5" t="n">
        <v>310.737</v>
      </c>
      <c r="F18" s="5" t="n">
        <v>316.325</v>
      </c>
    </row>
    <row r="19">
      <c r="A19" s="4" t="inlineStr">
        <is>
          <t xml:space="preserve">  Net Margin</t>
        </is>
      </c>
      <c r="C19" s="11" t="n">
        <v>0.05621242535762442</v>
      </c>
      <c r="D19" s="11" t="n">
        <v>0.08146302023260089</v>
      </c>
      <c r="E19" s="11" t="n">
        <v>0.08903993597452735</v>
      </c>
      <c r="F19" s="11" t="n">
        <v>0.08340780026742177</v>
      </c>
    </row>
    <row r="21">
      <c r="A21" s="2" t="inlineStr">
        <is>
          <t>EBITDA</t>
        </is>
      </c>
      <c r="C21" s="5" t="n">
        <v>358.019</v>
      </c>
      <c r="D21" s="5" t="n">
        <v>437.385</v>
      </c>
      <c r="E21" s="5" t="n">
        <v>575.3869999999999</v>
      </c>
      <c r="F21" s="5" t="n">
        <v>603.708</v>
      </c>
    </row>
    <row r="22">
      <c r="A22" s="4" t="inlineStr">
        <is>
          <t xml:space="preserve">  EBITDA Margin</t>
        </is>
      </c>
      <c r="C22" s="11" t="n">
        <v>0.1134269467846751</v>
      </c>
      <c r="D22" s="11" t="n">
        <v>0.1423082116345996</v>
      </c>
      <c r="E22" s="11" t="n">
        <v>0.1648739018545438</v>
      </c>
      <c r="F22" s="11" t="n">
        <v>0.1591842449501135</v>
      </c>
    </row>
    <row r="23">
      <c r="A23" s="4" t="inlineStr">
        <is>
          <t>Diluted EPS</t>
        </is>
      </c>
      <c r="C23" s="12" t="n">
        <v>1.16</v>
      </c>
      <c r="D23" s="12" t="n">
        <v>1.667503</v>
      </c>
      <c r="E23" s="12" t="n">
        <v>2.05</v>
      </c>
      <c r="F23" s="12" t="n">
        <v>2.11</v>
      </c>
    </row>
    <row r="24">
      <c r="A24" s="4" t="inlineStr">
        <is>
          <t>D&amp;A</t>
        </is>
      </c>
      <c r="C24" s="5" t="n">
        <v>105.838</v>
      </c>
      <c r="D24" s="5" t="n">
        <v>108.191</v>
      </c>
      <c r="E24" s="5" t="n">
        <v>117.622</v>
      </c>
      <c r="F24" s="5" t="n">
        <v>131.045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770.247</v>
      </c>
      <c r="D28" s="5" t="n">
        <v>1250.198</v>
      </c>
      <c r="E28" s="5" t="n">
        <v>1019.711</v>
      </c>
      <c r="F28" s="5" t="n">
        <v>998.444</v>
      </c>
    </row>
    <row r="29">
      <c r="A29" s="4" t="inlineStr">
        <is>
          <t>Current Assets</t>
        </is>
      </c>
      <c r="C29" s="5" t="n">
        <v>2014.656</v>
      </c>
      <c r="D29" s="5" t="n">
        <v>2263.979</v>
      </c>
      <c r="E29" s="5" t="n">
        <v>2235.819</v>
      </c>
      <c r="F29" s="5" t="n">
        <v>2259.075</v>
      </c>
    </row>
    <row r="30">
      <c r="A30" s="4" t="inlineStr">
        <is>
          <t>Net PP&amp;E</t>
        </is>
      </c>
      <c r="C30" s="5" t="n">
        <v>446.899</v>
      </c>
      <c r="D30" s="5" t="n">
        <v>477.981</v>
      </c>
      <c r="E30" s="5" t="n">
        <v>560.606</v>
      </c>
      <c r="F30" s="5" t="n">
        <v>523.0700000000001</v>
      </c>
    </row>
    <row r="31">
      <c r="A31" s="4" t="inlineStr">
        <is>
          <t>Goodwill</t>
        </is>
      </c>
      <c r="C31" s="5" t="n">
        <v>373.754</v>
      </c>
      <c r="D31" s="5" t="n">
        <v>371.686</v>
      </c>
      <c r="E31" s="5" t="n">
        <v>694.208</v>
      </c>
      <c r="F31" s="5" t="n">
        <v>636.623</v>
      </c>
    </row>
    <row r="32">
      <c r="A32" s="2" t="inlineStr">
        <is>
          <t>Total Assets</t>
        </is>
      </c>
      <c r="C32" s="5" t="n">
        <v>3553.706</v>
      </c>
      <c r="D32" s="5" t="n">
        <v>3812.428</v>
      </c>
      <c r="E32" s="5" t="n">
        <v>4336.126</v>
      </c>
      <c r="F32" s="5" t="n">
        <v>4160.508</v>
      </c>
    </row>
    <row r="34">
      <c r="A34" s="4" t="inlineStr">
        <is>
          <t>Current Liabilities</t>
        </is>
      </c>
      <c r="C34" s="5" t="n">
        <v>922.394</v>
      </c>
      <c r="D34" s="5" t="n">
        <v>1213.128</v>
      </c>
      <c r="E34" s="5" t="n">
        <v>1315.008</v>
      </c>
      <c r="F34" s="5" t="n">
        <v>1268.237</v>
      </c>
    </row>
    <row r="35">
      <c r="A35" s="4" t="inlineStr">
        <is>
          <t>Total Debt</t>
        </is>
      </c>
      <c r="C35" s="5" t="n">
        <v>907.351</v>
      </c>
      <c r="D35" s="5" t="n">
        <v>831.486</v>
      </c>
      <c r="E35" s="5" t="n">
        <v>647.245</v>
      </c>
      <c r="F35" s="5" t="n">
        <v>514.591</v>
      </c>
    </row>
    <row r="36">
      <c r="A36" s="2" t="inlineStr">
        <is>
          <t>Total Liabilities</t>
        </is>
      </c>
      <c r="C36" s="5" t="n">
        <v>1890.315</v>
      </c>
      <c r="D36" s="5" t="n">
        <v>2001.289</v>
      </c>
      <c r="E36" s="5" t="n">
        <v>2071.733</v>
      </c>
      <c r="F36" s="5" t="n">
        <v>1936.256</v>
      </c>
    </row>
    <row r="38">
      <c r="A38" s="2" t="inlineStr">
        <is>
          <t>Total Equity</t>
        </is>
      </c>
      <c r="C38" s="5" t="n">
        <v>1663.391</v>
      </c>
      <c r="D38" s="5" t="n">
        <v>1811.139</v>
      </c>
      <c r="E38" s="5" t="n">
        <v>2264.393</v>
      </c>
      <c r="F38" s="5" t="n">
        <v>2224.252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151.927</v>
      </c>
      <c r="D42" s="5" t="n">
        <v>584.367</v>
      </c>
      <c r="E42" s="5" t="n">
        <v>486.382</v>
      </c>
      <c r="F42" s="5" t="n">
        <v>544.165</v>
      </c>
    </row>
    <row r="43">
      <c r="A43" s="4" t="inlineStr">
        <is>
          <t>Capital Expenditure</t>
        </is>
      </c>
      <c r="C43" s="5" t="n">
        <v>-128.92</v>
      </c>
      <c r="D43" s="5" t="n">
        <v>-95.30200000000001</v>
      </c>
      <c r="E43" s="5" t="n">
        <v>-103.478</v>
      </c>
      <c r="F43" s="5" t="n">
        <v>-89.155</v>
      </c>
    </row>
    <row r="44">
      <c r="A44" s="2" t="inlineStr">
        <is>
          <t>Free Cash Flow</t>
        </is>
      </c>
      <c r="C44" s="5" t="n">
        <v>23.007</v>
      </c>
      <c r="D44" s="5" t="n">
        <v>489.065</v>
      </c>
      <c r="E44" s="5" t="n">
        <v>382.904</v>
      </c>
      <c r="F44" s="5" t="n">
        <v>455.01</v>
      </c>
    </row>
    <row r="46">
      <c r="A46" s="4" t="inlineStr">
        <is>
          <t>D&amp;A</t>
        </is>
      </c>
      <c r="C46" s="5" t="n">
        <v>105.838</v>
      </c>
      <c r="D46" s="5" t="n">
        <v>108.191</v>
      </c>
      <c r="E46" s="5" t="n">
        <v>117.622</v>
      </c>
      <c r="F46" s="5" t="n">
        <v>131.045</v>
      </c>
    </row>
    <row r="47">
      <c r="A47" s="4" t="inlineStr">
        <is>
          <t>Stock-Based Compensation</t>
        </is>
      </c>
      <c r="C47" s="5" t="n">
        <v>0</v>
      </c>
      <c r="D47" s="5" t="n">
        <v>0</v>
      </c>
      <c r="E47" s="5" t="n">
        <v>0</v>
      </c>
      <c r="F47" s="5" t="n">
        <v>0</v>
      </c>
    </row>
    <row r="48">
      <c r="A48" s="4" t="inlineStr">
        <is>
          <t>Change in Working Capital</t>
        </is>
      </c>
      <c r="C48" s="5" t="n">
        <v>-83.946</v>
      </c>
      <c r="D48" s="5" t="n">
        <v>235.582</v>
      </c>
      <c r="E48" s="5" t="n">
        <v>42.978</v>
      </c>
      <c r="F48" s="5" t="n">
        <v>32.639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De'Longhi S.p.A. (DLG_MI)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Furnishings, Fixtures &amp; Appliances</t>
        </is>
      </c>
      <c r="C8" s="5" t="n">
        <v>3156.384</v>
      </c>
      <c r="D8" s="5" t="n">
        <v>3073.505</v>
      </c>
      <c r="E8" s="5" t="n">
        <v>3489.861</v>
      </c>
      <c r="F8" s="5" t="n">
        <v>3792.511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1465.21</v>
      </c>
      <c r="D16" s="5" t="n">
        <v>1381.333</v>
      </c>
      <c r="E16" s="5" t="n">
        <v>1488.655</v>
      </c>
      <c r="F16" s="5" t="n">
        <v>1586.007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481.861</v>
      </c>
      <c r="D20" s="5" t="n">
        <v>451.536</v>
      </c>
      <c r="E20" s="5" t="n">
        <v>502.506</v>
      </c>
      <c r="F20" s="5" t="n">
        <v>536.898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105.838</v>
      </c>
      <c r="D22" s="5" t="n">
        <v>108.191</v>
      </c>
      <c r="E22" s="5" t="n">
        <v>117.622</v>
      </c>
      <c r="F22" s="5" t="n">
        <v>131.045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13.984</v>
      </c>
      <c r="D29" s="5" t="n">
        <v>1.896</v>
      </c>
      <c r="E29" s="5" t="n">
        <v>28.391</v>
      </c>
      <c r="F29" s="5" t="n">
        <v>22.657</v>
      </c>
      <c r="G29" s="5" t="n">
        <v>22.657</v>
      </c>
      <c r="H29" s="5" t="n">
        <v>22.657</v>
      </c>
      <c r="I29" s="5" t="n">
        <v>22.657</v>
      </c>
      <c r="J29" s="5" t="n">
        <v>22.657</v>
      </c>
      <c r="K29" s="5" t="n">
        <v>22.657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58.354</v>
      </c>
      <c r="D31" s="5" t="n">
        <v>76.886</v>
      </c>
      <c r="E31" s="5" t="n">
        <v>104.424</v>
      </c>
      <c r="F31" s="5" t="n">
        <v>108.586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-83.946</v>
      </c>
      <c r="D39" s="5" t="n">
        <v>235.582</v>
      </c>
      <c r="E39" s="5" t="n">
        <v>42.978</v>
      </c>
      <c r="F39" s="5" t="n">
        <v>32.639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-128.92</v>
      </c>
      <c r="D42" s="5" t="n">
        <v>-95.30200000000001</v>
      </c>
      <c r="E42" s="5" t="n">
        <v>-103.478</v>
      </c>
      <c r="F42" s="5" t="n">
        <v>-89.155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De'Longhi S.p.A. (DLG_MI)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34.14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483.853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149.523224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C33/34.14-1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5x</t>
        </is>
      </c>
      <c r="D38" s="1" t="inlineStr">
        <is>
          <t>7x</t>
        </is>
      </c>
      <c r="E38" s="1" t="inlineStr">
        <is>
          <t>9x</t>
        </is>
      </c>
      <c r="F38" s="1" t="inlineStr">
        <is>
          <t>11x</t>
        </is>
      </c>
      <c r="G38" s="1" t="inlineStr">
        <is>
          <t>13x</t>
        </is>
      </c>
    </row>
    <row r="39">
      <c r="A39" s="21" t="n">
        <v>0.08</v>
      </c>
      <c r="C39" s="22">
        <f>(G$12/(1+$A$39)^1+H$12/(1+$A$39)^2+I$12/(1+$A$39)^3+J$12/(1+$A$39)^4+K$12/(1+$A$39)^5+K$8*5/(1+$A$39)^5+$C$29)/$C$32</f>
        <v/>
      </c>
      <c r="D39" s="22">
        <f>(G$12/(1+$A$39)^1+H$12/(1+$A$39)^2+I$12/(1+$A$39)^3+J$12/(1+$A$39)^4+K$12/(1+$A$39)^5+K$8*7/(1+$A$39)^5+$C$29)/$C$32</f>
        <v/>
      </c>
      <c r="E39" s="22">
        <f>(G$12/(1+$A$39)^1+H$12/(1+$A$39)^2+I$12/(1+$A$39)^3+J$12/(1+$A$39)^4+K$12/(1+$A$39)^5+K$8*9/(1+$A$39)^5+$C$29)/$C$32</f>
        <v/>
      </c>
      <c r="F39" s="22">
        <f>(G$12/(1+$A$39)^1+H$12/(1+$A$39)^2+I$12/(1+$A$39)^3+J$12/(1+$A$39)^4+K$12/(1+$A$39)^5+K$8*11/(1+$A$39)^5+$C$29)/$C$32</f>
        <v/>
      </c>
      <c r="G39" s="22">
        <f>(G$12/(1+$A$39)^1+H$12/(1+$A$39)^2+I$12/(1+$A$39)^3+J$12/(1+$A$39)^4+K$12/(1+$A$39)^5+K$8*13/(1+$A$39)^5+$C$29)/$C$32</f>
        <v/>
      </c>
    </row>
    <row r="40">
      <c r="A40" s="21" t="n">
        <v>0.09</v>
      </c>
      <c r="C40" s="22">
        <f>(G$12/(1+$A$40)^1+H$12/(1+$A$40)^2+I$12/(1+$A$40)^3+J$12/(1+$A$40)^4+K$12/(1+$A$40)^5+K$8*5/(1+$A$40)^5+$C$29)/$C$32</f>
        <v/>
      </c>
      <c r="D40" s="22">
        <f>(G$12/(1+$A$40)^1+H$12/(1+$A$40)^2+I$12/(1+$A$40)^3+J$12/(1+$A$40)^4+K$12/(1+$A$40)^5+K$8*7/(1+$A$40)^5+$C$29)/$C$32</f>
        <v/>
      </c>
      <c r="E40" s="22">
        <f>(G$12/(1+$A$40)^1+H$12/(1+$A$40)^2+I$12/(1+$A$40)^3+J$12/(1+$A$40)^4+K$12/(1+$A$40)^5+K$8*9/(1+$A$40)^5+$C$29)/$C$32</f>
        <v/>
      </c>
      <c r="F40" s="22">
        <f>(G$12/(1+$A$40)^1+H$12/(1+$A$40)^2+I$12/(1+$A$40)^3+J$12/(1+$A$40)^4+K$12/(1+$A$40)^5+K$8*11/(1+$A$40)^5+$C$29)/$C$32</f>
        <v/>
      </c>
      <c r="G40" s="22">
        <f>(G$12/(1+$A$40)^1+H$12/(1+$A$40)^2+I$12/(1+$A$40)^3+J$12/(1+$A$40)^4+K$12/(1+$A$40)^5+K$8*13/(1+$A$40)^5+$C$29)/$C$32</f>
        <v/>
      </c>
    </row>
    <row r="41">
      <c r="A41" s="21" t="n">
        <v>0.1</v>
      </c>
      <c r="C41" s="22">
        <f>(G$12/(1+$A$41)^1+H$12/(1+$A$41)^2+I$12/(1+$A$41)^3+J$12/(1+$A$41)^4+K$12/(1+$A$41)^5+K$8*5/(1+$A$41)^5+$C$29)/$C$32</f>
        <v/>
      </c>
      <c r="D41" s="22">
        <f>(G$12/(1+$A$41)^1+H$12/(1+$A$41)^2+I$12/(1+$A$41)^3+J$12/(1+$A$41)^4+K$12/(1+$A$41)^5+K$8*7/(1+$A$41)^5+$C$29)/$C$32</f>
        <v/>
      </c>
      <c r="E41" s="22">
        <f>(G$12/(1+$A$41)^1+H$12/(1+$A$41)^2+I$12/(1+$A$41)^3+J$12/(1+$A$41)^4+K$12/(1+$A$41)^5+K$8*9/(1+$A$41)^5+$C$29)/$C$32</f>
        <v/>
      </c>
      <c r="F41" s="22">
        <f>(G$12/(1+$A$41)^1+H$12/(1+$A$41)^2+I$12/(1+$A$41)^3+J$12/(1+$A$41)^4+K$12/(1+$A$41)^5+K$8*11/(1+$A$41)^5+$C$29)/$C$32</f>
        <v/>
      </c>
      <c r="G41" s="22">
        <f>(G$12/(1+$A$41)^1+H$12/(1+$A$41)^2+I$12/(1+$A$41)^3+J$12/(1+$A$41)^4+K$12/(1+$A$41)^5+K$8*13/(1+$A$41)^5+$C$29)/$C$32</f>
        <v/>
      </c>
    </row>
    <row r="42">
      <c r="A42" s="21" t="n">
        <v>0.11</v>
      </c>
      <c r="C42" s="22">
        <f>(G$12/(1+$A$42)^1+H$12/(1+$A$42)^2+I$12/(1+$A$42)^3+J$12/(1+$A$42)^4+K$12/(1+$A$42)^5+K$8*5/(1+$A$42)^5+$C$29)/$C$32</f>
        <v/>
      </c>
      <c r="D42" s="22">
        <f>(G$12/(1+$A$42)^1+H$12/(1+$A$42)^2+I$12/(1+$A$42)^3+J$12/(1+$A$42)^4+K$12/(1+$A$42)^5+K$8*7/(1+$A$42)^5+$C$29)/$C$32</f>
        <v/>
      </c>
      <c r="E42" s="23">
        <f>(G$12/(1+$A$42)^1+H$12/(1+$A$42)^2+I$12/(1+$A$42)^3+J$12/(1+$A$42)^4+K$12/(1+$A$42)^5+K$8*9/(1+$A$42)^5+$C$29)/$C$32</f>
        <v/>
      </c>
      <c r="F42" s="22">
        <f>(G$12/(1+$A$42)^1+H$12/(1+$A$42)^2+I$12/(1+$A$42)^3+J$12/(1+$A$42)^4+K$12/(1+$A$42)^5+K$8*11/(1+$A$42)^5+$C$29)/$C$32</f>
        <v/>
      </c>
      <c r="G42" s="22">
        <f>(G$12/(1+$A$42)^1+H$12/(1+$A$42)^2+I$12/(1+$A$42)^3+J$12/(1+$A$42)^4+K$12/(1+$A$42)^5+K$8*13/(1+$A$42)^5+$C$29)/$C$32</f>
        <v/>
      </c>
    </row>
    <row r="43">
      <c r="A43" s="21" t="n">
        <v>0.12</v>
      </c>
      <c r="C43" s="22">
        <f>(G$12/(1+$A$43)^1+H$12/(1+$A$43)^2+I$12/(1+$A$43)^3+J$12/(1+$A$43)^4+K$12/(1+$A$43)^5+K$8*5/(1+$A$43)^5+$C$29)/$C$32</f>
        <v/>
      </c>
      <c r="D43" s="22">
        <f>(G$12/(1+$A$43)^1+H$12/(1+$A$43)^2+I$12/(1+$A$43)^3+J$12/(1+$A$43)^4+K$12/(1+$A$43)^5+K$8*7/(1+$A$43)^5+$C$29)/$C$32</f>
        <v/>
      </c>
      <c r="E43" s="22">
        <f>(G$12/(1+$A$43)^1+H$12/(1+$A$43)^2+I$12/(1+$A$43)^3+J$12/(1+$A$43)^4+K$12/(1+$A$43)^5+K$8*9/(1+$A$43)^5+$C$29)/$C$32</f>
        <v/>
      </c>
      <c r="F43" s="22">
        <f>(G$12/(1+$A$43)^1+H$12/(1+$A$43)^2+I$12/(1+$A$43)^3+J$12/(1+$A$43)^4+K$12/(1+$A$43)^5+K$8*11/(1+$A$43)^5+$C$29)/$C$32</f>
        <v/>
      </c>
      <c r="G43" s="22">
        <f>(G$12/(1+$A$43)^1+H$12/(1+$A$43)^2+I$12/(1+$A$43)^3+J$12/(1+$A$43)^4+K$12/(1+$A$43)^5+K$8*13/(1+$A$43)^5+$C$29)/$C$32</f>
        <v/>
      </c>
    </row>
    <row r="44">
      <c r="A44" s="21" t="n">
        <v>0.13</v>
      </c>
      <c r="C44" s="22">
        <f>(G$12/(1+$A$44)^1+H$12/(1+$A$44)^2+I$12/(1+$A$44)^3+J$12/(1+$A$44)^4+K$12/(1+$A$44)^5+K$8*5/(1+$A$44)^5+$C$29)/$C$32</f>
        <v/>
      </c>
      <c r="D44" s="22">
        <f>(G$12/(1+$A$44)^1+H$12/(1+$A$44)^2+I$12/(1+$A$44)^3+J$12/(1+$A$44)^4+K$12/(1+$A$44)^5+K$8*7/(1+$A$44)^5+$C$29)/$C$32</f>
        <v/>
      </c>
      <c r="E44" s="22">
        <f>(G$12/(1+$A$44)^1+H$12/(1+$A$44)^2+I$12/(1+$A$44)^3+J$12/(1+$A$44)^4+K$12/(1+$A$44)^5+K$8*9/(1+$A$44)^5+$C$29)/$C$32</f>
        <v/>
      </c>
      <c r="F44" s="22">
        <f>(G$12/(1+$A$44)^1+H$12/(1+$A$44)^2+I$12/(1+$A$44)^3+J$12/(1+$A$44)^4+K$12/(1+$A$44)^5+K$8*11/(1+$A$44)^5+$C$29)/$C$32</f>
        <v/>
      </c>
      <c r="G44" s="22">
        <f>(G$12/(1+$A$44)^1+H$12/(1+$A$44)^2+I$12/(1+$A$44)^3+J$12/(1+$A$44)^4+K$12/(1+$A$44)^5+K$8*13/(1+$A$44)^5+$C$29)/$C$32</f>
        <v/>
      </c>
    </row>
    <row r="45">
      <c r="A45" s="21" t="n">
        <v>0.14</v>
      </c>
      <c r="C45" s="22">
        <f>(G$12/(1+$A$45)^1+H$12/(1+$A$45)^2+I$12/(1+$A$45)^3+J$12/(1+$A$45)^4+K$12/(1+$A$45)^5+K$8*5/(1+$A$45)^5+$C$29)/$C$32</f>
        <v/>
      </c>
      <c r="D45" s="22">
        <f>(G$12/(1+$A$45)^1+H$12/(1+$A$45)^2+I$12/(1+$A$45)^3+J$12/(1+$A$45)^4+K$12/(1+$A$45)^5+K$8*7/(1+$A$45)^5+$C$29)/$C$32</f>
        <v/>
      </c>
      <c r="E45" s="22">
        <f>(G$12/(1+$A$45)^1+H$12/(1+$A$45)^2+I$12/(1+$A$45)^3+J$12/(1+$A$45)^4+K$12/(1+$A$45)^5+K$8*9/(1+$A$45)^5+$C$29)/$C$32</f>
        <v/>
      </c>
      <c r="F45" s="22">
        <f>(G$12/(1+$A$45)^1+H$12/(1+$A$45)^2+I$12/(1+$A$45)^3+J$12/(1+$A$45)^4+K$12/(1+$A$45)^5+K$8*11/(1+$A$45)^5+$C$29)/$C$32</f>
        <v/>
      </c>
      <c r="G45" s="22">
        <f>(G$12/(1+$A$45)^1+H$12/(1+$A$45)^2+I$12/(1+$A$45)^3+J$12/(1+$A$45)^4+K$12/(1+$A$45)^5+K$8*13/(1+$A$45)^5+$C$29)/$C$32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2026-04-20T19:26:35Z</dcterms:created>
  <dcterms:modified xmlns:dcterms="http://purl.org/dc/terms/" xmlns:xsi="http://www.w3.org/2001/XMLSchema-instance" xsi:type="dcterms:W3CDTF">2026-04-20T19:26:35Z</dcterms:modified>
</cp:coreProperties>
</file>