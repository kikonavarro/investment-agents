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Deere &amp; Company (DE)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Farm &amp; Heavy Construction Machinery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51282</v>
      </c>
      <c r="D7" s="5" t="n">
        <v>60248</v>
      </c>
      <c r="E7" s="5" t="n">
        <v>50518</v>
      </c>
      <c r="F7" s="5" t="n">
        <v>44665</v>
      </c>
    </row>
    <row r="8">
      <c r="A8" s="4" t="inlineStr">
        <is>
          <t xml:space="preserve">  Revenue Growth - Base</t>
        </is>
      </c>
      <c r="G8" s="6" t="n">
        <v>-0.0342</v>
      </c>
      <c r="H8" s="6" t="n">
        <v>-0.0308</v>
      </c>
      <c r="I8" s="6" t="n">
        <v>-0.0274</v>
      </c>
      <c r="J8" s="6" t="n">
        <v>-0.0239</v>
      </c>
      <c r="K8" s="6" t="n">
        <v>-0.0205</v>
      </c>
    </row>
    <row r="9">
      <c r="A9" s="4" t="inlineStr">
        <is>
          <t xml:space="preserve">  Revenue Growth - Bull</t>
        </is>
      </c>
      <c r="G9" s="6" t="n">
        <v>-0.0342</v>
      </c>
      <c r="H9" s="6" t="n">
        <v>-0.0308</v>
      </c>
      <c r="I9" s="6" t="n">
        <v>-0.0274</v>
      </c>
      <c r="J9" s="6" t="n">
        <v>-0.0239</v>
      </c>
      <c r="K9" s="6" t="n">
        <v>-0.0205</v>
      </c>
    </row>
    <row r="10">
      <c r="A10" s="4" t="inlineStr">
        <is>
          <t xml:space="preserve">  Revenue Growth - Bear</t>
        </is>
      </c>
      <c r="G10" s="6" t="n">
        <v>-0.0342</v>
      </c>
      <c r="H10" s="6" t="n">
        <v>-0.0308</v>
      </c>
      <c r="I10" s="6" t="n">
        <v>-0.0274</v>
      </c>
      <c r="J10" s="6" t="n">
        <v>-0.0239</v>
      </c>
      <c r="K10" s="6" t="n">
        <v>-0.0205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0.3569251909068355</v>
      </c>
      <c r="H15" s="6" t="n">
        <v>0.3569251909068355</v>
      </c>
      <c r="I15" s="6" t="n">
        <v>0.3569251909068355</v>
      </c>
      <c r="J15" s="6" t="n">
        <v>0.3569251909068355</v>
      </c>
      <c r="K15" s="6" t="n">
        <v>0.3569251909068355</v>
      </c>
    </row>
    <row r="16">
      <c r="A16" s="4" t="inlineStr">
        <is>
          <t>Gross Margin - Bull</t>
        </is>
      </c>
      <c r="G16" s="6" t="n">
        <v>0.3569251909068355</v>
      </c>
      <c r="H16" s="6" t="n">
        <v>0.3569251909068355</v>
      </c>
      <c r="I16" s="6" t="n">
        <v>0.3569251909068355</v>
      </c>
      <c r="J16" s="6" t="n">
        <v>0.3569251909068355</v>
      </c>
      <c r="K16" s="6" t="n">
        <v>0.3569251909068355</v>
      </c>
    </row>
    <row r="17">
      <c r="A17" s="4" t="inlineStr">
        <is>
          <t>Gross Margin - Bear</t>
        </is>
      </c>
      <c r="G17" s="6" t="n">
        <v>0.3569251909068355</v>
      </c>
      <c r="H17" s="6" t="n">
        <v>0.3569251909068355</v>
      </c>
      <c r="I17" s="6" t="n">
        <v>0.3569251909068355</v>
      </c>
      <c r="J17" s="6" t="n">
        <v>0.3569251909068355</v>
      </c>
      <c r="K17" s="6" t="n">
        <v>0.3569251909068355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0.08169141166514646</v>
      </c>
      <c r="H20" s="6" t="n">
        <v>0.08169141166514646</v>
      </c>
      <c r="I20" s="6" t="n">
        <v>0.08169141166514646</v>
      </c>
      <c r="J20" s="6" t="n">
        <v>0.08169141166514646</v>
      </c>
      <c r="K20" s="6" t="n">
        <v>0.08169141166514646</v>
      </c>
    </row>
    <row r="21">
      <c r="A21" s="4" t="inlineStr">
        <is>
          <t>SG&amp;A % Revenue - Bull</t>
        </is>
      </c>
      <c r="G21" s="6" t="n">
        <v>0.08169141166514646</v>
      </c>
      <c r="H21" s="6" t="n">
        <v>0.08169141166514646</v>
      </c>
      <c r="I21" s="6" t="n">
        <v>0.08169141166514646</v>
      </c>
      <c r="J21" s="6" t="n">
        <v>0.08169141166514646</v>
      </c>
      <c r="K21" s="6" t="n">
        <v>0.08169141166514646</v>
      </c>
    </row>
    <row r="22">
      <c r="A22" s="4" t="inlineStr">
        <is>
          <t>SG&amp;A % Revenue - Bear</t>
        </is>
      </c>
      <c r="G22" s="6" t="n">
        <v>0.08169141166514646</v>
      </c>
      <c r="H22" s="6" t="n">
        <v>0.08169141166514646</v>
      </c>
      <c r="I22" s="6" t="n">
        <v>0.08169141166514646</v>
      </c>
      <c r="J22" s="6" t="n">
        <v>0.08169141166514646</v>
      </c>
      <c r="K22" s="6" t="n">
        <v>0.08169141166514646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0.04262228268028432</v>
      </c>
      <c r="H25" s="6" t="n">
        <v>0.04262228268028432</v>
      </c>
      <c r="I25" s="6" t="n">
        <v>0.04262228268028432</v>
      </c>
      <c r="J25" s="6" t="n">
        <v>0.04262228268028432</v>
      </c>
      <c r="K25" s="6" t="n">
        <v>0.04262228268028432</v>
      </c>
    </row>
    <row r="26">
      <c r="A26" s="4" t="inlineStr">
        <is>
          <t>R&amp;D % Revenue - Bull</t>
        </is>
      </c>
      <c r="G26" s="6" t="n">
        <v>0.04262228268028432</v>
      </c>
      <c r="H26" s="6" t="n">
        <v>0.04262228268028432</v>
      </c>
      <c r="I26" s="6" t="n">
        <v>0.04262228268028432</v>
      </c>
      <c r="J26" s="6" t="n">
        <v>0.04262228268028432</v>
      </c>
      <c r="K26" s="6" t="n">
        <v>0.04262228268028432</v>
      </c>
    </row>
    <row r="27">
      <c r="A27" s="4" t="inlineStr">
        <is>
          <t>R&amp;D % Revenue - Bear</t>
        </is>
      </c>
      <c r="G27" s="6" t="n">
        <v>0.04262228268028432</v>
      </c>
      <c r="H27" s="6" t="n">
        <v>0.04262228268028432</v>
      </c>
      <c r="I27" s="6" t="n">
        <v>0.04262228268028432</v>
      </c>
      <c r="J27" s="6" t="n">
        <v>0.04262228268028432</v>
      </c>
      <c r="K27" s="6" t="n">
        <v>0.04262228268028432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0.04051138733746389</v>
      </c>
      <c r="H30" s="6" t="n">
        <v>0.04051138733746389</v>
      </c>
      <c r="I30" s="6" t="n">
        <v>0.04051138733746389</v>
      </c>
      <c r="J30" s="6" t="n">
        <v>0.04051138733746389</v>
      </c>
      <c r="K30" s="6" t="n">
        <v>0.04051138733746389</v>
      </c>
    </row>
    <row r="31">
      <c r="A31" s="4" t="inlineStr">
        <is>
          <t>CapEx % Revenue</t>
        </is>
      </c>
      <c r="G31" s="6" t="n">
        <v>0.08441019330630305</v>
      </c>
      <c r="H31" s="6" t="n">
        <v>0.08441019330630305</v>
      </c>
      <c r="I31" s="6" t="n">
        <v>0.08441019330630305</v>
      </c>
      <c r="J31" s="6" t="n">
        <v>0.08441019330630305</v>
      </c>
      <c r="K31" s="6" t="n">
        <v>0.08441019330630305</v>
      </c>
    </row>
    <row r="32">
      <c r="A32" s="4" t="inlineStr">
        <is>
          <t>Tax Rate</t>
        </is>
      </c>
      <c r="G32" s="6" t="n">
        <v>0.187992241799769</v>
      </c>
      <c r="H32" s="6" t="n">
        <v>0.187992241799769</v>
      </c>
      <c r="I32" s="6" t="n">
        <v>0.187992241799769</v>
      </c>
      <c r="J32" s="6" t="n">
        <v>0.187992241799769</v>
      </c>
      <c r="K32" s="6" t="n">
        <v>0.187992241799769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Deere &amp; Company (DE)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51282</v>
      </c>
      <c r="D6" s="5" t="n">
        <v>60248</v>
      </c>
      <c r="E6" s="5" t="n">
        <v>50518</v>
      </c>
      <c r="F6" s="5" t="n">
        <v>44665</v>
      </c>
    </row>
    <row r="7">
      <c r="A7" s="4" t="inlineStr">
        <is>
          <t>Cost of Revenue</t>
        </is>
      </c>
      <c r="C7" s="5" t="n">
        <v>35552</v>
      </c>
      <c r="D7" s="5" t="n">
        <v>37942</v>
      </c>
      <c r="E7" s="5" t="n">
        <v>31023</v>
      </c>
      <c r="F7" s="5" t="n">
        <v>28370</v>
      </c>
    </row>
    <row r="8">
      <c r="A8" s="2" t="inlineStr">
        <is>
          <t>Gross Profit</t>
        </is>
      </c>
      <c r="C8" s="5" t="n">
        <v>15730</v>
      </c>
      <c r="D8" s="5" t="n">
        <v>22306</v>
      </c>
      <c r="E8" s="5" t="n">
        <v>19495</v>
      </c>
      <c r="F8" s="5" t="n">
        <v>16295</v>
      </c>
    </row>
    <row r="9">
      <c r="A9" s="4" t="inlineStr">
        <is>
          <t xml:space="preserve">  Gross Margin</t>
        </is>
      </c>
      <c r="C9" s="11" t="n">
        <v>0.3067353067353067</v>
      </c>
      <c r="D9" s="11" t="n">
        <v>0.3702363563935732</v>
      </c>
      <c r="E9" s="11" t="n">
        <v>0.3859020547131715</v>
      </c>
      <c r="F9" s="11" t="n">
        <v>0.3648270457852905</v>
      </c>
    </row>
    <row r="11">
      <c r="A11" s="4" t="inlineStr">
        <is>
          <t>R&amp;D Expense</t>
        </is>
      </c>
      <c r="C11" s="5" t="n">
        <v>1912</v>
      </c>
      <c r="D11" s="5" t="n">
        <v>2177</v>
      </c>
      <c r="E11" s="5" t="n">
        <v>2290</v>
      </c>
      <c r="F11" s="5" t="n">
        <v>2311</v>
      </c>
    </row>
    <row r="12">
      <c r="A12" s="4" t="inlineStr">
        <is>
          <t>SG&amp;A Expense</t>
        </is>
      </c>
      <c r="C12" s="5" t="n">
        <v>3645</v>
      </c>
      <c r="D12" s="5" t="n">
        <v>4309</v>
      </c>
      <c r="E12" s="5" t="n">
        <v>4507</v>
      </c>
      <c r="F12" s="5" t="n">
        <v>4241</v>
      </c>
    </row>
    <row r="13">
      <c r="A13" s="2" t="inlineStr">
        <is>
          <t>Operating Income (EBIT)</t>
        </is>
      </c>
      <c r="C13" s="5" t="n">
        <v>9026</v>
      </c>
      <c r="D13" s="5" t="n">
        <v>14591</v>
      </c>
      <c r="E13" s="5" t="n">
        <v>11427</v>
      </c>
      <c r="F13" s="5" t="n">
        <v>8416</v>
      </c>
    </row>
    <row r="14">
      <c r="A14" s="4" t="inlineStr">
        <is>
          <t xml:space="preserve">  EBIT Margin</t>
        </is>
      </c>
      <c r="C14" s="11" t="n">
        <v>0.176007176007176</v>
      </c>
      <c r="D14" s="11" t="n">
        <v>0.2421823131058292</v>
      </c>
      <c r="E14" s="11" t="n">
        <v>0.2261966031909418</v>
      </c>
      <c r="F14" s="11" t="n">
        <v>0.1884249412291504</v>
      </c>
    </row>
    <row r="16">
      <c r="A16" s="4" t="inlineStr">
        <is>
          <t>Interest Expense</t>
        </is>
      </c>
      <c r="C16" s="5" t="n">
        <v>1062</v>
      </c>
      <c r="D16" s="5" t="n">
        <v>2453</v>
      </c>
      <c r="E16" s="5" t="n">
        <v>3348</v>
      </c>
      <c r="F16" s="5" t="n">
        <v>3170</v>
      </c>
    </row>
    <row r="17">
      <c r="A17" s="4" t="inlineStr">
        <is>
          <t>Tax Provision</t>
        </is>
      </c>
      <c r="C17" s="5" t="n">
        <v>2007</v>
      </c>
      <c r="D17" s="5" t="n">
        <v>2871</v>
      </c>
      <c r="E17" s="5" t="n">
        <v>2094</v>
      </c>
      <c r="F17" s="5" t="n">
        <v>1259</v>
      </c>
    </row>
    <row r="18">
      <c r="A18" s="2" t="inlineStr">
        <is>
          <t>Net Income</t>
        </is>
      </c>
      <c r="C18" s="5" t="n">
        <v>7131</v>
      </c>
      <c r="D18" s="5" t="n">
        <v>10166</v>
      </c>
      <c r="E18" s="5" t="n">
        <v>7100</v>
      </c>
      <c r="F18" s="5" t="n">
        <v>5027</v>
      </c>
    </row>
    <row r="19">
      <c r="A19" s="4" t="inlineStr">
        <is>
          <t xml:space="preserve">  Net Margin</t>
        </is>
      </c>
      <c r="C19" s="11" t="n">
        <v>0.1390546390546391</v>
      </c>
      <c r="D19" s="11" t="n">
        <v>0.1687358916478555</v>
      </c>
      <c r="E19" s="11" t="n">
        <v>0.1405439645274952</v>
      </c>
      <c r="F19" s="11" t="n">
        <v>0.1125489757080488</v>
      </c>
    </row>
    <row r="21">
      <c r="A21" s="2" t="inlineStr">
        <is>
          <t>EBITDA</t>
        </is>
      </c>
      <c r="C21" s="5" t="n">
        <v>12084</v>
      </c>
      <c r="D21" s="5" t="n">
        <v>17476</v>
      </c>
      <c r="E21" s="5" t="n">
        <v>14672</v>
      </c>
      <c r="F21" s="5" t="n">
        <v>11656</v>
      </c>
    </row>
    <row r="22">
      <c r="A22" s="4" t="inlineStr">
        <is>
          <t xml:space="preserve">  EBITDA Margin</t>
        </is>
      </c>
      <c r="C22" s="11" t="n">
        <v>0.2356382356382356</v>
      </c>
      <c r="D22" s="11" t="n">
        <v>0.2900677200902935</v>
      </c>
      <c r="E22" s="11" t="n">
        <v>0.2904311334573815</v>
      </c>
      <c r="F22" s="11" t="n">
        <v>0.2609649613791559</v>
      </c>
    </row>
    <row r="23">
      <c r="A23" s="4" t="inlineStr">
        <is>
          <t>Diluted EPS</t>
        </is>
      </c>
      <c r="C23" s="12" t="n">
        <v>23.28</v>
      </c>
      <c r="D23" s="12" t="n">
        <v>34.63</v>
      </c>
      <c r="E23" s="12" t="n">
        <v>25.62</v>
      </c>
      <c r="F23" s="12" t="n">
        <v>18.5</v>
      </c>
    </row>
    <row r="24">
      <c r="A24" s="4" t="inlineStr">
        <is>
          <t>D&amp;A</t>
        </is>
      </c>
      <c r="C24" s="5" t="n">
        <v>1895</v>
      </c>
      <c r="D24" s="5" t="n">
        <v>2004</v>
      </c>
      <c r="E24" s="5" t="n">
        <v>2118</v>
      </c>
      <c r="F24" s="5" t="n">
        <v>2229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4774</v>
      </c>
      <c r="D28" s="5" t="n">
        <v>7458</v>
      </c>
      <c r="E28" s="5" t="n">
        <v>7324</v>
      </c>
      <c r="F28" s="5" t="n">
        <v>8276</v>
      </c>
    </row>
    <row r="29">
      <c r="A29" s="4" t="inlineStr">
        <is>
          <t>Current Assets</t>
        </is>
      </c>
      <c r="C29" s="5" t="n">
        <v>64088</v>
      </c>
      <c r="D29" s="5" t="n">
        <v>76369</v>
      </c>
      <c r="E29" s="5" t="n">
        <v>77667</v>
      </c>
      <c r="F29" s="5" t="n">
        <v>74902</v>
      </c>
    </row>
    <row r="30">
      <c r="A30" s="4" t="inlineStr">
        <is>
          <t>Net PP&amp;E</t>
        </is>
      </c>
      <c r="C30" s="5" t="n">
        <v>13097</v>
      </c>
      <c r="D30" s="5" t="n">
        <v>14206</v>
      </c>
      <c r="E30" s="5" t="n">
        <v>15305</v>
      </c>
      <c r="F30" s="5" t="n">
        <v>15996</v>
      </c>
    </row>
    <row r="31">
      <c r="A31" s="4" t="inlineStr">
        <is>
          <t>Goodwill</t>
        </is>
      </c>
      <c r="C31" s="5" t="n">
        <v>3687</v>
      </c>
      <c r="D31" s="5" t="n">
        <v>3900</v>
      </c>
      <c r="E31" s="5" t="n">
        <v>3959</v>
      </c>
      <c r="F31" s="5" t="n">
        <v>4188</v>
      </c>
    </row>
    <row r="32">
      <c r="A32" s="2" t="inlineStr">
        <is>
          <t>Total Assets</t>
        </is>
      </c>
      <c r="C32" s="5" t="n">
        <v>90030</v>
      </c>
      <c r="D32" s="5" t="n">
        <v>104087</v>
      </c>
      <c r="E32" s="5" t="n">
        <v>107320</v>
      </c>
      <c r="F32" s="5" t="n">
        <v>105996</v>
      </c>
    </row>
    <row r="34">
      <c r="A34" s="4" t="inlineStr">
        <is>
          <t>Current Liabilities</t>
        </is>
      </c>
      <c r="C34" s="5" t="n">
        <v>30477</v>
      </c>
      <c r="D34" s="5" t="n">
        <v>37782</v>
      </c>
      <c r="E34" s="5" t="n">
        <v>35960</v>
      </c>
      <c r="F34" s="5" t="n">
        <v>32455</v>
      </c>
    </row>
    <row r="35">
      <c r="A35" s="4" t="inlineStr">
        <is>
          <t>Total Debt</t>
        </is>
      </c>
      <c r="C35" s="5" t="n">
        <v>52201</v>
      </c>
      <c r="D35" s="5" t="n">
        <v>63692</v>
      </c>
      <c r="E35" s="5" t="n">
        <v>65463</v>
      </c>
      <c r="F35" s="5" t="n">
        <v>64250</v>
      </c>
    </row>
    <row r="36">
      <c r="A36" s="2" t="inlineStr">
        <is>
          <t>Total Liabilities</t>
        </is>
      </c>
      <c r="C36" s="5" t="n">
        <v>69673</v>
      </c>
      <c r="D36" s="5" t="n">
        <v>82201</v>
      </c>
      <c r="E36" s="5" t="n">
        <v>84395</v>
      </c>
      <c r="F36" s="5" t="n">
        <v>79989</v>
      </c>
    </row>
    <row r="38">
      <c r="A38" s="2" t="inlineStr">
        <is>
          <t>Total Equity</t>
        </is>
      </c>
      <c r="C38" s="5" t="n">
        <v>20357</v>
      </c>
      <c r="D38" s="5" t="n">
        <v>21886</v>
      </c>
      <c r="E38" s="5" t="n">
        <v>22925</v>
      </c>
      <c r="F38" s="5" t="n">
        <v>26007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4699</v>
      </c>
      <c r="D42" s="5" t="n">
        <v>8589</v>
      </c>
      <c r="E42" s="5" t="n">
        <v>9231</v>
      </c>
      <c r="F42" s="5" t="n">
        <v>7459</v>
      </c>
    </row>
    <row r="43">
      <c r="A43" s="4" t="inlineStr">
        <is>
          <t>Capital Expenditure</t>
        </is>
      </c>
      <c r="C43" s="5" t="n">
        <v>-3788</v>
      </c>
      <c r="D43" s="5" t="n">
        <v>-4468</v>
      </c>
      <c r="E43" s="5" t="n">
        <v>-4802</v>
      </c>
      <c r="F43" s="5" t="n">
        <v>-4228</v>
      </c>
    </row>
    <row r="44">
      <c r="A44" s="2" t="inlineStr">
        <is>
          <t>Free Cash Flow</t>
        </is>
      </c>
      <c r="C44" s="5" t="n">
        <v>911</v>
      </c>
      <c r="D44" s="5" t="n">
        <v>4121</v>
      </c>
      <c r="E44" s="5" t="n">
        <v>4429</v>
      </c>
      <c r="F44" s="5" t="n">
        <v>3231</v>
      </c>
    </row>
    <row r="46">
      <c r="A46" s="4" t="inlineStr">
        <is>
          <t>D&amp;A</t>
        </is>
      </c>
      <c r="C46" s="5" t="n">
        <v>1895</v>
      </c>
      <c r="D46" s="5" t="n">
        <v>2004</v>
      </c>
      <c r="E46" s="5" t="n">
        <v>2118</v>
      </c>
      <c r="F46" s="5" t="n">
        <v>2229</v>
      </c>
    </row>
    <row r="47">
      <c r="A47" s="4" t="inlineStr">
        <is>
          <t>Stock-Based Compensation</t>
        </is>
      </c>
      <c r="C47" s="5" t="n">
        <v>85</v>
      </c>
      <c r="D47" s="5" t="n">
        <v>130</v>
      </c>
      <c r="E47" s="5" t="n">
        <v>208</v>
      </c>
      <c r="F47" s="5" t="n">
        <v>151</v>
      </c>
    </row>
    <row r="48">
      <c r="A48" s="4" t="inlineStr">
        <is>
          <t>Change in Working Capital</t>
        </is>
      </c>
      <c r="C48" s="5" t="n">
        <v>-4315</v>
      </c>
      <c r="D48" s="5" t="n">
        <v>-3337</v>
      </c>
      <c r="E48" s="5" t="n">
        <v>-181</v>
      </c>
      <c r="F48" s="5" t="n">
        <v>-443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Deere &amp; Company (DE)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Farm &amp; Heavy Construction Machinery</t>
        </is>
      </c>
      <c r="C8" s="5" t="n">
        <v>51282</v>
      </c>
      <c r="D8" s="5" t="n">
        <v>60248</v>
      </c>
      <c r="E8" s="5" t="n">
        <v>50518</v>
      </c>
      <c r="F8" s="5" t="n">
        <v>44665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35552</v>
      </c>
      <c r="D16" s="5" t="n">
        <v>37942</v>
      </c>
      <c r="E16" s="5" t="n">
        <v>31023</v>
      </c>
      <c r="F16" s="5" t="n">
        <v>28370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3645</v>
      </c>
      <c r="D20" s="5" t="n">
        <v>4309</v>
      </c>
      <c r="E20" s="5" t="n">
        <v>4507</v>
      </c>
      <c r="F20" s="5" t="n">
        <v>4241</v>
      </c>
      <c r="G20" s="8">
        <f>-G15*Assumptions!G23</f>
        <v/>
      </c>
      <c r="H20" s="8">
        <f>-H15*Assumptions!H23</f>
        <v/>
      </c>
      <c r="I20" s="8">
        <f>-I15*Assumptions!I23</f>
        <v/>
      </c>
      <c r="J20" s="8">
        <f>-J15*Assumptions!J23</f>
        <v/>
      </c>
      <c r="K20" s="8">
        <f>-K15*Assumptions!K23</f>
        <v/>
      </c>
    </row>
    <row r="21">
      <c r="A21" s="4" t="inlineStr">
        <is>
          <t>R&amp;D Expense</t>
        </is>
      </c>
      <c r="C21" s="5" t="n">
        <v>1912</v>
      </c>
      <c r="D21" s="5" t="n">
        <v>2177</v>
      </c>
      <c r="E21" s="5" t="n">
        <v>2290</v>
      </c>
      <c r="F21" s="5" t="n">
        <v>2311</v>
      </c>
      <c r="G21" s="8">
        <f>-G15*Assumptions!G28</f>
        <v/>
      </c>
      <c r="H21" s="8">
        <f>-H15*Assumptions!H28</f>
        <v/>
      </c>
      <c r="I21" s="8">
        <f>-I15*Assumptions!I28</f>
        <v/>
      </c>
      <c r="J21" s="8">
        <f>-J15*Assumptions!J28</f>
        <v/>
      </c>
      <c r="K21" s="8">
        <f>-K15*Assumptions!K28</f>
        <v/>
      </c>
    </row>
    <row r="22">
      <c r="A22" s="4" t="inlineStr">
        <is>
          <t>Depreciation &amp; Amortization</t>
        </is>
      </c>
      <c r="C22" s="5" t="n">
        <v>1895</v>
      </c>
      <c r="D22" s="5" t="n">
        <v>2004</v>
      </c>
      <c r="E22" s="5" t="n">
        <v>2118</v>
      </c>
      <c r="F22" s="5" t="n">
        <v>2229</v>
      </c>
      <c r="G22" s="8">
        <f>-G15*Assumptions!G30</f>
        <v/>
      </c>
      <c r="H22" s="8">
        <f>-H15*Assumptions!H30</f>
        <v/>
      </c>
      <c r="I22" s="8">
        <f>-I15*Assumptions!I30</f>
        <v/>
      </c>
      <c r="J22" s="8">
        <f>-J15*Assumptions!J30</f>
        <v/>
      </c>
      <c r="K22" s="8">
        <f>-K15*Assumptions!K30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1062</v>
      </c>
      <c r="D29" s="5" t="n">
        <v>2453</v>
      </c>
      <c r="E29" s="5" t="n">
        <v>3348</v>
      </c>
      <c r="F29" s="5" t="n">
        <v>3170</v>
      </c>
      <c r="G29" s="5" t="n">
        <v>3170</v>
      </c>
      <c r="H29" s="5" t="n">
        <v>3170</v>
      </c>
      <c r="I29" s="5" t="n">
        <v>3170</v>
      </c>
      <c r="J29" s="5" t="n">
        <v>3170</v>
      </c>
      <c r="K29" s="5" t="n">
        <v>3170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2007</v>
      </c>
      <c r="D31" s="5" t="n">
        <v>2871</v>
      </c>
      <c r="E31" s="5" t="n">
        <v>2094</v>
      </c>
      <c r="F31" s="5" t="n">
        <v>1259</v>
      </c>
      <c r="G31" s="8">
        <f>-ABS(G30)*Assumptions!G32</f>
        <v/>
      </c>
      <c r="H31" s="8">
        <f>-ABS(H30)*Assumptions!H32</f>
        <v/>
      </c>
      <c r="I31" s="8">
        <f>-ABS(I30)*Assumptions!I32</f>
        <v/>
      </c>
      <c r="J31" s="8">
        <f>-ABS(J30)*Assumptions!J32</f>
        <v/>
      </c>
      <c r="K31" s="8">
        <f>-ABS(K30)*Assumptions!K32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-4315</v>
      </c>
      <c r="D39" s="5" t="n">
        <v>-3337</v>
      </c>
      <c r="E39" s="5" t="n">
        <v>-181</v>
      </c>
      <c r="F39" s="5" t="n">
        <v>-443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-3788</v>
      </c>
      <c r="D42" s="5" t="n">
        <v>-4468</v>
      </c>
      <c r="E42" s="5" t="n">
        <v>-4802</v>
      </c>
      <c r="F42" s="5" t="n">
        <v>-4228</v>
      </c>
      <c r="G42" s="8">
        <f>-ABS(G15)*Assumptions!G31</f>
        <v/>
      </c>
      <c r="H42" s="8">
        <f>-ABS(H15)*Assumptions!H31</f>
        <v/>
      </c>
      <c r="I42" s="8">
        <f>-ABS(I15)*Assumptions!I31</f>
        <v/>
      </c>
      <c r="J42" s="8">
        <f>-ABS(J15)*Assumptions!J31</f>
        <v/>
      </c>
      <c r="K42" s="8">
        <f>-ABS(K15)*Assumptions!K31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Deere &amp; Company (DE)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542.1799999999999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Assumptions!C38</f>
        <v/>
      </c>
    </row>
    <row r="16">
      <c r="A16" s="4" t="inlineStr">
        <is>
          <t>Terminal Value Multiple</t>
        </is>
      </c>
      <c r="C16" s="10">
        <f>Assumptions!C43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 [ajustada — excl. Financial Services]</t>
        </is>
      </c>
      <c r="C29" s="18" t="n">
        <v>-657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269.937425</v>
      </c>
    </row>
    <row r="33">
      <c r="A33" s="2" t="inlineStr">
        <is>
          <t>Equity Value per Share ($)</t>
        </is>
      </c>
      <c r="C33" s="19">
        <f>(C30/C32)*1</f>
        <v/>
      </c>
    </row>
    <row r="34">
      <c r="A34" s="2" t="inlineStr">
        <is>
          <t>Upside / Downside vs Current</t>
        </is>
      </c>
      <c r="C34" s="20">
        <f>C33/542.18-1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0.07000000000000001</v>
      </c>
      <c r="C39" s="22">
        <f>((G$12/(1+$A$39)^1+H$12/(1+$A$39)^2+I$12/(1+$A$39)^3+J$12/(1+$A$39)^4+K$12/(1+$A$39)^5+K$8*8/(1+$A$39)^5+$C$29)/$C$32)*1</f>
        <v/>
      </c>
      <c r="D39" s="22">
        <f>((G$12/(1+$A$39)^1+H$12/(1+$A$39)^2+I$12/(1+$A$39)^3+J$12/(1+$A$39)^4+K$12/(1+$A$39)^5+K$8*10/(1+$A$39)^5+$C$29)/$C$32)*1</f>
        <v/>
      </c>
      <c r="E39" s="22">
        <f>((G$12/(1+$A$39)^1+H$12/(1+$A$39)^2+I$12/(1+$A$39)^3+J$12/(1+$A$39)^4+K$12/(1+$A$39)^5+K$8*12/(1+$A$39)^5+$C$29)/$C$32)*1</f>
        <v/>
      </c>
      <c r="F39" s="22">
        <f>((G$12/(1+$A$39)^1+H$12/(1+$A$39)^2+I$12/(1+$A$39)^3+J$12/(1+$A$39)^4+K$12/(1+$A$39)^5+K$8*14/(1+$A$39)^5+$C$29)/$C$32)*1</f>
        <v/>
      </c>
      <c r="G39" s="22">
        <f>((G$12/(1+$A$39)^1+H$12/(1+$A$39)^2+I$12/(1+$A$39)^3+J$12/(1+$A$39)^4+K$12/(1+$A$39)^5+K$8*16/(1+$A$39)^5+$C$29)/$C$32)*1</f>
        <v/>
      </c>
    </row>
    <row r="40">
      <c r="A40" s="21" t="n">
        <v>0.08</v>
      </c>
      <c r="C40" s="22">
        <f>((G$12/(1+$A$40)^1+H$12/(1+$A$40)^2+I$12/(1+$A$40)^3+J$12/(1+$A$40)^4+K$12/(1+$A$40)^5+K$8*8/(1+$A$40)^5+$C$29)/$C$32)*1</f>
        <v/>
      </c>
      <c r="D40" s="22">
        <f>((G$12/(1+$A$40)^1+H$12/(1+$A$40)^2+I$12/(1+$A$40)^3+J$12/(1+$A$40)^4+K$12/(1+$A$40)^5+K$8*10/(1+$A$40)^5+$C$29)/$C$32)*1</f>
        <v/>
      </c>
      <c r="E40" s="22">
        <f>((G$12/(1+$A$40)^1+H$12/(1+$A$40)^2+I$12/(1+$A$40)^3+J$12/(1+$A$40)^4+K$12/(1+$A$40)^5+K$8*12/(1+$A$40)^5+$C$29)/$C$32)*1</f>
        <v/>
      </c>
      <c r="F40" s="22">
        <f>((G$12/(1+$A$40)^1+H$12/(1+$A$40)^2+I$12/(1+$A$40)^3+J$12/(1+$A$40)^4+K$12/(1+$A$40)^5+K$8*14/(1+$A$40)^5+$C$29)/$C$32)*1</f>
        <v/>
      </c>
      <c r="G40" s="22">
        <f>((G$12/(1+$A$40)^1+H$12/(1+$A$40)^2+I$12/(1+$A$40)^3+J$12/(1+$A$40)^4+K$12/(1+$A$40)^5+K$8*16/(1+$A$40)^5+$C$29)/$C$32)*1</f>
        <v/>
      </c>
    </row>
    <row r="41">
      <c r="A41" s="21" t="n">
        <v>0.09000000000000001</v>
      </c>
      <c r="C41" s="22">
        <f>((G$12/(1+$A$41)^1+H$12/(1+$A$41)^2+I$12/(1+$A$41)^3+J$12/(1+$A$41)^4+K$12/(1+$A$41)^5+K$8*8/(1+$A$41)^5+$C$29)/$C$32)*1</f>
        <v/>
      </c>
      <c r="D41" s="22">
        <f>((G$12/(1+$A$41)^1+H$12/(1+$A$41)^2+I$12/(1+$A$41)^3+J$12/(1+$A$41)^4+K$12/(1+$A$41)^5+K$8*10/(1+$A$41)^5+$C$29)/$C$32)*1</f>
        <v/>
      </c>
      <c r="E41" s="22">
        <f>((G$12/(1+$A$41)^1+H$12/(1+$A$41)^2+I$12/(1+$A$41)^3+J$12/(1+$A$41)^4+K$12/(1+$A$41)^5+K$8*12/(1+$A$41)^5+$C$29)/$C$32)*1</f>
        <v/>
      </c>
      <c r="F41" s="22">
        <f>((G$12/(1+$A$41)^1+H$12/(1+$A$41)^2+I$12/(1+$A$41)^3+J$12/(1+$A$41)^4+K$12/(1+$A$41)^5+K$8*14/(1+$A$41)^5+$C$29)/$C$32)*1</f>
        <v/>
      </c>
      <c r="G41" s="22">
        <f>((G$12/(1+$A$41)^1+H$12/(1+$A$41)^2+I$12/(1+$A$41)^3+J$12/(1+$A$41)^4+K$12/(1+$A$41)^5+K$8*16/(1+$A$41)^5+$C$29)/$C$32)*1</f>
        <v/>
      </c>
    </row>
    <row r="42">
      <c r="A42" s="21" t="n">
        <v>0.1</v>
      </c>
      <c r="C42" s="22">
        <f>((G$12/(1+$A$42)^1+H$12/(1+$A$42)^2+I$12/(1+$A$42)^3+J$12/(1+$A$42)^4+K$12/(1+$A$42)^5+K$8*8/(1+$A$42)^5+$C$29)/$C$32)*1</f>
        <v/>
      </c>
      <c r="D42" s="22">
        <f>((G$12/(1+$A$42)^1+H$12/(1+$A$42)^2+I$12/(1+$A$42)^3+J$12/(1+$A$42)^4+K$12/(1+$A$42)^5+K$8*10/(1+$A$42)^5+$C$29)/$C$32)*1</f>
        <v/>
      </c>
      <c r="E42" s="23">
        <f>((G$12/(1+$A$42)^1+H$12/(1+$A$42)^2+I$12/(1+$A$42)^3+J$12/(1+$A$42)^4+K$12/(1+$A$42)^5+K$8*12/(1+$A$42)^5+$C$29)/$C$32)*1</f>
        <v/>
      </c>
      <c r="F42" s="22">
        <f>((G$12/(1+$A$42)^1+H$12/(1+$A$42)^2+I$12/(1+$A$42)^3+J$12/(1+$A$42)^4+K$12/(1+$A$42)^5+K$8*14/(1+$A$42)^5+$C$29)/$C$32)*1</f>
        <v/>
      </c>
      <c r="G42" s="22">
        <f>((G$12/(1+$A$42)^1+H$12/(1+$A$42)^2+I$12/(1+$A$42)^3+J$12/(1+$A$42)^4+K$12/(1+$A$42)^5+K$8*16/(1+$A$42)^5+$C$29)/$C$32)*1</f>
        <v/>
      </c>
    </row>
    <row r="43">
      <c r="A43" s="21" t="n">
        <v>0.11</v>
      </c>
      <c r="C43" s="22">
        <f>((G$12/(1+$A$43)^1+H$12/(1+$A$43)^2+I$12/(1+$A$43)^3+J$12/(1+$A$43)^4+K$12/(1+$A$43)^5+K$8*8/(1+$A$43)^5+$C$29)/$C$32)*1</f>
        <v/>
      </c>
      <c r="D43" s="22">
        <f>((G$12/(1+$A$43)^1+H$12/(1+$A$43)^2+I$12/(1+$A$43)^3+J$12/(1+$A$43)^4+K$12/(1+$A$43)^5+K$8*10/(1+$A$43)^5+$C$29)/$C$32)*1</f>
        <v/>
      </c>
      <c r="E43" s="22">
        <f>((G$12/(1+$A$43)^1+H$12/(1+$A$43)^2+I$12/(1+$A$43)^3+J$12/(1+$A$43)^4+K$12/(1+$A$43)^5+K$8*12/(1+$A$43)^5+$C$29)/$C$32)*1</f>
        <v/>
      </c>
      <c r="F43" s="22">
        <f>((G$12/(1+$A$43)^1+H$12/(1+$A$43)^2+I$12/(1+$A$43)^3+J$12/(1+$A$43)^4+K$12/(1+$A$43)^5+K$8*14/(1+$A$43)^5+$C$29)/$C$32)*1</f>
        <v/>
      </c>
      <c r="G43" s="22">
        <f>((G$12/(1+$A$43)^1+H$12/(1+$A$43)^2+I$12/(1+$A$43)^3+J$12/(1+$A$43)^4+K$12/(1+$A$43)^5+K$8*16/(1+$A$43)^5+$C$29)/$C$32)*1</f>
        <v/>
      </c>
    </row>
    <row r="44">
      <c r="A44" s="21" t="n">
        <v>0.12</v>
      </c>
      <c r="C44" s="22">
        <f>((G$12/(1+$A$44)^1+H$12/(1+$A$44)^2+I$12/(1+$A$44)^3+J$12/(1+$A$44)^4+K$12/(1+$A$44)^5+K$8*8/(1+$A$44)^5+$C$29)/$C$32)*1</f>
        <v/>
      </c>
      <c r="D44" s="22">
        <f>((G$12/(1+$A$44)^1+H$12/(1+$A$44)^2+I$12/(1+$A$44)^3+J$12/(1+$A$44)^4+K$12/(1+$A$44)^5+K$8*10/(1+$A$44)^5+$C$29)/$C$32)*1</f>
        <v/>
      </c>
      <c r="E44" s="22">
        <f>((G$12/(1+$A$44)^1+H$12/(1+$A$44)^2+I$12/(1+$A$44)^3+J$12/(1+$A$44)^4+K$12/(1+$A$44)^5+K$8*12/(1+$A$44)^5+$C$29)/$C$32)*1</f>
        <v/>
      </c>
      <c r="F44" s="22">
        <f>((G$12/(1+$A$44)^1+H$12/(1+$A$44)^2+I$12/(1+$A$44)^3+J$12/(1+$A$44)^4+K$12/(1+$A$44)^5+K$8*14/(1+$A$44)^5+$C$29)/$C$32)*1</f>
        <v/>
      </c>
      <c r="G44" s="22">
        <f>((G$12/(1+$A$44)^1+H$12/(1+$A$44)^2+I$12/(1+$A$44)^3+J$12/(1+$A$44)^4+K$12/(1+$A$44)^5+K$8*16/(1+$A$44)^5+$C$29)/$C$32)*1</f>
        <v/>
      </c>
    </row>
    <row r="45">
      <c r="A45" s="21" t="n">
        <v>0.13</v>
      </c>
      <c r="C45" s="22">
        <f>((G$12/(1+$A$45)^1+H$12/(1+$A$45)^2+I$12/(1+$A$45)^3+J$12/(1+$A$45)^4+K$12/(1+$A$45)^5+K$8*8/(1+$A$45)^5+$C$29)/$C$32)*1</f>
        <v/>
      </c>
      <c r="D45" s="22">
        <f>((G$12/(1+$A$45)^1+H$12/(1+$A$45)^2+I$12/(1+$A$45)^3+J$12/(1+$A$45)^4+K$12/(1+$A$45)^5+K$8*10/(1+$A$45)^5+$C$29)/$C$32)*1</f>
        <v/>
      </c>
      <c r="E45" s="22">
        <f>((G$12/(1+$A$45)^1+H$12/(1+$A$45)^2+I$12/(1+$A$45)^3+J$12/(1+$A$45)^4+K$12/(1+$A$45)^5+K$8*12/(1+$A$45)^5+$C$29)/$C$32)*1</f>
        <v/>
      </c>
      <c r="F45" s="22">
        <f>((G$12/(1+$A$45)^1+H$12/(1+$A$45)^2+I$12/(1+$A$45)^3+J$12/(1+$A$45)^4+K$12/(1+$A$45)^5+K$8*14/(1+$A$45)^5+$C$29)/$C$32)*1</f>
        <v/>
      </c>
      <c r="G45" s="22">
        <f>((G$12/(1+$A$45)^1+H$12/(1+$A$45)^2+I$12/(1+$A$45)^3+J$12/(1+$A$45)^4+K$12/(1+$A$45)^5+K$8*16/(1+$A$45)^5+$C$29)/$C$32)*1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2026-05-30T08:46:13Z</dcterms:created>
  <dcterms:modified xmlns:dcterms="http://purl.org/dc/terms/" xmlns:xsi="http://www.w3.org/2001/XMLSchema-instance" xsi:type="dcterms:W3CDTF">2026-05-30T08:46:13Z</dcterms:modified>
</cp:coreProperties>
</file>