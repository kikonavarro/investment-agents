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NVIDIA Corporation (NVDA)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  <c r="K4" s="1" t="inlineStr">
        <is>
          <t>FY2031</t>
        </is>
      </c>
    </row>
    <row r="6">
      <c r="A6" s="1" t="inlineStr">
        <is>
          <t>Semiconductors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26974</v>
      </c>
      <c r="D7" s="5" t="n">
        <v>60922</v>
      </c>
      <c r="E7" s="5" t="n">
        <v>130497</v>
      </c>
      <c r="F7" s="5" t="n">
        <v>215938</v>
      </c>
    </row>
    <row r="8">
      <c r="A8" s="4" t="inlineStr">
        <is>
          <t xml:space="preserve">  Revenue Growth - Base</t>
        </is>
      </c>
      <c r="G8" s="6" t="n">
        <v>0.5</v>
      </c>
      <c r="H8" s="6" t="n">
        <v>0.35</v>
      </c>
      <c r="I8" s="6" t="n">
        <v>0.22</v>
      </c>
      <c r="J8" s="6" t="n">
        <v>0.15</v>
      </c>
      <c r="K8" s="6" t="n">
        <v>0.1</v>
      </c>
    </row>
    <row r="9">
      <c r="A9" s="4" t="inlineStr">
        <is>
          <t xml:space="preserve">  Revenue Growth - Bull</t>
        </is>
      </c>
      <c r="G9" s="6" t="n">
        <v>0.7</v>
      </c>
      <c r="H9" s="6" t="n">
        <v>0.55</v>
      </c>
      <c r="I9" s="6" t="n">
        <v>0.38</v>
      </c>
      <c r="J9" s="6" t="n">
        <v>0.25</v>
      </c>
      <c r="K9" s="6" t="n">
        <v>0.15</v>
      </c>
    </row>
    <row r="10">
      <c r="A10" s="4" t="inlineStr">
        <is>
          <t xml:space="preserve">  Revenue Growth - Bear</t>
        </is>
      </c>
      <c r="G10" s="6" t="n">
        <v>0.25</v>
      </c>
      <c r="H10" s="6" t="n">
        <v>0.15</v>
      </c>
      <c r="I10" s="6" t="n">
        <v>0.08</v>
      </c>
      <c r="J10" s="6" t="n">
        <v>0.05</v>
      </c>
      <c r="K10" s="6" t="n">
        <v>0.05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0.71</v>
      </c>
      <c r="H15" s="6" t="n">
        <v>0.71</v>
      </c>
      <c r="I15" s="6" t="n">
        <v>0.71</v>
      </c>
      <c r="J15" s="6" t="n">
        <v>0.71</v>
      </c>
      <c r="K15" s="6" t="n">
        <v>0.71</v>
      </c>
    </row>
    <row r="16">
      <c r="A16" s="4" t="inlineStr">
        <is>
          <t>Gross Margin - Bull</t>
        </is>
      </c>
      <c r="G16" s="6" t="n">
        <v>0.73</v>
      </c>
      <c r="H16" s="6" t="n">
        <v>0.73</v>
      </c>
      <c r="I16" s="6" t="n">
        <v>0.73</v>
      </c>
      <c r="J16" s="6" t="n">
        <v>0.73</v>
      </c>
      <c r="K16" s="6" t="n">
        <v>0.73</v>
      </c>
    </row>
    <row r="17">
      <c r="A17" s="4" t="inlineStr">
        <is>
          <t>Gross Margin - Bear</t>
        </is>
      </c>
      <c r="G17" s="6" t="n">
        <v>0.68</v>
      </c>
      <c r="H17" s="6" t="n">
        <v>0.68</v>
      </c>
      <c r="I17" s="6" t="n">
        <v>0.68</v>
      </c>
      <c r="J17" s="6" t="n">
        <v>0.68</v>
      </c>
      <c r="K17" s="6" t="n">
        <v>0.68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0.045</v>
      </c>
      <c r="H20" s="6" t="n">
        <v>0.045</v>
      </c>
      <c r="I20" s="6" t="n">
        <v>0.045</v>
      </c>
      <c r="J20" s="6" t="n">
        <v>0.045</v>
      </c>
      <c r="K20" s="6" t="n">
        <v>0.045</v>
      </c>
    </row>
    <row r="21">
      <c r="A21" s="4" t="inlineStr">
        <is>
          <t>SG&amp;A % Revenue - Bull</t>
        </is>
      </c>
      <c r="G21" s="6" t="n">
        <v>0.04</v>
      </c>
      <c r="H21" s="6" t="n">
        <v>0.04</v>
      </c>
      <c r="I21" s="6" t="n">
        <v>0.04</v>
      </c>
      <c r="J21" s="6" t="n">
        <v>0.04</v>
      </c>
      <c r="K21" s="6" t="n">
        <v>0.04</v>
      </c>
    </row>
    <row r="22">
      <c r="A22" s="4" t="inlineStr">
        <is>
          <t>SG&amp;A % Revenue - Bear</t>
        </is>
      </c>
      <c r="G22" s="6" t="n">
        <v>0.05</v>
      </c>
      <c r="H22" s="6" t="n">
        <v>0.05</v>
      </c>
      <c r="I22" s="6" t="n">
        <v>0.05</v>
      </c>
      <c r="J22" s="6" t="n">
        <v>0.05</v>
      </c>
      <c r="K22" s="6" t="n">
        <v>0.05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0.14</v>
      </c>
      <c r="H25" s="6" t="n">
        <v>0.14</v>
      </c>
      <c r="I25" s="6" t="n">
        <v>0.14</v>
      </c>
      <c r="J25" s="6" t="n">
        <v>0.14</v>
      </c>
      <c r="K25" s="6" t="n">
        <v>0.14</v>
      </c>
    </row>
    <row r="26">
      <c r="A26" s="4" t="inlineStr">
        <is>
          <t>R&amp;D % Revenue - Bull</t>
        </is>
      </c>
      <c r="G26" s="6" t="n">
        <v>0.13</v>
      </c>
      <c r="H26" s="6" t="n">
        <v>0.13</v>
      </c>
      <c r="I26" s="6" t="n">
        <v>0.13</v>
      </c>
      <c r="J26" s="6" t="n">
        <v>0.13</v>
      </c>
      <c r="K26" s="6" t="n">
        <v>0.13</v>
      </c>
    </row>
    <row r="27">
      <c r="A27" s="4" t="inlineStr">
        <is>
          <t>R&amp;D % Revenue - Bear</t>
        </is>
      </c>
      <c r="G27" s="6" t="n">
        <v>0.15</v>
      </c>
      <c r="H27" s="6" t="n">
        <v>0.15</v>
      </c>
      <c r="I27" s="6" t="n">
        <v>0.15</v>
      </c>
      <c r="J27" s="6" t="n">
        <v>0.15</v>
      </c>
      <c r="K27" s="6" t="n">
        <v>0.15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0.027</v>
      </c>
      <c r="H30" s="6" t="n">
        <v>0.027</v>
      </c>
      <c r="I30" s="6" t="n">
        <v>0.027</v>
      </c>
      <c r="J30" s="6" t="n">
        <v>0.027</v>
      </c>
      <c r="K30" s="6" t="n">
        <v>0.027</v>
      </c>
    </row>
    <row r="31">
      <c r="A31" s="4" t="inlineStr">
        <is>
          <t>CapEx % Revenue</t>
        </is>
      </c>
      <c r="G31" s="6" t="n">
        <v>0.026</v>
      </c>
      <c r="H31" s="6" t="n">
        <v>0.026</v>
      </c>
      <c r="I31" s="6" t="n">
        <v>0.026</v>
      </c>
      <c r="J31" s="6" t="n">
        <v>0.026</v>
      </c>
      <c r="K31" s="6" t="n">
        <v>0.026</v>
      </c>
    </row>
    <row r="32">
      <c r="A32" s="4" t="inlineStr">
        <is>
          <t>Tax Rate</t>
        </is>
      </c>
      <c r="G32" s="6" t="n">
        <v>0.14</v>
      </c>
      <c r="H32" s="6" t="n">
        <v>0.14</v>
      </c>
      <c r="I32" s="6" t="n">
        <v>0.14</v>
      </c>
      <c r="J32" s="6" t="n">
        <v>0.14</v>
      </c>
      <c r="K32" s="6" t="n">
        <v>0.14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0.105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22</v>
      </c>
    </row>
    <row r="41">
      <c r="A41" s="4" t="inlineStr">
        <is>
          <t>Terminal Value Multiple - Bull</t>
        </is>
      </c>
      <c r="C41" s="9" t="n">
        <v>28</v>
      </c>
    </row>
    <row r="42">
      <c r="A42" s="4" t="inlineStr">
        <is>
          <t>Terminal Value Multiple - Bear</t>
        </is>
      </c>
      <c r="C42" s="9" t="n">
        <v>18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NVIDIA Corporation (NVDA)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FY2023</t>
        </is>
      </c>
      <c r="D3" s="1" t="inlineStr">
        <is>
          <t>FY2024</t>
        </is>
      </c>
      <c r="E3" s="1" t="inlineStr">
        <is>
          <t>FY2025</t>
        </is>
      </c>
      <c r="F3" s="1" t="inlineStr">
        <is>
          <t>FY2026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26974</v>
      </c>
      <c r="D6" s="5" t="n">
        <v>60922</v>
      </c>
      <c r="E6" s="5" t="n">
        <v>130497</v>
      </c>
      <c r="F6" s="5" t="n">
        <v>215938</v>
      </c>
    </row>
    <row r="7">
      <c r="A7" s="4" t="inlineStr">
        <is>
          <t>Cost of Revenue</t>
        </is>
      </c>
      <c r="C7" s="5" t="n">
        <v>11618</v>
      </c>
      <c r="D7" s="5" t="n">
        <v>16621</v>
      </c>
      <c r="E7" s="5" t="n">
        <v>32639</v>
      </c>
      <c r="F7" s="5" t="n">
        <v>62475</v>
      </c>
    </row>
    <row r="8">
      <c r="A8" s="2" t="inlineStr">
        <is>
          <t>Gross Profit</t>
        </is>
      </c>
      <c r="C8" s="5" t="n">
        <v>15356</v>
      </c>
      <c r="D8" s="5" t="n">
        <v>44301</v>
      </c>
      <c r="E8" s="5" t="n">
        <v>97858</v>
      </c>
      <c r="F8" s="5" t="n">
        <v>153463</v>
      </c>
    </row>
    <row r="9">
      <c r="A9" s="4" t="inlineStr">
        <is>
          <t xml:space="preserve">  Gross Margin</t>
        </is>
      </c>
      <c r="C9" s="11" t="n">
        <v>0.5692889449099132</v>
      </c>
      <c r="D9" s="11" t="n">
        <v>0.7271757329043695</v>
      </c>
      <c r="E9" s="11" t="n">
        <v>0.7498869705816992</v>
      </c>
      <c r="F9" s="11" t="n">
        <v>0.7106808435754708</v>
      </c>
    </row>
    <row r="11">
      <c r="A11" s="4" t="inlineStr">
        <is>
          <t>R&amp;D Expense</t>
        </is>
      </c>
      <c r="C11" s="5" t="n">
        <v>7339</v>
      </c>
      <c r="D11" s="5" t="n">
        <v>8675</v>
      </c>
      <c r="E11" s="5" t="n">
        <v>12914</v>
      </c>
      <c r="F11" s="5" t="n">
        <v>18497</v>
      </c>
    </row>
    <row r="12">
      <c r="A12" s="4" t="inlineStr">
        <is>
          <t>SG&amp;A Expense</t>
        </is>
      </c>
      <c r="C12" s="5" t="n">
        <v>2440</v>
      </c>
      <c r="D12" s="5" t="n">
        <v>2654</v>
      </c>
      <c r="E12" s="5" t="n">
        <v>3491</v>
      </c>
      <c r="F12" s="5" t="n">
        <v>4579</v>
      </c>
    </row>
    <row r="13">
      <c r="A13" s="2" t="inlineStr">
        <is>
          <t>Operating Income (EBIT)</t>
        </is>
      </c>
      <c r="C13" s="5" t="n">
        <v>5577</v>
      </c>
      <c r="D13" s="5" t="n">
        <v>32972</v>
      </c>
      <c r="E13" s="5" t="n">
        <v>81453</v>
      </c>
      <c r="F13" s="5" t="n">
        <v>130387</v>
      </c>
    </row>
    <row r="14">
      <c r="A14" s="4" t="inlineStr">
        <is>
          <t xml:space="preserve">  EBIT Margin</t>
        </is>
      </c>
      <c r="C14" s="11" t="n">
        <v>0.206754652628457</v>
      </c>
      <c r="D14" s="11" t="n">
        <v>0.5412166376678376</v>
      </c>
      <c r="E14" s="11" t="n">
        <v>0.6241752683969747</v>
      </c>
      <c r="F14" s="11" t="n">
        <v>0.6038168363141272</v>
      </c>
    </row>
    <row r="16">
      <c r="A16" s="4" t="inlineStr">
        <is>
          <t>Interest Expense</t>
        </is>
      </c>
      <c r="C16" s="5" t="n">
        <v>262</v>
      </c>
      <c r="D16" s="5" t="n">
        <v>257</v>
      </c>
      <c r="E16" s="5" t="n">
        <v>247</v>
      </c>
      <c r="F16" s="5" t="n">
        <v>259</v>
      </c>
    </row>
    <row r="17">
      <c r="A17" s="4" t="inlineStr">
        <is>
          <t>Tax Provision</t>
        </is>
      </c>
      <c r="C17" s="5" t="n">
        <v>-187</v>
      </c>
      <c r="D17" s="5" t="n">
        <v>4058</v>
      </c>
      <c r="E17" s="5" t="n">
        <v>11146</v>
      </c>
      <c r="F17" s="5" t="n">
        <v>21383</v>
      </c>
    </row>
    <row r="18">
      <c r="A18" s="2" t="inlineStr">
        <is>
          <t>Net Income</t>
        </is>
      </c>
      <c r="C18" s="5" t="n">
        <v>4368</v>
      </c>
      <c r="D18" s="5" t="n">
        <v>29760</v>
      </c>
      <c r="E18" s="5" t="n">
        <v>72880</v>
      </c>
      <c r="F18" s="5" t="n">
        <v>120067</v>
      </c>
    </row>
    <row r="19">
      <c r="A19" s="4" t="inlineStr">
        <is>
          <t xml:space="preserve">  Net Margin</t>
        </is>
      </c>
      <c r="C19" s="11" t="n">
        <v>0.1619337139467636</v>
      </c>
      <c r="D19" s="11" t="n">
        <v>0.4884934834706674</v>
      </c>
      <c r="E19" s="11" t="n">
        <v>0.5584802715771244</v>
      </c>
      <c r="F19" s="11" t="n">
        <v>0.5560253406070261</v>
      </c>
    </row>
    <row r="21">
      <c r="A21" s="2" t="inlineStr">
        <is>
          <t>EBITDA</t>
        </is>
      </c>
      <c r="C21" s="5" t="n">
        <v>5986</v>
      </c>
      <c r="D21" s="5" t="n">
        <v>35583</v>
      </c>
      <c r="E21" s="5" t="n">
        <v>86137</v>
      </c>
      <c r="F21" s="5" t="n">
        <v>144552</v>
      </c>
    </row>
    <row r="22">
      <c r="A22" s="4" t="inlineStr">
        <is>
          <t xml:space="preserve">  EBITDA Margin</t>
        </is>
      </c>
      <c r="C22" s="11" t="n">
        <v>0.2219174019426114</v>
      </c>
      <c r="D22" s="11" t="n">
        <v>0.5840747184924986</v>
      </c>
      <c r="E22" s="11" t="n">
        <v>0.6600688138424639</v>
      </c>
      <c r="F22" s="11" t="n">
        <v>0.6694143689392326</v>
      </c>
    </row>
    <row r="23">
      <c r="A23" s="4" t="inlineStr">
        <is>
          <t>Diluted EPS</t>
        </is>
      </c>
      <c r="C23" s="12" t="n">
        <v>0.174</v>
      </c>
      <c r="D23" s="12" t="n">
        <v>1.19</v>
      </c>
      <c r="E23" s="12" t="n">
        <v>2.94</v>
      </c>
      <c r="F23" s="12" t="n">
        <v>4.9</v>
      </c>
    </row>
    <row r="24">
      <c r="A24" s="4" t="inlineStr">
        <is>
          <t>D&amp;A</t>
        </is>
      </c>
      <c r="C24" s="5" t="n">
        <v>1543</v>
      </c>
      <c r="D24" s="5" t="n">
        <v>1508</v>
      </c>
      <c r="E24" s="5" t="n">
        <v>1864</v>
      </c>
      <c r="F24" s="5" t="n">
        <v>2843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3389</v>
      </c>
      <c r="D28" s="5" t="n">
        <v>7280</v>
      </c>
      <c r="E28" s="5" t="n">
        <v>8589</v>
      </c>
      <c r="F28" s="5" t="n">
        <v>10605</v>
      </c>
    </row>
    <row r="29">
      <c r="A29" s="4" t="inlineStr">
        <is>
          <t>Current Assets</t>
        </is>
      </c>
      <c r="C29" s="5" t="n">
        <v>23073</v>
      </c>
      <c r="D29" s="5" t="n">
        <v>44345</v>
      </c>
      <c r="E29" s="5" t="n">
        <v>80126</v>
      </c>
      <c r="F29" s="5" t="n">
        <v>125605</v>
      </c>
    </row>
    <row r="30">
      <c r="A30" s="4" t="inlineStr">
        <is>
          <t>Net PP&amp;E</t>
        </is>
      </c>
      <c r="C30" s="5" t="n">
        <v>4845</v>
      </c>
      <c r="D30" s="5" t="n">
        <v>5260</v>
      </c>
      <c r="E30" s="5" t="n">
        <v>8076</v>
      </c>
      <c r="F30" s="5" t="n">
        <v>13250</v>
      </c>
    </row>
    <row r="31">
      <c r="A31" s="4" t="inlineStr">
        <is>
          <t>Goodwill</t>
        </is>
      </c>
      <c r="C31" s="5" t="n">
        <v>4372</v>
      </c>
      <c r="D31" s="5" t="n">
        <v>4430</v>
      </c>
      <c r="E31" s="5" t="n">
        <v>5188</v>
      </c>
      <c r="F31" s="5" t="n">
        <v>20832</v>
      </c>
    </row>
    <row r="32">
      <c r="A32" s="2" t="inlineStr">
        <is>
          <t>Total Assets</t>
        </is>
      </c>
      <c r="C32" s="5" t="n">
        <v>41182</v>
      </c>
      <c r="D32" s="5" t="n">
        <v>65728</v>
      </c>
      <c r="E32" s="5" t="n">
        <v>111601</v>
      </c>
      <c r="F32" s="5" t="n">
        <v>206803</v>
      </c>
    </row>
    <row r="34">
      <c r="A34" s="4" t="inlineStr">
        <is>
          <t>Current Liabilities</t>
        </is>
      </c>
      <c r="C34" s="5" t="n">
        <v>6563</v>
      </c>
      <c r="D34" s="5" t="n">
        <v>10631</v>
      </c>
      <c r="E34" s="5" t="n">
        <v>18047</v>
      </c>
      <c r="F34" s="5" t="n">
        <v>32163</v>
      </c>
    </row>
    <row r="35">
      <c r="A35" s="4" t="inlineStr">
        <is>
          <t>Total Debt</t>
        </is>
      </c>
      <c r="C35" s="5" t="n">
        <v>12031</v>
      </c>
      <c r="D35" s="5" t="n">
        <v>11056</v>
      </c>
      <c r="E35" s="5" t="n">
        <v>9982</v>
      </c>
      <c r="F35" s="5" t="n">
        <v>11040</v>
      </c>
    </row>
    <row r="36">
      <c r="A36" s="2" t="inlineStr">
        <is>
          <t>Total Liabilities</t>
        </is>
      </c>
      <c r="C36" s="5" t="n">
        <v>19081</v>
      </c>
      <c r="D36" s="5" t="n">
        <v>22750</v>
      </c>
      <c r="E36" s="5" t="n">
        <v>32274</v>
      </c>
      <c r="F36" s="5" t="n">
        <v>49510</v>
      </c>
    </row>
    <row r="38">
      <c r="A38" s="2" t="inlineStr">
        <is>
          <t>Total Equity</t>
        </is>
      </c>
      <c r="C38" s="5" t="n">
        <v>22101</v>
      </c>
      <c r="D38" s="5" t="n">
        <v>42978</v>
      </c>
      <c r="E38" s="5" t="n">
        <v>79327</v>
      </c>
      <c r="F38" s="5" t="n">
        <v>157293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5641</v>
      </c>
      <c r="D42" s="5" t="n">
        <v>28090</v>
      </c>
      <c r="E42" s="5" t="n">
        <v>64089</v>
      </c>
      <c r="F42" s="5" t="n">
        <v>102718</v>
      </c>
    </row>
    <row r="43">
      <c r="A43" s="4" t="inlineStr">
        <is>
          <t>Capital Expenditure</t>
        </is>
      </c>
      <c r="C43" s="5" t="n">
        <v>-1833</v>
      </c>
      <c r="D43" s="5" t="n">
        <v>-1069</v>
      </c>
      <c r="E43" s="5" t="n">
        <v>-3236</v>
      </c>
      <c r="F43" s="5" t="n">
        <v>-6042</v>
      </c>
    </row>
    <row r="44">
      <c r="A44" s="2" t="inlineStr">
        <is>
          <t>Free Cash Flow</t>
        </is>
      </c>
      <c r="C44" s="5" t="n">
        <v>3808</v>
      </c>
      <c r="D44" s="5" t="n">
        <v>27021</v>
      </c>
      <c r="E44" s="5" t="n">
        <v>60853</v>
      </c>
      <c r="F44" s="5" t="n">
        <v>96676</v>
      </c>
    </row>
    <row r="46">
      <c r="A46" s="4" t="inlineStr">
        <is>
          <t>D&amp;A</t>
        </is>
      </c>
      <c r="C46" s="5" t="n">
        <v>1543</v>
      </c>
      <c r="D46" s="5" t="n">
        <v>1508</v>
      </c>
      <c r="E46" s="5" t="n">
        <v>1864</v>
      </c>
      <c r="F46" s="5" t="n">
        <v>2843</v>
      </c>
    </row>
    <row r="47">
      <c r="A47" s="4" t="inlineStr">
        <is>
          <t>Stock-Based Compensation</t>
        </is>
      </c>
      <c r="C47" s="5" t="n">
        <v>2709</v>
      </c>
      <c r="D47" s="5" t="n">
        <v>3549</v>
      </c>
      <c r="E47" s="5" t="n">
        <v>4737</v>
      </c>
      <c r="F47" s="5" t="n">
        <v>6386</v>
      </c>
    </row>
    <row r="48">
      <c r="A48" s="4" t="inlineStr">
        <is>
          <t>Change in Working Capital</t>
        </is>
      </c>
      <c r="C48" s="5" t="n">
        <v>-2207</v>
      </c>
      <c r="D48" s="5" t="n">
        <v>-3722</v>
      </c>
      <c r="E48" s="5" t="n">
        <v>-9383</v>
      </c>
      <c r="F48" s="5" t="n">
        <v>-15949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NVIDIA Corporation (NVDA)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  <c r="K4" s="1" t="inlineStr">
        <is>
          <t>FY2031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Semiconductors</t>
        </is>
      </c>
      <c r="C8" s="5" t="n">
        <v>26974</v>
      </c>
      <c r="D8" s="5" t="n">
        <v>60922</v>
      </c>
      <c r="E8" s="5" t="n">
        <v>130497</v>
      </c>
      <c r="F8" s="5" t="n">
        <v>215938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11618</v>
      </c>
      <c r="D16" s="5" t="n">
        <v>16621</v>
      </c>
      <c r="E16" s="5" t="n">
        <v>32639</v>
      </c>
      <c r="F16" s="5" t="n">
        <v>62475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2440</v>
      </c>
      <c r="D20" s="5" t="n">
        <v>2654</v>
      </c>
      <c r="E20" s="5" t="n">
        <v>3491</v>
      </c>
      <c r="F20" s="5" t="n">
        <v>4579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7339</v>
      </c>
      <c r="D21" s="5" t="n">
        <v>8675</v>
      </c>
      <c r="E21" s="5" t="n">
        <v>12914</v>
      </c>
      <c r="F21" s="5" t="n">
        <v>18497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1543</v>
      </c>
      <c r="D22" s="5" t="n">
        <v>1508</v>
      </c>
      <c r="E22" s="5" t="n">
        <v>1864</v>
      </c>
      <c r="F22" s="5" t="n">
        <v>2843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262</v>
      </c>
      <c r="D29" s="5" t="n">
        <v>257</v>
      </c>
      <c r="E29" s="5" t="n">
        <v>247</v>
      </c>
      <c r="F29" s="5" t="n">
        <v>259</v>
      </c>
      <c r="G29" s="5" t="n">
        <v>259</v>
      </c>
      <c r="H29" s="5" t="n">
        <v>259</v>
      </c>
      <c r="I29" s="5" t="n">
        <v>259</v>
      </c>
      <c r="J29" s="5" t="n">
        <v>259</v>
      </c>
      <c r="K29" s="5" t="n">
        <v>259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-187</v>
      </c>
      <c r="D31" s="5" t="n">
        <v>4058</v>
      </c>
      <c r="E31" s="5" t="n">
        <v>11146</v>
      </c>
      <c r="F31" s="5" t="n">
        <v>21383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-2207</v>
      </c>
      <c r="D39" s="5" t="n">
        <v>-3722</v>
      </c>
      <c r="E39" s="5" t="n">
        <v>-9383</v>
      </c>
      <c r="F39" s="5" t="n">
        <v>-15949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-1833</v>
      </c>
      <c r="D42" s="5" t="n">
        <v>-1069</v>
      </c>
      <c r="E42" s="5" t="n">
        <v>-3236</v>
      </c>
      <c r="F42" s="5" t="n">
        <v>-6042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NVIDIA Corporation (NVDA)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224.831</v>
      </c>
    </row>
    <row r="4">
      <c r="A4" s="4" t="inlineStr">
        <is>
          <t>Year</t>
        </is>
      </c>
      <c r="G4" s="1" t="n">
        <v>2027</v>
      </c>
      <c r="H4" s="1" t="n">
        <v>2028</v>
      </c>
      <c r="I4" s="1" t="n">
        <v>2029</v>
      </c>
      <c r="J4" s="1" t="n">
        <v>2030</v>
      </c>
      <c r="K4" s="1" t="n">
        <v>2031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-435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24300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C33/224.831-1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18x</t>
        </is>
      </c>
      <c r="D38" s="1" t="inlineStr">
        <is>
          <t>20x</t>
        </is>
      </c>
      <c r="E38" s="1" t="inlineStr">
        <is>
          <t>22x</t>
        </is>
      </c>
      <c r="F38" s="1" t="inlineStr">
        <is>
          <t>24x</t>
        </is>
      </c>
      <c r="G38" s="1" t="inlineStr">
        <is>
          <t>26x</t>
        </is>
      </c>
    </row>
    <row r="39">
      <c r="A39" s="21" t="n">
        <v>0.075</v>
      </c>
      <c r="C39" s="22">
        <f>(G$12/(1+$A$39)^1+H$12/(1+$A$39)^2+I$12/(1+$A$39)^3+J$12/(1+$A$39)^4+K$12/(1+$A$39)^5+K$8*18/(1+$A$39)^5+$C$29)/$C$32</f>
        <v/>
      </c>
      <c r="D39" s="22">
        <f>(G$12/(1+$A$39)^1+H$12/(1+$A$39)^2+I$12/(1+$A$39)^3+J$12/(1+$A$39)^4+K$12/(1+$A$39)^5+K$8*20/(1+$A$39)^5+$C$29)/$C$32</f>
        <v/>
      </c>
      <c r="E39" s="22">
        <f>(G$12/(1+$A$39)^1+H$12/(1+$A$39)^2+I$12/(1+$A$39)^3+J$12/(1+$A$39)^4+K$12/(1+$A$39)^5+K$8*22/(1+$A$39)^5+$C$29)/$C$32</f>
        <v/>
      </c>
      <c r="F39" s="22">
        <f>(G$12/(1+$A$39)^1+H$12/(1+$A$39)^2+I$12/(1+$A$39)^3+J$12/(1+$A$39)^4+K$12/(1+$A$39)^5+K$8*24/(1+$A$39)^5+$C$29)/$C$32</f>
        <v/>
      </c>
      <c r="G39" s="22">
        <f>(G$12/(1+$A$39)^1+H$12/(1+$A$39)^2+I$12/(1+$A$39)^3+J$12/(1+$A$39)^4+K$12/(1+$A$39)^5+K$8*26/(1+$A$39)^5+$C$29)/$C$32</f>
        <v/>
      </c>
    </row>
    <row r="40">
      <c r="A40" s="21" t="n">
        <v>0.08499999999999999</v>
      </c>
      <c r="C40" s="22">
        <f>(G$12/(1+$A$40)^1+H$12/(1+$A$40)^2+I$12/(1+$A$40)^3+J$12/(1+$A$40)^4+K$12/(1+$A$40)^5+K$8*18/(1+$A$40)^5+$C$29)/$C$32</f>
        <v/>
      </c>
      <c r="D40" s="22">
        <f>(G$12/(1+$A$40)^1+H$12/(1+$A$40)^2+I$12/(1+$A$40)^3+J$12/(1+$A$40)^4+K$12/(1+$A$40)^5+K$8*20/(1+$A$40)^5+$C$29)/$C$32</f>
        <v/>
      </c>
      <c r="E40" s="22">
        <f>(G$12/(1+$A$40)^1+H$12/(1+$A$40)^2+I$12/(1+$A$40)^3+J$12/(1+$A$40)^4+K$12/(1+$A$40)^5+K$8*22/(1+$A$40)^5+$C$29)/$C$32</f>
        <v/>
      </c>
      <c r="F40" s="22">
        <f>(G$12/(1+$A$40)^1+H$12/(1+$A$40)^2+I$12/(1+$A$40)^3+J$12/(1+$A$40)^4+K$12/(1+$A$40)^5+K$8*24/(1+$A$40)^5+$C$29)/$C$32</f>
        <v/>
      </c>
      <c r="G40" s="22">
        <f>(G$12/(1+$A$40)^1+H$12/(1+$A$40)^2+I$12/(1+$A$40)^3+J$12/(1+$A$40)^4+K$12/(1+$A$40)^5+K$8*26/(1+$A$40)^5+$C$29)/$C$32</f>
        <v/>
      </c>
    </row>
    <row r="41">
      <c r="A41" s="21" t="n">
        <v>0.095</v>
      </c>
      <c r="C41" s="22">
        <f>(G$12/(1+$A$41)^1+H$12/(1+$A$41)^2+I$12/(1+$A$41)^3+J$12/(1+$A$41)^4+K$12/(1+$A$41)^5+K$8*18/(1+$A$41)^5+$C$29)/$C$32</f>
        <v/>
      </c>
      <c r="D41" s="22">
        <f>(G$12/(1+$A$41)^1+H$12/(1+$A$41)^2+I$12/(1+$A$41)^3+J$12/(1+$A$41)^4+K$12/(1+$A$41)^5+K$8*20/(1+$A$41)^5+$C$29)/$C$32</f>
        <v/>
      </c>
      <c r="E41" s="22">
        <f>(G$12/(1+$A$41)^1+H$12/(1+$A$41)^2+I$12/(1+$A$41)^3+J$12/(1+$A$41)^4+K$12/(1+$A$41)^5+K$8*22/(1+$A$41)^5+$C$29)/$C$32</f>
        <v/>
      </c>
      <c r="F41" s="22">
        <f>(G$12/(1+$A$41)^1+H$12/(1+$A$41)^2+I$12/(1+$A$41)^3+J$12/(1+$A$41)^4+K$12/(1+$A$41)^5+K$8*24/(1+$A$41)^5+$C$29)/$C$32</f>
        <v/>
      </c>
      <c r="G41" s="22">
        <f>(G$12/(1+$A$41)^1+H$12/(1+$A$41)^2+I$12/(1+$A$41)^3+J$12/(1+$A$41)^4+K$12/(1+$A$41)^5+K$8*26/(1+$A$41)^5+$C$29)/$C$32</f>
        <v/>
      </c>
    </row>
    <row r="42">
      <c r="A42" s="21" t="n">
        <v>0.105</v>
      </c>
      <c r="C42" s="22">
        <f>(G$12/(1+$A$42)^1+H$12/(1+$A$42)^2+I$12/(1+$A$42)^3+J$12/(1+$A$42)^4+K$12/(1+$A$42)^5+K$8*18/(1+$A$42)^5+$C$29)/$C$32</f>
        <v/>
      </c>
      <c r="D42" s="22">
        <f>(G$12/(1+$A$42)^1+H$12/(1+$A$42)^2+I$12/(1+$A$42)^3+J$12/(1+$A$42)^4+K$12/(1+$A$42)^5+K$8*20/(1+$A$42)^5+$C$29)/$C$32</f>
        <v/>
      </c>
      <c r="E42" s="23">
        <f>(G$12/(1+$A$42)^1+H$12/(1+$A$42)^2+I$12/(1+$A$42)^3+J$12/(1+$A$42)^4+K$12/(1+$A$42)^5+K$8*22/(1+$A$42)^5+$C$29)/$C$32</f>
        <v/>
      </c>
      <c r="F42" s="22">
        <f>(G$12/(1+$A$42)^1+H$12/(1+$A$42)^2+I$12/(1+$A$42)^3+J$12/(1+$A$42)^4+K$12/(1+$A$42)^5+K$8*24/(1+$A$42)^5+$C$29)/$C$32</f>
        <v/>
      </c>
      <c r="G42" s="22">
        <f>(G$12/(1+$A$42)^1+H$12/(1+$A$42)^2+I$12/(1+$A$42)^3+J$12/(1+$A$42)^4+K$12/(1+$A$42)^5+K$8*26/(1+$A$42)^5+$C$29)/$C$32</f>
        <v/>
      </c>
    </row>
    <row r="43">
      <c r="A43" s="21" t="n">
        <v>0.115</v>
      </c>
      <c r="C43" s="22">
        <f>(G$12/(1+$A$43)^1+H$12/(1+$A$43)^2+I$12/(1+$A$43)^3+J$12/(1+$A$43)^4+K$12/(1+$A$43)^5+K$8*18/(1+$A$43)^5+$C$29)/$C$32</f>
        <v/>
      </c>
      <c r="D43" s="22">
        <f>(G$12/(1+$A$43)^1+H$12/(1+$A$43)^2+I$12/(1+$A$43)^3+J$12/(1+$A$43)^4+K$12/(1+$A$43)^5+K$8*20/(1+$A$43)^5+$C$29)/$C$32</f>
        <v/>
      </c>
      <c r="E43" s="22">
        <f>(G$12/(1+$A$43)^1+H$12/(1+$A$43)^2+I$12/(1+$A$43)^3+J$12/(1+$A$43)^4+K$12/(1+$A$43)^5+K$8*22/(1+$A$43)^5+$C$29)/$C$32</f>
        <v/>
      </c>
      <c r="F43" s="22">
        <f>(G$12/(1+$A$43)^1+H$12/(1+$A$43)^2+I$12/(1+$A$43)^3+J$12/(1+$A$43)^4+K$12/(1+$A$43)^5+K$8*24/(1+$A$43)^5+$C$29)/$C$32</f>
        <v/>
      </c>
      <c r="G43" s="22">
        <f>(G$12/(1+$A$43)^1+H$12/(1+$A$43)^2+I$12/(1+$A$43)^3+J$12/(1+$A$43)^4+K$12/(1+$A$43)^5+K$8*26/(1+$A$43)^5+$C$29)/$C$32</f>
        <v/>
      </c>
    </row>
    <row r="44">
      <c r="A44" s="21" t="n">
        <v>0.125</v>
      </c>
      <c r="C44" s="22">
        <f>(G$12/(1+$A$44)^1+H$12/(1+$A$44)^2+I$12/(1+$A$44)^3+J$12/(1+$A$44)^4+K$12/(1+$A$44)^5+K$8*18/(1+$A$44)^5+$C$29)/$C$32</f>
        <v/>
      </c>
      <c r="D44" s="22">
        <f>(G$12/(1+$A$44)^1+H$12/(1+$A$44)^2+I$12/(1+$A$44)^3+J$12/(1+$A$44)^4+K$12/(1+$A$44)^5+K$8*20/(1+$A$44)^5+$C$29)/$C$32</f>
        <v/>
      </c>
      <c r="E44" s="22">
        <f>(G$12/(1+$A$44)^1+H$12/(1+$A$44)^2+I$12/(1+$A$44)^3+J$12/(1+$A$44)^4+K$12/(1+$A$44)^5+K$8*22/(1+$A$44)^5+$C$29)/$C$32</f>
        <v/>
      </c>
      <c r="F44" s="22">
        <f>(G$12/(1+$A$44)^1+H$12/(1+$A$44)^2+I$12/(1+$A$44)^3+J$12/(1+$A$44)^4+K$12/(1+$A$44)^5+K$8*24/(1+$A$44)^5+$C$29)/$C$32</f>
        <v/>
      </c>
      <c r="G44" s="22">
        <f>(G$12/(1+$A$44)^1+H$12/(1+$A$44)^2+I$12/(1+$A$44)^3+J$12/(1+$A$44)^4+K$12/(1+$A$44)^5+K$8*26/(1+$A$44)^5+$C$29)/$C$32</f>
        <v/>
      </c>
    </row>
    <row r="45">
      <c r="A45" s="21" t="n">
        <v>0.135</v>
      </c>
      <c r="C45" s="22">
        <f>(G$12/(1+$A$45)^1+H$12/(1+$A$45)^2+I$12/(1+$A$45)^3+J$12/(1+$A$45)^4+K$12/(1+$A$45)^5+K$8*18/(1+$A$45)^5+$C$29)/$C$32</f>
        <v/>
      </c>
      <c r="D45" s="22">
        <f>(G$12/(1+$A$45)^1+H$12/(1+$A$45)^2+I$12/(1+$A$45)^3+J$12/(1+$A$45)^4+K$12/(1+$A$45)^5+K$8*20/(1+$A$45)^5+$C$29)/$C$32</f>
        <v/>
      </c>
      <c r="E45" s="22">
        <f>(G$12/(1+$A$45)^1+H$12/(1+$A$45)^2+I$12/(1+$A$45)^3+J$12/(1+$A$45)^4+K$12/(1+$A$45)^5+K$8*22/(1+$A$45)^5+$C$29)/$C$32</f>
        <v/>
      </c>
      <c r="F45" s="22">
        <f>(G$12/(1+$A$45)^1+H$12/(1+$A$45)^2+I$12/(1+$A$45)^3+J$12/(1+$A$45)^4+K$12/(1+$A$45)^5+K$8*24/(1+$A$45)^5+$C$29)/$C$32</f>
        <v/>
      </c>
      <c r="G45" s="22">
        <f>(G$12/(1+$A$45)^1+H$12/(1+$A$45)^2+I$12/(1+$A$45)^3+J$12/(1+$A$45)^4+K$12/(1+$A$45)^5+K$8*26/(1+$A$45)^5+$C$29)/$C$32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2026-05-13T13:46:31Z</dcterms:created>
  <dcterms:modified xmlns:dcterms="http://purl.org/dc/terms/" xmlns:xsi="http://www.w3.org/2001/XMLSchema-instance" xsi:type="dcterms:W3CDTF">2026-05-13T13:46:31Z</dcterms:modified>
</cp:coreProperties>
</file>