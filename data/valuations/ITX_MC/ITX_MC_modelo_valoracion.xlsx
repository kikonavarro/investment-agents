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Industria de Diseño Textil, S.A. (ITX.MC)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FY2023</t>
        </is>
      </c>
      <c r="D4" s="1" t="inlineStr">
        <is>
          <t>FY2024</t>
        </is>
      </c>
      <c r="E4" s="1" t="inlineStr">
        <is>
          <t>FY2025</t>
        </is>
      </c>
      <c r="F4" s="1" t="inlineStr">
        <is>
          <t>FY2026</t>
        </is>
      </c>
      <c r="G4" s="1" t="inlineStr">
        <is>
          <t>FY2027</t>
        </is>
      </c>
      <c r="H4" s="1" t="inlineStr">
        <is>
          <t>FY2028</t>
        </is>
      </c>
      <c r="I4" s="1" t="inlineStr">
        <is>
          <t>FY2029</t>
        </is>
      </c>
      <c r="J4" s="1" t="inlineStr">
        <is>
          <t>FY2030</t>
        </is>
      </c>
      <c r="K4" s="1" t="inlineStr">
        <is>
          <t>FY2031</t>
        </is>
      </c>
    </row>
    <row r="6">
      <c r="A6" s="1" t="inlineStr">
        <is>
          <t>Apparel Retail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32569</v>
      </c>
      <c r="D7" s="5" t="n">
        <v>35947</v>
      </c>
      <c r="E7" s="5" t="n">
        <v>38631.875</v>
      </c>
      <c r="F7" s="5" t="n">
        <v>39864.173</v>
      </c>
    </row>
    <row r="8">
      <c r="A8" s="4" t="inlineStr">
        <is>
          <t xml:space="preserve">  Revenue Growth - Base</t>
        </is>
      </c>
      <c r="G8" s="6" t="n">
        <v>0.05</v>
      </c>
      <c r="H8" s="6" t="n">
        <v>0.055</v>
      </c>
      <c r="I8" s="6" t="n">
        <v>0.055</v>
      </c>
      <c r="J8" s="6" t="n">
        <v>0.05</v>
      </c>
      <c r="K8" s="6" t="n">
        <v>0.04</v>
      </c>
    </row>
    <row r="9">
      <c r="A9" s="4" t="inlineStr">
        <is>
          <t xml:space="preserve">  Revenue Growth - Bull</t>
        </is>
      </c>
      <c r="G9" s="6" t="n">
        <v>0.07000000000000001</v>
      </c>
      <c r="H9" s="6" t="n">
        <v>0.075</v>
      </c>
      <c r="I9" s="6" t="n">
        <v>0.07000000000000001</v>
      </c>
      <c r="J9" s="6" t="n">
        <v>0.06</v>
      </c>
      <c r="K9" s="6" t="n">
        <v>0.05</v>
      </c>
    </row>
    <row r="10">
      <c r="A10" s="4" t="inlineStr">
        <is>
          <t xml:space="preserve">  Revenue Growth - Bear</t>
        </is>
      </c>
      <c r="G10" s="6" t="n">
        <v>0.02</v>
      </c>
      <c r="H10" s="6" t="n">
        <v>0.02</v>
      </c>
      <c r="I10" s="6" t="n">
        <v>0.025</v>
      </c>
      <c r="J10" s="6" t="n">
        <v>0.03</v>
      </c>
      <c r="K10" s="6" t="n">
        <v>0.03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0.58</v>
      </c>
      <c r="H15" s="6" t="n">
        <v>0.58</v>
      </c>
      <c r="I15" s="6" t="n">
        <v>0.58</v>
      </c>
      <c r="J15" s="6" t="n">
        <v>0.58</v>
      </c>
      <c r="K15" s="6" t="n">
        <v>0.58</v>
      </c>
    </row>
    <row r="16">
      <c r="A16" s="4" t="inlineStr">
        <is>
          <t>Gross Margin - Bull</t>
        </is>
      </c>
      <c r="G16" s="6" t="n">
        <v>0.59</v>
      </c>
      <c r="H16" s="6" t="n">
        <v>0.59</v>
      </c>
      <c r="I16" s="6" t="n">
        <v>0.59</v>
      </c>
      <c r="J16" s="6" t="n">
        <v>0.59</v>
      </c>
      <c r="K16" s="6" t="n">
        <v>0.59</v>
      </c>
    </row>
    <row r="17">
      <c r="A17" s="4" t="inlineStr">
        <is>
          <t>Gross Margin - Bear</t>
        </is>
      </c>
      <c r="G17" s="6" t="n">
        <v>0.5600000000000001</v>
      </c>
      <c r="H17" s="6" t="n">
        <v>0.5600000000000001</v>
      </c>
      <c r="I17" s="6" t="n">
        <v>0.5600000000000001</v>
      </c>
      <c r="J17" s="6" t="n">
        <v>0.5600000000000001</v>
      </c>
      <c r="K17" s="6" t="n">
        <v>0.5600000000000001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0.095</v>
      </c>
      <c r="H20" s="6" t="n">
        <v>0.095</v>
      </c>
      <c r="I20" s="6" t="n">
        <v>0.095</v>
      </c>
      <c r="J20" s="6" t="n">
        <v>0.095</v>
      </c>
      <c r="K20" s="6" t="n">
        <v>0.095</v>
      </c>
    </row>
    <row r="21">
      <c r="A21" s="4" t="inlineStr">
        <is>
          <t>SG&amp;A % Revenue - Bull</t>
        </is>
      </c>
      <c r="G21" s="6" t="n">
        <v>0.09</v>
      </c>
      <c r="H21" s="6" t="n">
        <v>0.09</v>
      </c>
      <c r="I21" s="6" t="n">
        <v>0.09</v>
      </c>
      <c r="J21" s="6" t="n">
        <v>0.09</v>
      </c>
      <c r="K21" s="6" t="n">
        <v>0.09</v>
      </c>
    </row>
    <row r="22">
      <c r="A22" s="4" t="inlineStr">
        <is>
          <t>SG&amp;A % Revenue - Bear</t>
        </is>
      </c>
      <c r="G22" s="6" t="n">
        <v>0.095</v>
      </c>
      <c r="H22" s="6" t="n">
        <v>0.095</v>
      </c>
      <c r="I22" s="6" t="n">
        <v>0.095</v>
      </c>
      <c r="J22" s="6" t="n">
        <v>0.095</v>
      </c>
      <c r="K22" s="6" t="n">
        <v>0.095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0.083</v>
      </c>
      <c r="H30" s="6" t="n">
        <v>0.083</v>
      </c>
      <c r="I30" s="6" t="n">
        <v>0.083</v>
      </c>
      <c r="J30" s="6" t="n">
        <v>0.083</v>
      </c>
      <c r="K30" s="6" t="n">
        <v>0.083</v>
      </c>
    </row>
    <row r="31">
      <c r="A31" s="4" t="inlineStr">
        <is>
          <t>CapEx % Revenue</t>
        </is>
      </c>
      <c r="G31" s="6" t="n">
        <v>0.06</v>
      </c>
      <c r="H31" s="6" t="n">
        <v>0.06</v>
      </c>
      <c r="I31" s="6" t="n">
        <v>0.06</v>
      </c>
      <c r="J31" s="6" t="n">
        <v>0.06</v>
      </c>
      <c r="K31" s="6" t="n">
        <v>0.06</v>
      </c>
    </row>
    <row r="32">
      <c r="A32" s="4" t="inlineStr">
        <is>
          <t>Tax Rate</t>
        </is>
      </c>
      <c r="G32" s="6" t="n">
        <v>0.22</v>
      </c>
      <c r="H32" s="6" t="n">
        <v>0.22</v>
      </c>
      <c r="I32" s="6" t="n">
        <v>0.22</v>
      </c>
      <c r="J32" s="6" t="n">
        <v>0.22</v>
      </c>
      <c r="K32" s="6" t="n">
        <v>0.22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0.08500000000000001</v>
      </c>
    </row>
    <row r="36">
      <c r="A36" s="4" t="inlineStr">
        <is>
          <t>WACC - Bull</t>
        </is>
      </c>
      <c r="C36" s="6" t="n">
        <v>0.08</v>
      </c>
    </row>
    <row r="37">
      <c r="A37" s="4" t="inlineStr">
        <is>
          <t>WACC - Bear</t>
        </is>
      </c>
      <c r="C37" s="6" t="n">
        <v>0.095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14</v>
      </c>
    </row>
    <row r="41">
      <c r="A41" s="4" t="inlineStr">
        <is>
          <t>Terminal Value Multiple - Bull</t>
        </is>
      </c>
      <c r="C41" s="9" t="n">
        <v>18</v>
      </c>
    </row>
    <row r="42">
      <c r="A42" s="4" t="inlineStr">
        <is>
          <t>Terminal Value Multiple - Bear</t>
        </is>
      </c>
      <c r="C42" s="9" t="n">
        <v>10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Industria de Diseño Textil, S.A. (ITX.MC)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FY2023</t>
        </is>
      </c>
      <c r="D3" s="1" t="inlineStr">
        <is>
          <t>FY2024</t>
        </is>
      </c>
      <c r="E3" s="1" t="inlineStr">
        <is>
          <t>FY2025</t>
        </is>
      </c>
      <c r="F3" s="1" t="inlineStr">
        <is>
          <t>FY2026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32569</v>
      </c>
      <c r="D6" s="5" t="n">
        <v>35947</v>
      </c>
      <c r="E6" s="5" t="n">
        <v>38631.875</v>
      </c>
      <c r="F6" s="5" t="n">
        <v>39864.173</v>
      </c>
    </row>
    <row r="7">
      <c r="A7" s="4" t="inlineStr">
        <is>
          <t>Cost of Revenue</t>
        </is>
      </c>
      <c r="C7" s="5" t="n">
        <v>14011</v>
      </c>
      <c r="D7" s="5" t="n">
        <v>15186</v>
      </c>
      <c r="E7" s="5" t="n">
        <v>16288.488</v>
      </c>
      <c r="F7" s="5" t="n">
        <v>16641.718</v>
      </c>
    </row>
    <row r="8">
      <c r="A8" s="2" t="inlineStr">
        <is>
          <t>Gross Profit</t>
        </is>
      </c>
      <c r="C8" s="5" t="n">
        <v>18559</v>
      </c>
      <c r="D8" s="5" t="n">
        <v>20762</v>
      </c>
      <c r="E8" s="5" t="n">
        <v>22343.387</v>
      </c>
      <c r="F8" s="5" t="n">
        <v>23222.455</v>
      </c>
    </row>
    <row r="9">
      <c r="A9" s="4" t="inlineStr">
        <is>
          <t xml:space="preserve">  Gross Margin</t>
        </is>
      </c>
      <c r="C9" s="11" t="n">
        <v>0.5698363474469588</v>
      </c>
      <c r="D9" s="11" t="n">
        <v>0.5775725373466493</v>
      </c>
      <c r="E9" s="11" t="n">
        <v>0.5783666208280079</v>
      </c>
      <c r="F9" s="11" t="n">
        <v>0.5825394897819653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3105</v>
      </c>
      <c r="D12" s="5" t="n">
        <v>3368</v>
      </c>
      <c r="E12" s="5" t="n">
        <v>3712</v>
      </c>
      <c r="F12" s="5" t="n">
        <v>0</v>
      </c>
    </row>
    <row r="13">
      <c r="A13" s="2" t="inlineStr">
        <is>
          <t>Operating Income (EBIT)</t>
        </is>
      </c>
      <c r="C13" s="5" t="n">
        <v>5895</v>
      </c>
      <c r="D13" s="5" t="n">
        <v>6914</v>
      </c>
      <c r="E13" s="5" t="n">
        <v>7593.512</v>
      </c>
      <c r="F13" s="5" t="n">
        <v>8045.112</v>
      </c>
    </row>
    <row r="14">
      <c r="A14" s="4" t="inlineStr">
        <is>
          <t xml:space="preserve">  EBIT Margin</t>
        </is>
      </c>
      <c r="C14" s="11" t="n">
        <v>0.181000337744481</v>
      </c>
      <c r="D14" s="11" t="n">
        <v>0.1923387208946505</v>
      </c>
      <c r="E14" s="11" t="n">
        <v>0.1965607933862905</v>
      </c>
      <c r="F14" s="11" t="n">
        <v>0.2018130916700567</v>
      </c>
    </row>
    <row r="16">
      <c r="A16" s="4" t="inlineStr">
        <is>
          <t>Interest Expense</t>
        </is>
      </c>
      <c r="C16" s="5" t="n">
        <v>144</v>
      </c>
      <c r="D16" s="5" t="n">
        <v>271</v>
      </c>
      <c r="E16" s="5" t="n">
        <v>352.191</v>
      </c>
      <c r="F16" s="5" t="n">
        <v>370.314</v>
      </c>
    </row>
    <row r="17">
      <c r="A17" s="4" t="inlineStr">
        <is>
          <t>Tax Provision</t>
        </is>
      </c>
      <c r="C17" s="5" t="n">
        <v>1211</v>
      </c>
      <c r="D17" s="5" t="n">
        <v>1475</v>
      </c>
      <c r="E17" s="5" t="n">
        <v>1700.263</v>
      </c>
      <c r="F17" s="5" t="n">
        <v>1799.624</v>
      </c>
    </row>
    <row r="18">
      <c r="A18" s="2" t="inlineStr">
        <is>
          <t>Net Income</t>
        </is>
      </c>
      <c r="C18" s="5" t="n">
        <v>4130</v>
      </c>
      <c r="D18" s="5" t="n">
        <v>5381</v>
      </c>
      <c r="E18" s="5" t="n">
        <v>5866.133</v>
      </c>
      <c r="F18" s="5" t="n">
        <v>6220.09</v>
      </c>
    </row>
    <row r="19">
      <c r="A19" s="4" t="inlineStr">
        <is>
          <t xml:space="preserve">  Net Margin</t>
        </is>
      </c>
      <c r="C19" s="11" t="n">
        <v>0.1268077005741656</v>
      </c>
      <c r="D19" s="11" t="n">
        <v>0.1496926029988594</v>
      </c>
      <c r="E19" s="11" t="n">
        <v>0.1518469657504328</v>
      </c>
      <c r="F19" s="11" t="n">
        <v>0.1560320842476777</v>
      </c>
    </row>
    <row r="21">
      <c r="A21" s="2" t="inlineStr">
        <is>
          <t>EBITDA</t>
        </is>
      </c>
      <c r="C21" s="5" t="n">
        <v>8278</v>
      </c>
      <c r="D21" s="5" t="n">
        <v>10038</v>
      </c>
      <c r="E21" s="5" t="n">
        <v>11103.105</v>
      </c>
      <c r="F21" s="5" t="n">
        <v>11660.075</v>
      </c>
    </row>
    <row r="22">
      <c r="A22" s="4" t="inlineStr">
        <is>
          <t xml:space="preserve">  EBITDA Margin</t>
        </is>
      </c>
      <c r="C22" s="11" t="n">
        <v>0.2541680739353373</v>
      </c>
      <c r="D22" s="11" t="n">
        <v>0.2792444432080563</v>
      </c>
      <c r="E22" s="11" t="n">
        <v>0.2874078723851742</v>
      </c>
      <c r="F22" s="11" t="n">
        <v>0.2924950932758595</v>
      </c>
    </row>
    <row r="23">
      <c r="A23" s="4" t="inlineStr">
        <is>
          <t>Diluted EPS</t>
        </is>
      </c>
      <c r="C23" s="12" t="n">
        <v>1.326</v>
      </c>
      <c r="D23" s="12" t="n">
        <v>1.726</v>
      </c>
      <c r="E23" s="12" t="n">
        <v>1.88</v>
      </c>
      <c r="F23" s="12" t="n">
        <v>0</v>
      </c>
    </row>
    <row r="24">
      <c r="A24" s="4" t="inlineStr">
        <is>
          <t>D&amp;A</t>
        </is>
      </c>
      <c r="C24" s="5" t="n">
        <v>2776</v>
      </c>
      <c r="D24" s="5" t="n">
        <v>2897</v>
      </c>
      <c r="E24" s="5" t="n">
        <v>3173.984</v>
      </c>
      <c r="F24" s="5" t="n">
        <v>3270.047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5561</v>
      </c>
      <c r="D28" s="5" t="n">
        <v>7007</v>
      </c>
      <c r="E28" s="5" t="n">
        <v>6382</v>
      </c>
      <c r="F28" s="5" t="n">
        <v>5276.288</v>
      </c>
    </row>
    <row r="29">
      <c r="A29" s="4" t="inlineStr">
        <is>
          <t>Current Assets</t>
        </is>
      </c>
      <c r="C29" s="5" t="n">
        <v>14639</v>
      </c>
      <c r="D29" s="5" t="n">
        <v>16016</v>
      </c>
      <c r="E29" s="5" t="n">
        <v>16356</v>
      </c>
      <c r="F29" s="5" t="n">
        <v>15691.243</v>
      </c>
    </row>
    <row r="30">
      <c r="A30" s="4" t="inlineStr">
        <is>
          <t>Net PP&amp;E</t>
        </is>
      </c>
      <c r="C30" s="5" t="n">
        <v>12501</v>
      </c>
      <c r="D30" s="5" t="n">
        <v>13434</v>
      </c>
      <c r="E30" s="5" t="n">
        <v>15274</v>
      </c>
      <c r="F30" s="5" t="n">
        <v>11135.303</v>
      </c>
    </row>
    <row r="31">
      <c r="A31" s="4" t="inlineStr">
        <is>
          <t>Goodwill</t>
        </is>
      </c>
      <c r="C31" s="5" t="n">
        <v>193</v>
      </c>
      <c r="D31" s="5" t="n">
        <v>197</v>
      </c>
      <c r="E31" s="5" t="n">
        <v>196</v>
      </c>
      <c r="F31" s="5" t="n">
        <v>196.727</v>
      </c>
    </row>
    <row r="32">
      <c r="A32" s="2" t="inlineStr">
        <is>
          <t>Total Assets</t>
        </is>
      </c>
      <c r="C32" s="5" t="n">
        <v>29983</v>
      </c>
      <c r="D32" s="5" t="n">
        <v>32735</v>
      </c>
      <c r="E32" s="5" t="n">
        <v>34714</v>
      </c>
      <c r="F32" s="5" t="n">
        <v>35638.312</v>
      </c>
    </row>
    <row r="34">
      <c r="A34" s="4" t="inlineStr">
        <is>
          <t>Current Liabilities</t>
        </is>
      </c>
      <c r="C34" s="5" t="n">
        <v>8137</v>
      </c>
      <c r="D34" s="5" t="n">
        <v>8937</v>
      </c>
      <c r="E34" s="5" t="n">
        <v>10187</v>
      </c>
      <c r="F34" s="5" t="n">
        <v>10171.916</v>
      </c>
    </row>
    <row r="35">
      <c r="A35" s="4" t="inlineStr">
        <is>
          <t>Total Debt</t>
        </is>
      </c>
      <c r="C35" s="5" t="n">
        <v>5596</v>
      </c>
      <c r="D35" s="5" t="n">
        <v>5739</v>
      </c>
      <c r="E35" s="5" t="n">
        <v>5909</v>
      </c>
      <c r="F35" s="5" t="n">
        <v>1.711</v>
      </c>
    </row>
    <row r="36">
      <c r="A36" s="2" t="inlineStr">
        <is>
          <t>Total Liabilities</t>
        </is>
      </c>
      <c r="C36" s="5" t="n">
        <v>12950</v>
      </c>
      <c r="D36" s="5" t="n">
        <v>14063</v>
      </c>
      <c r="E36" s="5" t="n">
        <v>15038</v>
      </c>
      <c r="F36" s="5" t="n">
        <v>15243.153</v>
      </c>
    </row>
    <row r="38">
      <c r="A38" s="2" t="inlineStr">
        <is>
          <t>Total Equity</t>
        </is>
      </c>
      <c r="C38" s="5" t="n">
        <v>17033</v>
      </c>
      <c r="D38" s="5" t="n">
        <v>18672</v>
      </c>
      <c r="E38" s="5" t="n">
        <v>19676</v>
      </c>
      <c r="F38" s="5" t="n">
        <v>20395.159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6674</v>
      </c>
      <c r="D42" s="5" t="n">
        <v>8667</v>
      </c>
      <c r="E42" s="5" t="n">
        <v>9288.084000000001</v>
      </c>
      <c r="F42" s="5" t="n">
        <v>9231.932000000001</v>
      </c>
    </row>
    <row r="43">
      <c r="A43" s="4" t="inlineStr">
        <is>
          <t>Capital Expenditure</t>
        </is>
      </c>
      <c r="C43" s="5" t="n">
        <v>-1415</v>
      </c>
      <c r="D43" s="5" t="n">
        <v>-1872</v>
      </c>
      <c r="E43" s="5" t="n">
        <v>-2671.848</v>
      </c>
      <c r="F43" s="5" t="n">
        <v>-2711.857</v>
      </c>
    </row>
    <row r="44">
      <c r="A44" s="2" t="inlineStr">
        <is>
          <t>Free Cash Flow</t>
        </is>
      </c>
      <c r="C44" s="5" t="n">
        <v>5259</v>
      </c>
      <c r="D44" s="5" t="n">
        <v>6795</v>
      </c>
      <c r="E44" s="5" t="n">
        <v>6616.236</v>
      </c>
      <c r="F44" s="5" t="n">
        <v>6520.075</v>
      </c>
    </row>
    <row r="46">
      <c r="A46" s="4" t="inlineStr">
        <is>
          <t>D&amp;A</t>
        </is>
      </c>
      <c r="C46" s="5" t="n">
        <v>2776</v>
      </c>
      <c r="D46" s="5" t="n">
        <v>2897</v>
      </c>
      <c r="E46" s="5" t="n">
        <v>3173.984</v>
      </c>
      <c r="F46" s="5" t="n">
        <v>3270.047</v>
      </c>
    </row>
    <row r="47">
      <c r="A47" s="4" t="inlineStr">
        <is>
          <t>Stock-Based Compensation</t>
        </is>
      </c>
      <c r="C47" s="5" t="n">
        <v>0</v>
      </c>
      <c r="D47" s="5" t="n">
        <v>0</v>
      </c>
      <c r="E47" s="5" t="n">
        <v>0</v>
      </c>
      <c r="F47" s="5" t="n">
        <v>0</v>
      </c>
    </row>
    <row r="48">
      <c r="A48" s="4" t="inlineStr">
        <is>
          <t>Change in Working Capital</t>
        </is>
      </c>
      <c r="C48" s="5" t="n">
        <v>-669</v>
      </c>
      <c r="D48" s="5" t="n">
        <v>-56</v>
      </c>
      <c r="E48" s="5" t="n">
        <v>-197.793</v>
      </c>
      <c r="F48" s="5" t="n">
        <v>-802.525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Industria de Diseño Textil, S.A. (ITX.MC)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FY2023</t>
        </is>
      </c>
      <c r="D4" s="1" t="inlineStr">
        <is>
          <t>FY2024</t>
        </is>
      </c>
      <c r="E4" s="1" t="inlineStr">
        <is>
          <t>FY2025</t>
        </is>
      </c>
      <c r="F4" s="1" t="inlineStr">
        <is>
          <t>FY2026</t>
        </is>
      </c>
      <c r="G4" s="1" t="inlineStr">
        <is>
          <t>FY2027</t>
        </is>
      </c>
      <c r="H4" s="1" t="inlineStr">
        <is>
          <t>FY2028</t>
        </is>
      </c>
      <c r="I4" s="1" t="inlineStr">
        <is>
          <t>FY2029</t>
        </is>
      </c>
      <c r="J4" s="1" t="inlineStr">
        <is>
          <t>FY2030</t>
        </is>
      </c>
      <c r="K4" s="1" t="inlineStr">
        <is>
          <t>FY2031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Apparel Retail</t>
        </is>
      </c>
      <c r="C8" s="5" t="n">
        <v>32569</v>
      </c>
      <c r="D8" s="5" t="n">
        <v>35947</v>
      </c>
      <c r="E8" s="5" t="n">
        <v>38631.875</v>
      </c>
      <c r="F8" s="5" t="n">
        <v>39864.173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14011</v>
      </c>
      <c r="D16" s="5" t="n">
        <v>15186</v>
      </c>
      <c r="E16" s="5" t="n">
        <v>16288.488</v>
      </c>
      <c r="F16" s="5" t="n">
        <v>16641.718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3105</v>
      </c>
      <c r="D20" s="5" t="n">
        <v>3368</v>
      </c>
      <c r="E20" s="5" t="n">
        <v>3712</v>
      </c>
      <c r="F20" s="5" t="n">
        <v>0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2776</v>
      </c>
      <c r="D22" s="5" t="n">
        <v>2897</v>
      </c>
      <c r="E22" s="5" t="n">
        <v>3173.984</v>
      </c>
      <c r="F22" s="5" t="n">
        <v>3270.047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144</v>
      </c>
      <c r="D29" s="5" t="n">
        <v>271</v>
      </c>
      <c r="E29" s="5" t="n">
        <v>352.191</v>
      </c>
      <c r="F29" s="5" t="n">
        <v>370.314</v>
      </c>
      <c r="G29" s="5" t="n">
        <v>370.314</v>
      </c>
      <c r="H29" s="5" t="n">
        <v>370.314</v>
      </c>
      <c r="I29" s="5" t="n">
        <v>370.314</v>
      </c>
      <c r="J29" s="5" t="n">
        <v>370.314</v>
      </c>
      <c r="K29" s="5" t="n">
        <v>370.314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1211</v>
      </c>
      <c r="D31" s="5" t="n">
        <v>1475</v>
      </c>
      <c r="E31" s="5" t="n">
        <v>1700.263</v>
      </c>
      <c r="F31" s="5" t="n">
        <v>1799.624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-669</v>
      </c>
      <c r="D39" s="5" t="n">
        <v>-56</v>
      </c>
      <c r="E39" s="5" t="n">
        <v>-197.793</v>
      </c>
      <c r="F39" s="5" t="n">
        <v>-802.525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-1415</v>
      </c>
      <c r="D42" s="5" t="n">
        <v>-1872</v>
      </c>
      <c r="E42" s="5" t="n">
        <v>-2671.848</v>
      </c>
      <c r="F42" s="5" t="n">
        <v>-2711.857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Industria de Diseño Textil, S.A. (ITX.MC)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48.48</v>
      </c>
    </row>
    <row r="4">
      <c r="A4" s="4" t="inlineStr">
        <is>
          <t>Year</t>
        </is>
      </c>
      <c r="G4" s="1" t="n">
        <v>2027</v>
      </c>
      <c r="H4" s="1" t="n">
        <v>2028</v>
      </c>
      <c r="I4" s="1" t="n">
        <v>2029</v>
      </c>
      <c r="J4" s="1" t="n">
        <v>2030</v>
      </c>
      <c r="K4" s="1" t="n">
        <v>2031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5274.577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3114.766768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C33/48.48-1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10x</t>
        </is>
      </c>
      <c r="D38" s="1" t="inlineStr">
        <is>
          <t>12x</t>
        </is>
      </c>
      <c r="E38" s="1" t="inlineStr">
        <is>
          <t>14x</t>
        </is>
      </c>
      <c r="F38" s="1" t="inlineStr">
        <is>
          <t>16x</t>
        </is>
      </c>
      <c r="G38" s="1" t="inlineStr">
        <is>
          <t>18x</t>
        </is>
      </c>
    </row>
    <row r="39">
      <c r="A39" s="21" t="n">
        <v>0.05500000000000001</v>
      </c>
      <c r="C39" s="22">
        <f>(G$12/(1+$A$39)^1+H$12/(1+$A$39)^2+I$12/(1+$A$39)^3+J$12/(1+$A$39)^4+K$12/(1+$A$39)^5+K$8*10/(1+$A$39)^5+$C$29)/$C$32</f>
        <v/>
      </c>
      <c r="D39" s="22">
        <f>(G$12/(1+$A$39)^1+H$12/(1+$A$39)^2+I$12/(1+$A$39)^3+J$12/(1+$A$39)^4+K$12/(1+$A$39)^5+K$8*12/(1+$A$39)^5+$C$29)/$C$32</f>
        <v/>
      </c>
      <c r="E39" s="22">
        <f>(G$12/(1+$A$39)^1+H$12/(1+$A$39)^2+I$12/(1+$A$39)^3+J$12/(1+$A$39)^4+K$12/(1+$A$39)^5+K$8*14/(1+$A$39)^5+$C$29)/$C$32</f>
        <v/>
      </c>
      <c r="F39" s="22">
        <f>(G$12/(1+$A$39)^1+H$12/(1+$A$39)^2+I$12/(1+$A$39)^3+J$12/(1+$A$39)^4+K$12/(1+$A$39)^5+K$8*16/(1+$A$39)^5+$C$29)/$C$32</f>
        <v/>
      </c>
      <c r="G39" s="22">
        <f>(G$12/(1+$A$39)^1+H$12/(1+$A$39)^2+I$12/(1+$A$39)^3+J$12/(1+$A$39)^4+K$12/(1+$A$39)^5+K$8*18/(1+$A$39)^5+$C$29)/$C$32</f>
        <v/>
      </c>
    </row>
    <row r="40">
      <c r="A40" s="21" t="n">
        <v>0.065</v>
      </c>
      <c r="C40" s="22">
        <f>(G$12/(1+$A$40)^1+H$12/(1+$A$40)^2+I$12/(1+$A$40)^3+J$12/(1+$A$40)^4+K$12/(1+$A$40)^5+K$8*10/(1+$A$40)^5+$C$29)/$C$32</f>
        <v/>
      </c>
      <c r="D40" s="22">
        <f>(G$12/(1+$A$40)^1+H$12/(1+$A$40)^2+I$12/(1+$A$40)^3+J$12/(1+$A$40)^4+K$12/(1+$A$40)^5+K$8*12/(1+$A$40)^5+$C$29)/$C$32</f>
        <v/>
      </c>
      <c r="E40" s="22">
        <f>(G$12/(1+$A$40)^1+H$12/(1+$A$40)^2+I$12/(1+$A$40)^3+J$12/(1+$A$40)^4+K$12/(1+$A$40)^5+K$8*14/(1+$A$40)^5+$C$29)/$C$32</f>
        <v/>
      </c>
      <c r="F40" s="22">
        <f>(G$12/(1+$A$40)^1+H$12/(1+$A$40)^2+I$12/(1+$A$40)^3+J$12/(1+$A$40)^4+K$12/(1+$A$40)^5+K$8*16/(1+$A$40)^5+$C$29)/$C$32</f>
        <v/>
      </c>
      <c r="G40" s="22">
        <f>(G$12/(1+$A$40)^1+H$12/(1+$A$40)^2+I$12/(1+$A$40)^3+J$12/(1+$A$40)^4+K$12/(1+$A$40)^5+K$8*18/(1+$A$40)^5+$C$29)/$C$32</f>
        <v/>
      </c>
    </row>
    <row r="41">
      <c r="A41" s="21" t="n">
        <v>0.07500000000000001</v>
      </c>
      <c r="C41" s="22">
        <f>(G$12/(1+$A$41)^1+H$12/(1+$A$41)^2+I$12/(1+$A$41)^3+J$12/(1+$A$41)^4+K$12/(1+$A$41)^5+K$8*10/(1+$A$41)^5+$C$29)/$C$32</f>
        <v/>
      </c>
      <c r="D41" s="22">
        <f>(G$12/(1+$A$41)^1+H$12/(1+$A$41)^2+I$12/(1+$A$41)^3+J$12/(1+$A$41)^4+K$12/(1+$A$41)^5+K$8*12/(1+$A$41)^5+$C$29)/$C$32</f>
        <v/>
      </c>
      <c r="E41" s="22">
        <f>(G$12/(1+$A$41)^1+H$12/(1+$A$41)^2+I$12/(1+$A$41)^3+J$12/(1+$A$41)^4+K$12/(1+$A$41)^5+K$8*14/(1+$A$41)^5+$C$29)/$C$32</f>
        <v/>
      </c>
      <c r="F41" s="22">
        <f>(G$12/(1+$A$41)^1+H$12/(1+$A$41)^2+I$12/(1+$A$41)^3+J$12/(1+$A$41)^4+K$12/(1+$A$41)^5+K$8*16/(1+$A$41)^5+$C$29)/$C$32</f>
        <v/>
      </c>
      <c r="G41" s="22">
        <f>(G$12/(1+$A$41)^1+H$12/(1+$A$41)^2+I$12/(1+$A$41)^3+J$12/(1+$A$41)^4+K$12/(1+$A$41)^5+K$8*18/(1+$A$41)^5+$C$29)/$C$32</f>
        <v/>
      </c>
    </row>
    <row r="42">
      <c r="A42" s="21" t="n">
        <v>0.08500000000000001</v>
      </c>
      <c r="C42" s="22">
        <f>(G$12/(1+$A$42)^1+H$12/(1+$A$42)^2+I$12/(1+$A$42)^3+J$12/(1+$A$42)^4+K$12/(1+$A$42)^5+K$8*10/(1+$A$42)^5+$C$29)/$C$32</f>
        <v/>
      </c>
      <c r="D42" s="22">
        <f>(G$12/(1+$A$42)^1+H$12/(1+$A$42)^2+I$12/(1+$A$42)^3+J$12/(1+$A$42)^4+K$12/(1+$A$42)^5+K$8*12/(1+$A$42)^5+$C$29)/$C$32</f>
        <v/>
      </c>
      <c r="E42" s="23">
        <f>(G$12/(1+$A$42)^1+H$12/(1+$A$42)^2+I$12/(1+$A$42)^3+J$12/(1+$A$42)^4+K$12/(1+$A$42)^5+K$8*14/(1+$A$42)^5+$C$29)/$C$32</f>
        <v/>
      </c>
      <c r="F42" s="22">
        <f>(G$12/(1+$A$42)^1+H$12/(1+$A$42)^2+I$12/(1+$A$42)^3+J$12/(1+$A$42)^4+K$12/(1+$A$42)^5+K$8*16/(1+$A$42)^5+$C$29)/$C$32</f>
        <v/>
      </c>
      <c r="G42" s="22">
        <f>(G$12/(1+$A$42)^1+H$12/(1+$A$42)^2+I$12/(1+$A$42)^3+J$12/(1+$A$42)^4+K$12/(1+$A$42)^5+K$8*18/(1+$A$42)^5+$C$29)/$C$32</f>
        <v/>
      </c>
    </row>
    <row r="43">
      <c r="A43" s="21" t="n">
        <v>0.095</v>
      </c>
      <c r="C43" s="22">
        <f>(G$12/(1+$A$43)^1+H$12/(1+$A$43)^2+I$12/(1+$A$43)^3+J$12/(1+$A$43)^4+K$12/(1+$A$43)^5+K$8*10/(1+$A$43)^5+$C$29)/$C$32</f>
        <v/>
      </c>
      <c r="D43" s="22">
        <f>(G$12/(1+$A$43)^1+H$12/(1+$A$43)^2+I$12/(1+$A$43)^3+J$12/(1+$A$43)^4+K$12/(1+$A$43)^5+K$8*12/(1+$A$43)^5+$C$29)/$C$32</f>
        <v/>
      </c>
      <c r="E43" s="22">
        <f>(G$12/(1+$A$43)^1+H$12/(1+$A$43)^2+I$12/(1+$A$43)^3+J$12/(1+$A$43)^4+K$12/(1+$A$43)^5+K$8*14/(1+$A$43)^5+$C$29)/$C$32</f>
        <v/>
      </c>
      <c r="F43" s="22">
        <f>(G$12/(1+$A$43)^1+H$12/(1+$A$43)^2+I$12/(1+$A$43)^3+J$12/(1+$A$43)^4+K$12/(1+$A$43)^5+K$8*16/(1+$A$43)^5+$C$29)/$C$32</f>
        <v/>
      </c>
      <c r="G43" s="22">
        <f>(G$12/(1+$A$43)^1+H$12/(1+$A$43)^2+I$12/(1+$A$43)^3+J$12/(1+$A$43)^4+K$12/(1+$A$43)^5+K$8*18/(1+$A$43)^5+$C$29)/$C$32</f>
        <v/>
      </c>
    </row>
    <row r="44">
      <c r="A44" s="21" t="n">
        <v>0.105</v>
      </c>
      <c r="C44" s="22">
        <f>(G$12/(1+$A$44)^1+H$12/(1+$A$44)^2+I$12/(1+$A$44)^3+J$12/(1+$A$44)^4+K$12/(1+$A$44)^5+K$8*10/(1+$A$44)^5+$C$29)/$C$32</f>
        <v/>
      </c>
      <c r="D44" s="22">
        <f>(G$12/(1+$A$44)^1+H$12/(1+$A$44)^2+I$12/(1+$A$44)^3+J$12/(1+$A$44)^4+K$12/(1+$A$44)^5+K$8*12/(1+$A$44)^5+$C$29)/$C$32</f>
        <v/>
      </c>
      <c r="E44" s="22">
        <f>(G$12/(1+$A$44)^1+H$12/(1+$A$44)^2+I$12/(1+$A$44)^3+J$12/(1+$A$44)^4+K$12/(1+$A$44)^5+K$8*14/(1+$A$44)^5+$C$29)/$C$32</f>
        <v/>
      </c>
      <c r="F44" s="22">
        <f>(G$12/(1+$A$44)^1+H$12/(1+$A$44)^2+I$12/(1+$A$44)^3+J$12/(1+$A$44)^4+K$12/(1+$A$44)^5+K$8*16/(1+$A$44)^5+$C$29)/$C$32</f>
        <v/>
      </c>
      <c r="G44" s="22">
        <f>(G$12/(1+$A$44)^1+H$12/(1+$A$44)^2+I$12/(1+$A$44)^3+J$12/(1+$A$44)^4+K$12/(1+$A$44)^5+K$8*18/(1+$A$44)^5+$C$29)/$C$32</f>
        <v/>
      </c>
    </row>
    <row r="45">
      <c r="A45" s="21" t="n">
        <v>0.115</v>
      </c>
      <c r="C45" s="22">
        <f>(G$12/(1+$A$45)^1+H$12/(1+$A$45)^2+I$12/(1+$A$45)^3+J$12/(1+$A$45)^4+K$12/(1+$A$45)^5+K$8*10/(1+$A$45)^5+$C$29)/$C$32</f>
        <v/>
      </c>
      <c r="D45" s="22">
        <f>(G$12/(1+$A$45)^1+H$12/(1+$A$45)^2+I$12/(1+$A$45)^3+J$12/(1+$A$45)^4+K$12/(1+$A$45)^5+K$8*12/(1+$A$45)^5+$C$29)/$C$32</f>
        <v/>
      </c>
      <c r="E45" s="22">
        <f>(G$12/(1+$A$45)^1+H$12/(1+$A$45)^2+I$12/(1+$A$45)^3+J$12/(1+$A$45)^4+K$12/(1+$A$45)^5+K$8*14/(1+$A$45)^5+$C$29)/$C$32</f>
        <v/>
      </c>
      <c r="F45" s="22">
        <f>(G$12/(1+$A$45)^1+H$12/(1+$A$45)^2+I$12/(1+$A$45)^3+J$12/(1+$A$45)^4+K$12/(1+$A$45)^5+K$8*16/(1+$A$45)^5+$C$29)/$C$32</f>
        <v/>
      </c>
      <c r="G45" s="22">
        <f>(G$12/(1+$A$45)^1+H$12/(1+$A$45)^2+I$12/(1+$A$45)^3+J$12/(1+$A$45)^4+K$12/(1+$A$45)^5+K$8*18/(1+$A$45)^5+$C$29)/$C$32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2026-05-12T20:54:14Z</dcterms:created>
  <dcterms:modified xmlns:dcterms="http://purl.org/dc/terms/" xmlns:xsi="http://www.w3.org/2001/XMLSchema-instance" xsi:type="dcterms:W3CDTF">2026-05-12T20:54:14Z</dcterms:modified>
</cp:coreProperties>
</file>