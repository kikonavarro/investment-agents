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Etablissements Maurel &amp; Prom S.A. (MAU_PA)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Oil &amp; Gas E&amp;P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676.48</v>
      </c>
      <c r="D7" s="5" t="n">
        <v>682.15</v>
      </c>
      <c r="E7" s="5" t="n">
        <v>808.386</v>
      </c>
      <c r="F7" s="5" t="n">
        <v>577.524</v>
      </c>
    </row>
    <row r="8">
      <c r="A8" s="4" t="inlineStr">
        <is>
          <t xml:space="preserve">  Revenue Growth - Base</t>
        </is>
      </c>
      <c r="G8" s="6" t="n">
        <v>-0.13</v>
      </c>
      <c r="H8" s="6" t="n">
        <v>-0.11</v>
      </c>
      <c r="I8" s="6" t="n">
        <v>-0.09</v>
      </c>
      <c r="J8" s="6" t="n">
        <v>-0.06999999999999999</v>
      </c>
      <c r="K8" s="6" t="n">
        <v>-0.04999999999999999</v>
      </c>
    </row>
    <row r="9">
      <c r="A9" s="4" t="inlineStr">
        <is>
          <t xml:space="preserve">  Revenue Growth - Bull</t>
        </is>
      </c>
      <c r="G9" s="6" t="n">
        <v>-0.1075</v>
      </c>
      <c r="H9" s="6" t="n">
        <v>-0.08749999999999999</v>
      </c>
      <c r="I9" s="6" t="n">
        <v>-0.0675</v>
      </c>
      <c r="J9" s="6" t="n">
        <v>-0.0475</v>
      </c>
      <c r="K9" s="6" t="n">
        <v>-0.0275</v>
      </c>
    </row>
    <row r="10">
      <c r="A10" s="4" t="inlineStr">
        <is>
          <t xml:space="preserve">  Revenue Growth - Bear</t>
        </is>
      </c>
      <c r="G10" s="6" t="n">
        <v>-0.1525</v>
      </c>
      <c r="H10" s="6" t="n">
        <v>-0.1325</v>
      </c>
      <c r="I10" s="6" t="n">
        <v>-0.1125</v>
      </c>
      <c r="J10" s="6" t="n">
        <v>-0.09249999999999999</v>
      </c>
      <c r="K10" s="6" t="n">
        <v>-0.07249999999999998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0.5866238377767949</v>
      </c>
      <c r="H15" s="6" t="n">
        <v>0.5866238377767949</v>
      </c>
      <c r="I15" s="6" t="n">
        <v>0.5866238377767949</v>
      </c>
      <c r="J15" s="6" t="n">
        <v>0.5866238377767949</v>
      </c>
      <c r="K15" s="6" t="n">
        <v>0.5866238377767949</v>
      </c>
    </row>
    <row r="16">
      <c r="A16" s="4" t="inlineStr">
        <is>
          <t>Gross Margin - Bull</t>
        </is>
      </c>
      <c r="G16" s="6" t="n">
        <v>0.596623837776795</v>
      </c>
      <c r="H16" s="6" t="n">
        <v>0.596623837776795</v>
      </c>
      <c r="I16" s="6" t="n">
        <v>0.596623837776795</v>
      </c>
      <c r="J16" s="6" t="n">
        <v>0.596623837776795</v>
      </c>
      <c r="K16" s="6" t="n">
        <v>0.596623837776795</v>
      </c>
    </row>
    <row r="17">
      <c r="A17" s="4" t="inlineStr">
        <is>
          <t>Gross Margin - Bear</t>
        </is>
      </c>
      <c r="G17" s="6" t="n">
        <v>0.5766238377767949</v>
      </c>
      <c r="H17" s="6" t="n">
        <v>0.5766238377767949</v>
      </c>
      <c r="I17" s="6" t="n">
        <v>0.5766238377767949</v>
      </c>
      <c r="J17" s="6" t="n">
        <v>0.5766238377767949</v>
      </c>
      <c r="K17" s="6" t="n">
        <v>0.5766238377767949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0.3418374739200548</v>
      </c>
      <c r="H20" s="6" t="n">
        <v>0.3418374739200548</v>
      </c>
      <c r="I20" s="6" t="n">
        <v>0.3418374739200548</v>
      </c>
      <c r="J20" s="6" t="n">
        <v>0.3418374739200548</v>
      </c>
      <c r="K20" s="6" t="n">
        <v>0.3418374739200548</v>
      </c>
    </row>
    <row r="21">
      <c r="A21" s="4" t="inlineStr">
        <is>
          <t>SG&amp;A % Revenue - Bull</t>
        </is>
      </c>
      <c r="G21" s="6" t="n">
        <v>0.3368374739200548</v>
      </c>
      <c r="H21" s="6" t="n">
        <v>0.3368374739200548</v>
      </c>
      <c r="I21" s="6" t="n">
        <v>0.3368374739200548</v>
      </c>
      <c r="J21" s="6" t="n">
        <v>0.3368374739200548</v>
      </c>
      <c r="K21" s="6" t="n">
        <v>0.3368374739200548</v>
      </c>
    </row>
    <row r="22">
      <c r="A22" s="4" t="inlineStr">
        <is>
          <t>SG&amp;A % Revenue - Bear</t>
        </is>
      </c>
      <c r="G22" s="6" t="n">
        <v>0.3468374739200548</v>
      </c>
      <c r="H22" s="6" t="n">
        <v>0.3468374739200548</v>
      </c>
      <c r="I22" s="6" t="n">
        <v>0.3468374739200548</v>
      </c>
      <c r="J22" s="6" t="n">
        <v>0.3468374739200548</v>
      </c>
      <c r="K22" s="6" t="n">
        <v>0.3468374739200548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0.1507544380785544</v>
      </c>
      <c r="H30" s="6" t="n">
        <v>0.1507544380785544</v>
      </c>
      <c r="I30" s="6" t="n">
        <v>0.1507544380785544</v>
      </c>
      <c r="J30" s="6" t="n">
        <v>0.1507544380785544</v>
      </c>
      <c r="K30" s="6" t="n">
        <v>0.1507544380785544</v>
      </c>
    </row>
    <row r="31">
      <c r="A31" s="4" t="inlineStr">
        <is>
          <t>CapEx % Revenue</t>
        </is>
      </c>
      <c r="G31" s="6" t="n">
        <v>0.1938838827825478</v>
      </c>
      <c r="H31" s="6" t="n">
        <v>0.1938838827825478</v>
      </c>
      <c r="I31" s="6" t="n">
        <v>0.1938838827825478</v>
      </c>
      <c r="J31" s="6" t="n">
        <v>0.1938838827825478</v>
      </c>
      <c r="K31" s="6" t="n">
        <v>0.1938838827825478</v>
      </c>
    </row>
    <row r="32">
      <c r="A32" s="4" t="inlineStr">
        <is>
          <t>Tax Rate</t>
        </is>
      </c>
      <c r="G32" s="6" t="n">
        <v>0.35</v>
      </c>
      <c r="H32" s="6" t="n">
        <v>0.35</v>
      </c>
      <c r="I32" s="6" t="n">
        <v>0.35</v>
      </c>
      <c r="J32" s="6" t="n">
        <v>0.35</v>
      </c>
      <c r="K32" s="6" t="n">
        <v>0.35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0.07000000000000001</v>
      </c>
    </row>
    <row r="36">
      <c r="A36" s="4" t="inlineStr">
        <is>
          <t>WACC - Bull</t>
        </is>
      </c>
      <c r="C36" s="6" t="n">
        <v>0.06</v>
      </c>
    </row>
    <row r="37">
      <c r="A37" s="4" t="inlineStr">
        <is>
          <t>WACC - Bear</t>
        </is>
      </c>
      <c r="C37" s="6" t="n">
        <v>0.08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8</v>
      </c>
    </row>
    <row r="41">
      <c r="A41" s="4" t="inlineStr">
        <is>
          <t>Terminal Value Multiple - Bull</t>
        </is>
      </c>
      <c r="C41" s="9" t="n">
        <v>10</v>
      </c>
    </row>
    <row r="42">
      <c r="A42" s="4" t="inlineStr">
        <is>
          <t>Terminal Value Multiple - Bear</t>
        </is>
      </c>
      <c r="C42" s="9" t="n">
        <v>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Etablissements Maurel &amp; Prom S.A. (MAU_PA)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676.48</v>
      </c>
      <c r="D6" s="5" t="n">
        <v>682.15</v>
      </c>
      <c r="E6" s="5" t="n">
        <v>808.386</v>
      </c>
      <c r="F6" s="5" t="n">
        <v>577.524</v>
      </c>
    </row>
    <row r="7">
      <c r="A7" s="4" t="inlineStr">
        <is>
          <t>Cost of Revenue</t>
        </is>
      </c>
      <c r="C7" s="5" t="n">
        <v>172.173</v>
      </c>
      <c r="D7" s="5" t="n">
        <v>282.67</v>
      </c>
      <c r="E7" s="5" t="n">
        <v>400.561</v>
      </c>
      <c r="F7" s="5" t="n">
        <v>282.469</v>
      </c>
    </row>
    <row r="8">
      <c r="A8" s="2" t="inlineStr">
        <is>
          <t>Gross Profit</t>
        </is>
      </c>
      <c r="C8" s="5" t="n">
        <v>504.307</v>
      </c>
      <c r="D8" s="5" t="n">
        <v>399.48</v>
      </c>
      <c r="E8" s="5" t="n">
        <v>407.825</v>
      </c>
      <c r="F8" s="5" t="n">
        <v>295.055</v>
      </c>
    </row>
    <row r="9">
      <c r="A9" s="4" t="inlineStr">
        <is>
          <t xml:space="preserve">  Gross Margin</t>
        </is>
      </c>
      <c r="C9" s="11" t="n">
        <v>0.7454869323557237</v>
      </c>
      <c r="D9" s="11" t="n">
        <v>0.5856189987539397</v>
      </c>
      <c r="E9" s="11" t="n">
        <v>0.5044929031428056</v>
      </c>
      <c r="F9" s="11" t="n">
        <v>0.5108965168547108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99.708</v>
      </c>
      <c r="D12" s="5" t="n">
        <v>0</v>
      </c>
      <c r="E12" s="5" t="n">
        <v>0</v>
      </c>
      <c r="F12" s="5" t="n">
        <v>0</v>
      </c>
    </row>
    <row r="13">
      <c r="A13" s="2" t="inlineStr">
        <is>
          <t>Operating Income (EBIT)</t>
        </is>
      </c>
      <c r="C13" s="5" t="n">
        <v>354.834</v>
      </c>
      <c r="D13" s="5" t="n">
        <v>253.225</v>
      </c>
      <c r="E13" s="5" t="n">
        <v>255.985</v>
      </c>
      <c r="F13" s="5" t="n">
        <v>141.37</v>
      </c>
    </row>
    <row r="14">
      <c r="A14" s="4" t="inlineStr">
        <is>
          <t xml:space="preserve">  EBIT Margin</t>
        </is>
      </c>
      <c r="C14" s="11" t="n">
        <v>0.5245299195837275</v>
      </c>
      <c r="D14" s="11" t="n">
        <v>0.3712160082093381</v>
      </c>
      <c r="E14" s="11" t="n">
        <v>0.3166618422387325</v>
      </c>
      <c r="F14" s="11" t="n">
        <v>0.2447863638567402</v>
      </c>
    </row>
    <row r="16">
      <c r="A16" s="4" t="inlineStr">
        <is>
          <t>Interest Expense</t>
        </is>
      </c>
      <c r="C16" s="5" t="n">
        <v>18.97</v>
      </c>
      <c r="D16" s="5" t="n">
        <v>23.007</v>
      </c>
      <c r="E16" s="5" t="n">
        <v>18.323</v>
      </c>
      <c r="F16" s="5" t="n">
        <v>16.558</v>
      </c>
    </row>
    <row r="17">
      <c r="A17" s="4" t="inlineStr">
        <is>
          <t>Tax Provision</t>
        </is>
      </c>
      <c r="C17" s="5" t="n">
        <v>145.465</v>
      </c>
      <c r="D17" s="5" t="n">
        <v>131.209</v>
      </c>
      <c r="E17" s="5" t="n">
        <v>96.76000000000001</v>
      </c>
      <c r="F17" s="5" t="n">
        <v>117.15</v>
      </c>
    </row>
    <row r="18">
      <c r="A18" s="2" t="inlineStr">
        <is>
          <t>Net Income</t>
        </is>
      </c>
      <c r="C18" s="5" t="n">
        <v>204.817</v>
      </c>
      <c r="D18" s="5" t="n">
        <v>210.195</v>
      </c>
      <c r="E18" s="5" t="n">
        <v>233.183</v>
      </c>
      <c r="F18" s="5" t="n">
        <v>410.079</v>
      </c>
    </row>
    <row r="19">
      <c r="A19" s="4" t="inlineStr">
        <is>
          <t xml:space="preserve">  Net Margin</t>
        </is>
      </c>
      <c r="C19" s="11" t="n">
        <v>0.3027687440870388</v>
      </c>
      <c r="D19" s="11" t="n">
        <v>0.3081360404603093</v>
      </c>
      <c r="E19" s="11" t="n">
        <v>0.288455020250227</v>
      </c>
      <c r="F19" s="11" t="n">
        <v>0.7100639973403703</v>
      </c>
    </row>
    <row r="21">
      <c r="A21" s="2" t="inlineStr">
        <is>
          <t>EBITDA</t>
        </is>
      </c>
      <c r="C21" s="5" t="n">
        <v>430.62</v>
      </c>
      <c r="D21" s="5" t="n">
        <v>321.863</v>
      </c>
      <c r="E21" s="5" t="n">
        <v>340.516</v>
      </c>
      <c r="F21" s="5" t="n">
        <v>515.074</v>
      </c>
    </row>
    <row r="22">
      <c r="A22" s="4" t="inlineStr">
        <is>
          <t xml:space="preserve">  EBITDA Margin</t>
        </is>
      </c>
      <c r="C22" s="11" t="n">
        <v>0.6365598391674551</v>
      </c>
      <c r="D22" s="11" t="n">
        <v>0.4718361064282049</v>
      </c>
      <c r="E22" s="11" t="n">
        <v>0.4212294621628777</v>
      </c>
      <c r="F22" s="11" t="n">
        <v>0.891865965743415</v>
      </c>
    </row>
    <row r="23">
      <c r="A23" s="4" t="inlineStr">
        <is>
          <t>Diluted EPS</t>
        </is>
      </c>
      <c r="C23" s="12" t="n">
        <v>1.03</v>
      </c>
      <c r="D23" s="12" t="n">
        <v>1.05</v>
      </c>
      <c r="E23" s="12" t="n">
        <v>1.17</v>
      </c>
      <c r="F23" s="12" t="n">
        <v>2.05</v>
      </c>
    </row>
    <row r="24">
      <c r="A24" s="4" t="inlineStr">
        <is>
          <t>D&amp;A</t>
        </is>
      </c>
      <c r="C24" s="5" t="n">
        <v>82.699</v>
      </c>
      <c r="D24" s="5" t="n">
        <v>125.869</v>
      </c>
      <c r="E24" s="5" t="n">
        <v>86.735</v>
      </c>
      <c r="F24" s="5" t="n">
        <v>109.127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137.825</v>
      </c>
      <c r="D28" s="5" t="n">
        <v>97.313</v>
      </c>
      <c r="E28" s="5" t="n">
        <v>193.445</v>
      </c>
      <c r="F28" s="5" t="n">
        <v>460.249</v>
      </c>
    </row>
    <row r="29">
      <c r="A29" s="4" t="inlineStr">
        <is>
          <t>Current Assets</t>
        </is>
      </c>
      <c r="C29" s="5" t="n">
        <v>369.515</v>
      </c>
      <c r="D29" s="5" t="n">
        <v>405.071</v>
      </c>
      <c r="E29" s="5" t="n">
        <v>468.092</v>
      </c>
      <c r="F29" s="5" t="n">
        <v>987.554</v>
      </c>
    </row>
    <row r="30">
      <c r="A30" s="4" t="inlineStr">
        <is>
          <t>Net PP&amp;E</t>
        </is>
      </c>
      <c r="C30" s="5" t="n">
        <v>836.7380000000001</v>
      </c>
      <c r="D30" s="5" t="n">
        <v>877.977</v>
      </c>
      <c r="E30" s="5" t="n">
        <v>871.65</v>
      </c>
      <c r="F30" s="5" t="n">
        <v>955.389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1677.664</v>
      </c>
      <c r="D32" s="5" t="n">
        <v>1862.154</v>
      </c>
      <c r="E32" s="5" t="n">
        <v>2030.458</v>
      </c>
      <c r="F32" s="5" t="n">
        <v>2482.083</v>
      </c>
    </row>
    <row r="34">
      <c r="A34" s="4" t="inlineStr">
        <is>
          <t>Current Liabilities</t>
        </is>
      </c>
      <c r="C34" s="5" t="n">
        <v>344.585</v>
      </c>
      <c r="D34" s="5" t="n">
        <v>325.003</v>
      </c>
      <c r="E34" s="5" t="n">
        <v>368.472</v>
      </c>
      <c r="F34" s="5" t="n">
        <v>541.471</v>
      </c>
    </row>
    <row r="35">
      <c r="A35" s="4" t="inlineStr">
        <is>
          <t>Total Debt</t>
        </is>
      </c>
      <c r="C35" s="5" t="n">
        <v>343.22</v>
      </c>
      <c r="D35" s="5" t="n">
        <v>226.791</v>
      </c>
      <c r="E35" s="5" t="n">
        <v>168.517</v>
      </c>
      <c r="F35" s="5" t="n">
        <v>285.962</v>
      </c>
    </row>
    <row r="36">
      <c r="A36" s="2" t="inlineStr">
        <is>
          <t>Total Liabilities</t>
        </is>
      </c>
      <c r="C36" s="5" t="n">
        <v>807.198</v>
      </c>
      <c r="D36" s="5" t="n">
        <v>807.924</v>
      </c>
      <c r="E36" s="5" t="n">
        <v>826.621</v>
      </c>
      <c r="F36" s="5" t="n">
        <v>936.087</v>
      </c>
    </row>
    <row r="38">
      <c r="A38" s="2" t="inlineStr">
        <is>
          <t>Total Equity</t>
        </is>
      </c>
      <c r="C38" s="5" t="n">
        <v>870.466</v>
      </c>
      <c r="D38" s="5" t="n">
        <v>1054.23</v>
      </c>
      <c r="E38" s="5" t="n">
        <v>1203.837</v>
      </c>
      <c r="F38" s="5" t="n">
        <v>1545.996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365.895</v>
      </c>
      <c r="D42" s="5" t="n">
        <v>270.335</v>
      </c>
      <c r="E42" s="5" t="n">
        <v>272.216</v>
      </c>
      <c r="F42" s="5" t="n">
        <v>162.253</v>
      </c>
    </row>
    <row r="43">
      <c r="A43" s="4" t="inlineStr">
        <is>
          <t>Capital Expenditure</t>
        </is>
      </c>
      <c r="C43" s="5" t="n">
        <v>-102.512</v>
      </c>
      <c r="D43" s="5" t="n">
        <v>-145.756</v>
      </c>
      <c r="E43" s="5" t="n">
        <v>-140.737</v>
      </c>
      <c r="F43" s="5" t="n">
        <v>-183.978</v>
      </c>
    </row>
    <row r="44">
      <c r="A44" s="2" t="inlineStr">
        <is>
          <t>Free Cash Flow</t>
        </is>
      </c>
      <c r="C44" s="5" t="n">
        <v>263.383</v>
      </c>
      <c r="D44" s="5" t="n">
        <v>124.579</v>
      </c>
      <c r="E44" s="5" t="n">
        <v>131.479</v>
      </c>
      <c r="F44" s="5" t="n">
        <v>-21.725</v>
      </c>
    </row>
    <row r="46">
      <c r="A46" s="4" t="inlineStr">
        <is>
          <t>D&amp;A</t>
        </is>
      </c>
      <c r="C46" s="5" t="n">
        <v>82.699</v>
      </c>
      <c r="D46" s="5" t="n">
        <v>125.869</v>
      </c>
      <c r="E46" s="5" t="n">
        <v>86.735</v>
      </c>
      <c r="F46" s="5" t="n">
        <v>109.127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34.466</v>
      </c>
      <c r="D48" s="5" t="n">
        <v>9.449</v>
      </c>
      <c r="E48" s="5" t="n">
        <v>-12.499</v>
      </c>
      <c r="F48" s="5" t="n">
        <v>27.528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Etablissements Maurel &amp; Prom S.A. (MAU_PA)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Oil &amp; Gas E&amp;P</t>
        </is>
      </c>
      <c r="C8" s="5" t="n">
        <v>676.48</v>
      </c>
      <c r="D8" s="5" t="n">
        <v>682.15</v>
      </c>
      <c r="E8" s="5" t="n">
        <v>808.386</v>
      </c>
      <c r="F8" s="5" t="n">
        <v>577.524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172.173</v>
      </c>
      <c r="D16" s="5" t="n">
        <v>282.67</v>
      </c>
      <c r="E16" s="5" t="n">
        <v>400.561</v>
      </c>
      <c r="F16" s="5" t="n">
        <v>282.469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99.708</v>
      </c>
      <c r="D20" s="5" t="n">
        <v>0</v>
      </c>
      <c r="E20" s="5" t="n">
        <v>0</v>
      </c>
      <c r="F20" s="5" t="n">
        <v>0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82.699</v>
      </c>
      <c r="D22" s="5" t="n">
        <v>125.869</v>
      </c>
      <c r="E22" s="5" t="n">
        <v>86.735</v>
      </c>
      <c r="F22" s="5" t="n">
        <v>109.127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18.97</v>
      </c>
      <c r="D29" s="5" t="n">
        <v>23.007</v>
      </c>
      <c r="E29" s="5" t="n">
        <v>18.323</v>
      </c>
      <c r="F29" s="5" t="n">
        <v>16.558</v>
      </c>
      <c r="G29" s="5" t="n">
        <v>16.558</v>
      </c>
      <c r="H29" s="5" t="n">
        <v>16.558</v>
      </c>
      <c r="I29" s="5" t="n">
        <v>16.558</v>
      </c>
      <c r="J29" s="5" t="n">
        <v>16.558</v>
      </c>
      <c r="K29" s="5" t="n">
        <v>16.558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145.465</v>
      </c>
      <c r="D31" s="5" t="n">
        <v>131.209</v>
      </c>
      <c r="E31" s="5" t="n">
        <v>96.76000000000001</v>
      </c>
      <c r="F31" s="5" t="n">
        <v>117.15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34.466</v>
      </c>
      <c r="D39" s="5" t="n">
        <v>9.449</v>
      </c>
      <c r="E39" s="5" t="n">
        <v>-12.499</v>
      </c>
      <c r="F39" s="5" t="n">
        <v>27.528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-102.512</v>
      </c>
      <c r="D42" s="5" t="n">
        <v>-145.756</v>
      </c>
      <c r="E42" s="5" t="n">
        <v>-140.737</v>
      </c>
      <c r="F42" s="5" t="n">
        <v>-183.978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Etablissements Maurel &amp; Prom S.A. (MAU_PA)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10.92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174.287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199.530081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C33/10.92-1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0.04000000000000001</v>
      </c>
      <c r="C39" s="22">
        <f>(G$12/(1+$A$39)^1+H$12/(1+$A$39)^2+I$12/(1+$A$39)^3+J$12/(1+$A$39)^4+K$12/(1+$A$39)^5+K$8*4/(1+$A$39)^5+$C$29)/$C$32</f>
        <v/>
      </c>
      <c r="D39" s="22">
        <f>(G$12/(1+$A$39)^1+H$12/(1+$A$39)^2+I$12/(1+$A$39)^3+J$12/(1+$A$39)^4+K$12/(1+$A$39)^5+K$8*6/(1+$A$39)^5+$C$29)/$C$32</f>
        <v/>
      </c>
      <c r="E39" s="22">
        <f>(G$12/(1+$A$39)^1+H$12/(1+$A$39)^2+I$12/(1+$A$39)^3+J$12/(1+$A$39)^4+K$12/(1+$A$39)^5+K$8*8/(1+$A$39)^5+$C$29)/$C$32</f>
        <v/>
      </c>
      <c r="F39" s="22">
        <f>(G$12/(1+$A$39)^1+H$12/(1+$A$39)^2+I$12/(1+$A$39)^3+J$12/(1+$A$39)^4+K$12/(1+$A$39)^5+K$8*10/(1+$A$39)^5+$C$29)/$C$32</f>
        <v/>
      </c>
      <c r="G39" s="22">
        <f>(G$12/(1+$A$39)^1+H$12/(1+$A$39)^2+I$12/(1+$A$39)^3+J$12/(1+$A$39)^4+K$12/(1+$A$39)^5+K$8*12/(1+$A$39)^5+$C$29)/$C$32</f>
        <v/>
      </c>
    </row>
    <row r="40">
      <c r="A40" s="21" t="n">
        <v>0.05</v>
      </c>
      <c r="C40" s="22">
        <f>(G$12/(1+$A$40)^1+H$12/(1+$A$40)^2+I$12/(1+$A$40)^3+J$12/(1+$A$40)^4+K$12/(1+$A$40)^5+K$8*4/(1+$A$40)^5+$C$29)/$C$32</f>
        <v/>
      </c>
      <c r="D40" s="22">
        <f>(G$12/(1+$A$40)^1+H$12/(1+$A$40)^2+I$12/(1+$A$40)^3+J$12/(1+$A$40)^4+K$12/(1+$A$40)^5+K$8*6/(1+$A$40)^5+$C$29)/$C$32</f>
        <v/>
      </c>
      <c r="E40" s="22">
        <f>(G$12/(1+$A$40)^1+H$12/(1+$A$40)^2+I$12/(1+$A$40)^3+J$12/(1+$A$40)^4+K$12/(1+$A$40)^5+K$8*8/(1+$A$40)^5+$C$29)/$C$32</f>
        <v/>
      </c>
      <c r="F40" s="22">
        <f>(G$12/(1+$A$40)^1+H$12/(1+$A$40)^2+I$12/(1+$A$40)^3+J$12/(1+$A$40)^4+K$12/(1+$A$40)^5+K$8*10/(1+$A$40)^5+$C$29)/$C$32</f>
        <v/>
      </c>
      <c r="G40" s="22">
        <f>(G$12/(1+$A$40)^1+H$12/(1+$A$40)^2+I$12/(1+$A$40)^3+J$12/(1+$A$40)^4+K$12/(1+$A$40)^5+K$8*12/(1+$A$40)^5+$C$29)/$C$32</f>
        <v/>
      </c>
    </row>
    <row r="41">
      <c r="A41" s="21" t="n">
        <v>0.06</v>
      </c>
      <c r="C41" s="22">
        <f>(G$12/(1+$A$41)^1+H$12/(1+$A$41)^2+I$12/(1+$A$41)^3+J$12/(1+$A$41)^4+K$12/(1+$A$41)^5+K$8*4/(1+$A$41)^5+$C$29)/$C$32</f>
        <v/>
      </c>
      <c r="D41" s="22">
        <f>(G$12/(1+$A$41)^1+H$12/(1+$A$41)^2+I$12/(1+$A$41)^3+J$12/(1+$A$41)^4+K$12/(1+$A$41)^5+K$8*6/(1+$A$41)^5+$C$29)/$C$32</f>
        <v/>
      </c>
      <c r="E41" s="22">
        <f>(G$12/(1+$A$41)^1+H$12/(1+$A$41)^2+I$12/(1+$A$41)^3+J$12/(1+$A$41)^4+K$12/(1+$A$41)^5+K$8*8/(1+$A$41)^5+$C$29)/$C$32</f>
        <v/>
      </c>
      <c r="F41" s="22">
        <f>(G$12/(1+$A$41)^1+H$12/(1+$A$41)^2+I$12/(1+$A$41)^3+J$12/(1+$A$41)^4+K$12/(1+$A$41)^5+K$8*10/(1+$A$41)^5+$C$29)/$C$32</f>
        <v/>
      </c>
      <c r="G41" s="22">
        <f>(G$12/(1+$A$41)^1+H$12/(1+$A$41)^2+I$12/(1+$A$41)^3+J$12/(1+$A$41)^4+K$12/(1+$A$41)^5+K$8*12/(1+$A$41)^5+$C$29)/$C$32</f>
        <v/>
      </c>
    </row>
    <row r="42">
      <c r="A42" s="21" t="n">
        <v>0.07000000000000001</v>
      </c>
      <c r="C42" s="22">
        <f>(G$12/(1+$A$42)^1+H$12/(1+$A$42)^2+I$12/(1+$A$42)^3+J$12/(1+$A$42)^4+K$12/(1+$A$42)^5+K$8*4/(1+$A$42)^5+$C$29)/$C$32</f>
        <v/>
      </c>
      <c r="D42" s="22">
        <f>(G$12/(1+$A$42)^1+H$12/(1+$A$42)^2+I$12/(1+$A$42)^3+J$12/(1+$A$42)^4+K$12/(1+$A$42)^5+K$8*6/(1+$A$42)^5+$C$29)/$C$32</f>
        <v/>
      </c>
      <c r="E42" s="23">
        <f>(G$12/(1+$A$42)^1+H$12/(1+$A$42)^2+I$12/(1+$A$42)^3+J$12/(1+$A$42)^4+K$12/(1+$A$42)^5+K$8*8/(1+$A$42)^5+$C$29)/$C$32</f>
        <v/>
      </c>
      <c r="F42" s="22">
        <f>(G$12/(1+$A$42)^1+H$12/(1+$A$42)^2+I$12/(1+$A$42)^3+J$12/(1+$A$42)^4+K$12/(1+$A$42)^5+K$8*10/(1+$A$42)^5+$C$29)/$C$32</f>
        <v/>
      </c>
      <c r="G42" s="22">
        <f>(G$12/(1+$A$42)^1+H$12/(1+$A$42)^2+I$12/(1+$A$42)^3+J$12/(1+$A$42)^4+K$12/(1+$A$42)^5+K$8*12/(1+$A$42)^5+$C$29)/$C$32</f>
        <v/>
      </c>
    </row>
    <row r="43">
      <c r="A43" s="21" t="n">
        <v>0.08</v>
      </c>
      <c r="C43" s="22">
        <f>(G$12/(1+$A$43)^1+H$12/(1+$A$43)^2+I$12/(1+$A$43)^3+J$12/(1+$A$43)^4+K$12/(1+$A$43)^5+K$8*4/(1+$A$43)^5+$C$29)/$C$32</f>
        <v/>
      </c>
      <c r="D43" s="22">
        <f>(G$12/(1+$A$43)^1+H$12/(1+$A$43)^2+I$12/(1+$A$43)^3+J$12/(1+$A$43)^4+K$12/(1+$A$43)^5+K$8*6/(1+$A$43)^5+$C$29)/$C$32</f>
        <v/>
      </c>
      <c r="E43" s="22">
        <f>(G$12/(1+$A$43)^1+H$12/(1+$A$43)^2+I$12/(1+$A$43)^3+J$12/(1+$A$43)^4+K$12/(1+$A$43)^5+K$8*8/(1+$A$43)^5+$C$29)/$C$32</f>
        <v/>
      </c>
      <c r="F43" s="22">
        <f>(G$12/(1+$A$43)^1+H$12/(1+$A$43)^2+I$12/(1+$A$43)^3+J$12/(1+$A$43)^4+K$12/(1+$A$43)^5+K$8*10/(1+$A$43)^5+$C$29)/$C$32</f>
        <v/>
      </c>
      <c r="G43" s="22">
        <f>(G$12/(1+$A$43)^1+H$12/(1+$A$43)^2+I$12/(1+$A$43)^3+J$12/(1+$A$43)^4+K$12/(1+$A$43)^5+K$8*12/(1+$A$43)^5+$C$29)/$C$32</f>
        <v/>
      </c>
    </row>
    <row r="44">
      <c r="A44" s="21" t="n">
        <v>0.09000000000000001</v>
      </c>
      <c r="C44" s="22">
        <f>(G$12/(1+$A$44)^1+H$12/(1+$A$44)^2+I$12/(1+$A$44)^3+J$12/(1+$A$44)^4+K$12/(1+$A$44)^5+K$8*4/(1+$A$44)^5+$C$29)/$C$32</f>
        <v/>
      </c>
      <c r="D44" s="22">
        <f>(G$12/(1+$A$44)^1+H$12/(1+$A$44)^2+I$12/(1+$A$44)^3+J$12/(1+$A$44)^4+K$12/(1+$A$44)^5+K$8*6/(1+$A$44)^5+$C$29)/$C$32</f>
        <v/>
      </c>
      <c r="E44" s="22">
        <f>(G$12/(1+$A$44)^1+H$12/(1+$A$44)^2+I$12/(1+$A$44)^3+J$12/(1+$A$44)^4+K$12/(1+$A$44)^5+K$8*8/(1+$A$44)^5+$C$29)/$C$32</f>
        <v/>
      </c>
      <c r="F44" s="22">
        <f>(G$12/(1+$A$44)^1+H$12/(1+$A$44)^2+I$12/(1+$A$44)^3+J$12/(1+$A$44)^4+K$12/(1+$A$44)^5+K$8*10/(1+$A$44)^5+$C$29)/$C$32</f>
        <v/>
      </c>
      <c r="G44" s="22">
        <f>(G$12/(1+$A$44)^1+H$12/(1+$A$44)^2+I$12/(1+$A$44)^3+J$12/(1+$A$44)^4+K$12/(1+$A$44)^5+K$8*12/(1+$A$44)^5+$C$29)/$C$32</f>
        <v/>
      </c>
    </row>
    <row r="45">
      <c r="A45" s="21" t="n">
        <v>0.1</v>
      </c>
      <c r="C45" s="22">
        <f>(G$12/(1+$A$45)^1+H$12/(1+$A$45)^2+I$12/(1+$A$45)^3+J$12/(1+$A$45)^4+K$12/(1+$A$45)^5+K$8*4/(1+$A$45)^5+$C$29)/$C$32</f>
        <v/>
      </c>
      <c r="D45" s="22">
        <f>(G$12/(1+$A$45)^1+H$12/(1+$A$45)^2+I$12/(1+$A$45)^3+J$12/(1+$A$45)^4+K$12/(1+$A$45)^5+K$8*6/(1+$A$45)^5+$C$29)/$C$32</f>
        <v/>
      </c>
      <c r="E45" s="22">
        <f>(G$12/(1+$A$45)^1+H$12/(1+$A$45)^2+I$12/(1+$A$45)^3+J$12/(1+$A$45)^4+K$12/(1+$A$45)^5+K$8*8/(1+$A$45)^5+$C$29)/$C$32</f>
        <v/>
      </c>
      <c r="F45" s="22">
        <f>(G$12/(1+$A$45)^1+H$12/(1+$A$45)^2+I$12/(1+$A$45)^3+J$12/(1+$A$45)^4+K$12/(1+$A$45)^5+K$8*10/(1+$A$45)^5+$C$29)/$C$32</f>
        <v/>
      </c>
      <c r="G45" s="22">
        <f>(G$12/(1+$A$45)^1+H$12/(1+$A$45)^2+I$12/(1+$A$45)^3+J$12/(1+$A$45)^4+K$12/(1+$A$45)^5+K$8*12/(1+$A$45)^5+$C$29)/$C$32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2026-04-04T17:02:12Z</dcterms:created>
  <dcterms:modified xmlns:dcterms="http://purl.org/dc/terms/" xmlns:xsi="http://www.w3.org/2001/XMLSchema-instance" xsi:type="dcterms:W3CDTF">2026-04-04T17:02:12Z</dcterms:modified>
</cp:coreProperties>
</file>