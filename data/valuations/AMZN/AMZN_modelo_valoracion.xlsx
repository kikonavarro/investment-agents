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Amazon.com, Inc. (AMZN)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Internet Retail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513983</v>
      </c>
      <c r="D7" s="5" t="n">
        <v>574785</v>
      </c>
      <c r="E7" s="5" t="n">
        <v>637959</v>
      </c>
      <c r="F7" s="5" t="n">
        <v>716924</v>
      </c>
    </row>
    <row r="8">
      <c r="A8" s="4" t="inlineStr">
        <is>
          <t xml:space="preserve">  Revenue Growth - Base</t>
        </is>
      </c>
      <c r="G8" s="6" t="n">
        <v>0.1173</v>
      </c>
      <c r="H8" s="6" t="n">
        <v>0.1056</v>
      </c>
      <c r="I8" s="6" t="n">
        <v>0.09379999999999999</v>
      </c>
      <c r="J8" s="6" t="n">
        <v>0.08210000000000001</v>
      </c>
      <c r="K8" s="6" t="n">
        <v>0.0704</v>
      </c>
    </row>
    <row r="9">
      <c r="A9" s="4" t="inlineStr">
        <is>
          <t xml:space="preserve">  Revenue Growth - Bull</t>
        </is>
      </c>
      <c r="G9" s="6" t="n">
        <v>0.1173</v>
      </c>
      <c r="H9" s="6" t="n">
        <v>0.1056</v>
      </c>
      <c r="I9" s="6" t="n">
        <v>0.09379999999999999</v>
      </c>
      <c r="J9" s="6" t="n">
        <v>0.08210000000000001</v>
      </c>
      <c r="K9" s="6" t="n">
        <v>0.0704</v>
      </c>
    </row>
    <row r="10">
      <c r="A10" s="4" t="inlineStr">
        <is>
          <t xml:space="preserve">  Revenue Growth - Bear</t>
        </is>
      </c>
      <c r="G10" s="6" t="n">
        <v>0.1173</v>
      </c>
      <c r="H10" s="6" t="n">
        <v>0.1056</v>
      </c>
      <c r="I10" s="6" t="n">
        <v>0.09379999999999999</v>
      </c>
      <c r="J10" s="6" t="n">
        <v>0.08210000000000001</v>
      </c>
      <c r="K10" s="6" t="n">
        <v>0.0704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0.4748187178818158</v>
      </c>
      <c r="H15" s="6" t="n">
        <v>0.4748187178818158</v>
      </c>
      <c r="I15" s="6" t="n">
        <v>0.4748187178818158</v>
      </c>
      <c r="J15" s="6" t="n">
        <v>0.4748187178818158</v>
      </c>
      <c r="K15" s="6" t="n">
        <v>0.4748187178818158</v>
      </c>
    </row>
    <row r="16">
      <c r="A16" s="4" t="inlineStr">
        <is>
          <t>Gross Margin - Bull</t>
        </is>
      </c>
      <c r="G16" s="6" t="n">
        <v>0.4748187178818158</v>
      </c>
      <c r="H16" s="6" t="n">
        <v>0.4748187178818158</v>
      </c>
      <c r="I16" s="6" t="n">
        <v>0.4748187178818158</v>
      </c>
      <c r="J16" s="6" t="n">
        <v>0.4748187178818158</v>
      </c>
      <c r="K16" s="6" t="n">
        <v>0.4748187178818158</v>
      </c>
    </row>
    <row r="17">
      <c r="A17" s="4" t="inlineStr">
        <is>
          <t>Gross Margin - Bear</t>
        </is>
      </c>
      <c r="G17" s="6" t="n">
        <v>0.4748187178818158</v>
      </c>
      <c r="H17" s="6" t="n">
        <v>0.4748187178818158</v>
      </c>
      <c r="I17" s="6" t="n">
        <v>0.4748187178818158</v>
      </c>
      <c r="J17" s="6" t="n">
        <v>0.4748187178818158</v>
      </c>
      <c r="K17" s="6" t="n">
        <v>0.4748187178818158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0.09275364472882086</v>
      </c>
      <c r="H20" s="6" t="n">
        <v>0.09275364472882086</v>
      </c>
      <c r="I20" s="6" t="n">
        <v>0.09275364472882086</v>
      </c>
      <c r="J20" s="6" t="n">
        <v>0.09275364472882086</v>
      </c>
      <c r="K20" s="6" t="n">
        <v>0.09275364472882086</v>
      </c>
    </row>
    <row r="21">
      <c r="A21" s="4" t="inlineStr">
        <is>
          <t>SG&amp;A % Revenue - Bull</t>
        </is>
      </c>
      <c r="G21" s="6" t="n">
        <v>0.09275364472882086</v>
      </c>
      <c r="H21" s="6" t="n">
        <v>0.09275364472882086</v>
      </c>
      <c r="I21" s="6" t="n">
        <v>0.09275364472882086</v>
      </c>
      <c r="J21" s="6" t="n">
        <v>0.09275364472882086</v>
      </c>
      <c r="K21" s="6" t="n">
        <v>0.09275364472882086</v>
      </c>
    </row>
    <row r="22">
      <c r="A22" s="4" t="inlineStr">
        <is>
          <t>SG&amp;A % Revenue - Bear</t>
        </is>
      </c>
      <c r="G22" s="6" t="n">
        <v>0.09275364472882086</v>
      </c>
      <c r="H22" s="6" t="n">
        <v>0.09275364472882086</v>
      </c>
      <c r="I22" s="6" t="n">
        <v>0.09275364472882086</v>
      </c>
      <c r="J22" s="6" t="n">
        <v>0.09275364472882086</v>
      </c>
      <c r="K22" s="6" t="n">
        <v>0.09275364472882086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0.08517493762833935</v>
      </c>
      <c r="H30" s="6" t="n">
        <v>0.08517493762833935</v>
      </c>
      <c r="I30" s="6" t="n">
        <v>0.08517493762833935</v>
      </c>
      <c r="J30" s="6" t="n">
        <v>0.08517493762833935</v>
      </c>
      <c r="K30" s="6" t="n">
        <v>0.08517493762833935</v>
      </c>
    </row>
    <row r="31">
      <c r="A31" s="4" t="inlineStr">
        <is>
          <t>CapEx % Revenue</t>
        </is>
      </c>
      <c r="G31" s="6" t="n">
        <v>0.1269639449234234</v>
      </c>
      <c r="H31" s="6" t="n">
        <v>0.1269639449234234</v>
      </c>
      <c r="I31" s="6" t="n">
        <v>0.1269639449234234</v>
      </c>
      <c r="J31" s="6" t="n">
        <v>0.1269639449234234</v>
      </c>
      <c r="K31" s="6" t="n">
        <v>0.1269639449234234</v>
      </c>
    </row>
    <row r="32">
      <c r="A32" s="4" t="inlineStr">
        <is>
          <t>Tax Rate</t>
        </is>
      </c>
      <c r="G32" s="6" t="n">
        <v>0.21</v>
      </c>
      <c r="H32" s="6" t="n">
        <v>0.21</v>
      </c>
      <c r="I32" s="6" t="n">
        <v>0.21</v>
      </c>
      <c r="J32" s="6" t="n">
        <v>0.21</v>
      </c>
      <c r="K32" s="6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12</v>
      </c>
    </row>
    <row r="42">
      <c r="A42" s="4" t="inlineStr">
        <is>
          <t>Terminal Value Multiple - Bear</t>
        </is>
      </c>
      <c r="C42" s="9" t="n">
        <v>12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Amazon.com, Inc. (AMZN)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513983</v>
      </c>
      <c r="D6" s="5" t="n">
        <v>574785</v>
      </c>
      <c r="E6" s="5" t="n">
        <v>637959</v>
      </c>
      <c r="F6" s="5" t="n">
        <v>716924</v>
      </c>
    </row>
    <row r="7">
      <c r="A7" s="4" t="inlineStr">
        <is>
          <t>Cost of Revenue</t>
        </is>
      </c>
      <c r="C7" s="5" t="n">
        <v>288831</v>
      </c>
      <c r="D7" s="5" t="n">
        <v>304739</v>
      </c>
      <c r="E7" s="5" t="n">
        <v>326288</v>
      </c>
      <c r="F7" s="5" t="n">
        <v>356414</v>
      </c>
    </row>
    <row r="8">
      <c r="A8" s="2" t="inlineStr">
        <is>
          <t>Gross Profit</t>
        </is>
      </c>
      <c r="C8" s="5" t="n">
        <v>225152</v>
      </c>
      <c r="D8" s="5" t="n">
        <v>270046</v>
      </c>
      <c r="E8" s="5" t="n">
        <v>311671</v>
      </c>
      <c r="F8" s="5" t="n">
        <v>360510</v>
      </c>
    </row>
    <row r="9">
      <c r="A9" s="4" t="inlineStr">
        <is>
          <t xml:space="preserve">  Gross Margin</t>
        </is>
      </c>
      <c r="C9" s="11" t="n">
        <v>0.4380533986532629</v>
      </c>
      <c r="D9" s="11" t="n">
        <v>0.4698208895500057</v>
      </c>
      <c r="E9" s="11" t="n">
        <v>0.4885439346415679</v>
      </c>
      <c r="F9" s="11" t="n">
        <v>0.5028566486824266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54129</v>
      </c>
      <c r="D12" s="5" t="n">
        <v>56186</v>
      </c>
      <c r="E12" s="5" t="n">
        <v>55266</v>
      </c>
      <c r="F12" s="5" t="n">
        <v>58301</v>
      </c>
    </row>
    <row r="13">
      <c r="A13" s="2" t="inlineStr">
        <is>
          <t>Operating Income (EBIT)</t>
        </is>
      </c>
      <c r="C13" s="5" t="n">
        <v>12248</v>
      </c>
      <c r="D13" s="5" t="n">
        <v>36852</v>
      </c>
      <c r="E13" s="5" t="n">
        <v>68593</v>
      </c>
      <c r="F13" s="5" t="n">
        <v>79975</v>
      </c>
    </row>
    <row r="14">
      <c r="A14" s="4" t="inlineStr">
        <is>
          <t xml:space="preserve">  EBIT Margin</t>
        </is>
      </c>
      <c r="C14" s="11" t="n">
        <v>0.02382958191224223</v>
      </c>
      <c r="D14" s="11" t="n">
        <v>0.0641144079960333</v>
      </c>
      <c r="E14" s="11" t="n">
        <v>0.1075194487420038</v>
      </c>
      <c r="F14" s="11" t="n">
        <v>0.111552967957552</v>
      </c>
    </row>
    <row r="16">
      <c r="A16" s="4" t="inlineStr">
        <is>
          <t>Interest Expense</t>
        </is>
      </c>
      <c r="C16" s="5" t="n">
        <v>2367</v>
      </c>
      <c r="D16" s="5" t="n">
        <v>3182</v>
      </c>
      <c r="E16" s="5" t="n">
        <v>2406</v>
      </c>
      <c r="F16" s="5" t="n">
        <v>2274</v>
      </c>
    </row>
    <row r="17">
      <c r="A17" s="4" t="inlineStr">
        <is>
          <t>Tax Provision</t>
        </is>
      </c>
      <c r="C17" s="5" t="n">
        <v>0</v>
      </c>
      <c r="D17" s="5" t="n">
        <v>0</v>
      </c>
      <c r="E17" s="5" t="n">
        <v>0</v>
      </c>
      <c r="F17" s="5" t="n">
        <v>0</v>
      </c>
    </row>
    <row r="18">
      <c r="A18" s="2" t="inlineStr">
        <is>
          <t>Net Income</t>
        </is>
      </c>
      <c r="C18" s="5" t="n">
        <v>-2722</v>
      </c>
      <c r="D18" s="5" t="n">
        <v>30425</v>
      </c>
      <c r="E18" s="5" t="n">
        <v>59248</v>
      </c>
      <c r="F18" s="5" t="n">
        <v>77670</v>
      </c>
    </row>
    <row r="19">
      <c r="A19" s="4" t="inlineStr">
        <is>
          <t xml:space="preserve">  Net Margin</t>
        </is>
      </c>
      <c r="C19" s="11" t="n">
        <v>-0.005295895000418302</v>
      </c>
      <c r="D19" s="11" t="n">
        <v>0.05293283575597832</v>
      </c>
      <c r="E19" s="11" t="n">
        <v>0.09287117197186653</v>
      </c>
      <c r="F19" s="11" t="n">
        <v>0.1083378433418326</v>
      </c>
    </row>
    <row r="21">
      <c r="A21" s="2" t="inlineStr">
        <is>
          <t>EBITDA</t>
        </is>
      </c>
      <c r="C21" s="5" t="n">
        <v>38352</v>
      </c>
      <c r="D21" s="5" t="n">
        <v>89402</v>
      </c>
      <c r="E21" s="5" t="n">
        <v>123815</v>
      </c>
      <c r="F21" s="5" t="n">
        <v>165341</v>
      </c>
    </row>
    <row r="22">
      <c r="A22" s="4" t="inlineStr">
        <is>
          <t xml:space="preserve">  EBITDA Margin</t>
        </is>
      </c>
      <c r="C22" s="11" t="n">
        <v>0.07461725387804655</v>
      </c>
      <c r="D22" s="11" t="n">
        <v>0.1555398975269014</v>
      </c>
      <c r="E22" s="11" t="n">
        <v>0.194079870336495</v>
      </c>
      <c r="F22" s="11" t="n">
        <v>0.2306255614263158</v>
      </c>
    </row>
    <row r="23">
      <c r="A23" s="4" t="inlineStr">
        <is>
          <t>Diluted EPS</t>
        </is>
      </c>
      <c r="C23" s="12" t="n">
        <v>-0.27</v>
      </c>
      <c r="D23" s="12" t="n">
        <v>2.9</v>
      </c>
      <c r="E23" s="12" t="n">
        <v>5.53</v>
      </c>
      <c r="F23" s="12" t="n">
        <v>7.17</v>
      </c>
    </row>
    <row r="24">
      <c r="A24" s="4" t="inlineStr">
        <is>
          <t>D&amp;A</t>
        </is>
      </c>
      <c r="C24" s="5" t="n">
        <v>41921</v>
      </c>
      <c r="D24" s="5" t="n">
        <v>48663</v>
      </c>
      <c r="E24" s="5" t="n">
        <v>52795</v>
      </c>
      <c r="F24" s="5" t="n">
        <v>65756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53888</v>
      </c>
      <c r="D28" s="5" t="n">
        <v>73387</v>
      </c>
      <c r="E28" s="5" t="n">
        <v>78779</v>
      </c>
      <c r="F28" s="5" t="n">
        <v>86810</v>
      </c>
    </row>
    <row r="29">
      <c r="A29" s="4" t="inlineStr">
        <is>
          <t>Current Assets</t>
        </is>
      </c>
      <c r="C29" s="5" t="n">
        <v>146791</v>
      </c>
      <c r="D29" s="5" t="n">
        <v>172351</v>
      </c>
      <c r="E29" s="5" t="n">
        <v>190867</v>
      </c>
      <c r="F29" s="5" t="n">
        <v>229083</v>
      </c>
    </row>
    <row r="30">
      <c r="A30" s="4" t="inlineStr">
        <is>
          <t>Net PP&amp;E</t>
        </is>
      </c>
      <c r="C30" s="5" t="n">
        <v>252838</v>
      </c>
      <c r="D30" s="5" t="n">
        <v>276690</v>
      </c>
      <c r="E30" s="5" t="n">
        <v>328806</v>
      </c>
      <c r="F30" s="5" t="n">
        <v>443079</v>
      </c>
    </row>
    <row r="31">
      <c r="A31" s="4" t="inlineStr">
        <is>
          <t>Goodwill</t>
        </is>
      </c>
      <c r="C31" s="5" t="n">
        <v>20288</v>
      </c>
      <c r="D31" s="5" t="n">
        <v>22789</v>
      </c>
      <c r="E31" s="5" t="n">
        <v>23074</v>
      </c>
      <c r="F31" s="5" t="n">
        <v>23273</v>
      </c>
    </row>
    <row r="32">
      <c r="A32" s="2" t="inlineStr">
        <is>
          <t>Total Assets</t>
        </is>
      </c>
      <c r="C32" s="5" t="n">
        <v>462675</v>
      </c>
      <c r="D32" s="5" t="n">
        <v>527854</v>
      </c>
      <c r="E32" s="5" t="n">
        <v>624894</v>
      </c>
      <c r="F32" s="5" t="n">
        <v>818042</v>
      </c>
    </row>
    <row r="34">
      <c r="A34" s="4" t="inlineStr">
        <is>
          <t>Current Liabilities</t>
        </is>
      </c>
      <c r="C34" s="5" t="n">
        <v>155393</v>
      </c>
      <c r="D34" s="5" t="n">
        <v>164917</v>
      </c>
      <c r="E34" s="5" t="n">
        <v>179431</v>
      </c>
      <c r="F34" s="5" t="n">
        <v>218005</v>
      </c>
    </row>
    <row r="35">
      <c r="A35" s="4" t="inlineStr">
        <is>
          <t>Total Debt</t>
        </is>
      </c>
      <c r="C35" s="5" t="n">
        <v>140118</v>
      </c>
      <c r="D35" s="5" t="n">
        <v>135611</v>
      </c>
      <c r="E35" s="5" t="n">
        <v>130900</v>
      </c>
      <c r="F35" s="5" t="n">
        <v>152987</v>
      </c>
    </row>
    <row r="36">
      <c r="A36" s="2" t="inlineStr">
        <is>
          <t>Total Liabilities</t>
        </is>
      </c>
      <c r="C36" s="5" t="n">
        <v>316632</v>
      </c>
      <c r="D36" s="5" t="n">
        <v>325979</v>
      </c>
      <c r="E36" s="5" t="n">
        <v>338924</v>
      </c>
      <c r="F36" s="5" t="n">
        <v>406977</v>
      </c>
    </row>
    <row r="38">
      <c r="A38" s="2" t="inlineStr">
        <is>
          <t>Total Equity</t>
        </is>
      </c>
      <c r="C38" s="5" t="n">
        <v>146043</v>
      </c>
      <c r="D38" s="5" t="n">
        <v>201875</v>
      </c>
      <c r="E38" s="5" t="n">
        <v>285970</v>
      </c>
      <c r="F38" s="5" t="n">
        <v>411065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46752</v>
      </c>
      <c r="D42" s="5" t="n">
        <v>84946</v>
      </c>
      <c r="E42" s="5" t="n">
        <v>115877</v>
      </c>
      <c r="F42" s="5" t="n">
        <v>139514</v>
      </c>
    </row>
    <row r="43">
      <c r="A43" s="4" t="inlineStr">
        <is>
          <t>Capital Expenditure</t>
        </is>
      </c>
      <c r="C43" s="5" t="n">
        <v>-63645</v>
      </c>
      <c r="D43" s="5" t="n">
        <v>-52729</v>
      </c>
      <c r="E43" s="5" t="n">
        <v>-82999</v>
      </c>
      <c r="F43" s="5" t="n">
        <v>-131819</v>
      </c>
    </row>
    <row r="44">
      <c r="A44" s="2" t="inlineStr">
        <is>
          <t>Free Cash Flow</t>
        </is>
      </c>
      <c r="C44" s="5" t="n">
        <v>-16893</v>
      </c>
      <c r="D44" s="5" t="n">
        <v>32217</v>
      </c>
      <c r="E44" s="5" t="n">
        <v>32878</v>
      </c>
      <c r="F44" s="5" t="n">
        <v>7695</v>
      </c>
    </row>
    <row r="46">
      <c r="A46" s="4" t="inlineStr">
        <is>
          <t>D&amp;A</t>
        </is>
      </c>
      <c r="C46" s="5" t="n">
        <v>41921</v>
      </c>
      <c r="D46" s="5" t="n">
        <v>48663</v>
      </c>
      <c r="E46" s="5" t="n">
        <v>52795</v>
      </c>
      <c r="F46" s="5" t="n">
        <v>65756</v>
      </c>
    </row>
    <row r="47">
      <c r="A47" s="4" t="inlineStr">
        <is>
          <t>Stock-Based Compensation</t>
        </is>
      </c>
      <c r="C47" s="5" t="n">
        <v>19621</v>
      </c>
      <c r="D47" s="5" t="n">
        <v>24023</v>
      </c>
      <c r="E47" s="5" t="n">
        <v>22011</v>
      </c>
      <c r="F47" s="5" t="n">
        <v>19467</v>
      </c>
    </row>
    <row r="48">
      <c r="A48" s="4" t="inlineStr">
        <is>
          <t>Change in Working Capital</t>
        </is>
      </c>
      <c r="C48" s="5" t="n">
        <v>-20886</v>
      </c>
      <c r="D48" s="5" t="n">
        <v>-11541</v>
      </c>
      <c r="E48" s="5" t="n">
        <v>-15541</v>
      </c>
      <c r="F48" s="5" t="n">
        <v>-19969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Amazon.com, Inc. (AMZN)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Internet Retail</t>
        </is>
      </c>
      <c r="C8" s="5" t="n">
        <v>513983</v>
      </c>
      <c r="D8" s="5" t="n">
        <v>574785</v>
      </c>
      <c r="E8" s="5" t="n">
        <v>637959</v>
      </c>
      <c r="F8" s="5" t="n">
        <v>716924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288831</v>
      </c>
      <c r="D16" s="5" t="n">
        <v>304739</v>
      </c>
      <c r="E16" s="5" t="n">
        <v>326288</v>
      </c>
      <c r="F16" s="5" t="n">
        <v>356414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54129</v>
      </c>
      <c r="D20" s="5" t="n">
        <v>56186</v>
      </c>
      <c r="E20" s="5" t="n">
        <v>55266</v>
      </c>
      <c r="F20" s="5" t="n">
        <v>58301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41921</v>
      </c>
      <c r="D22" s="5" t="n">
        <v>48663</v>
      </c>
      <c r="E22" s="5" t="n">
        <v>52795</v>
      </c>
      <c r="F22" s="5" t="n">
        <v>65756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2367</v>
      </c>
      <c r="D29" s="5" t="n">
        <v>3182</v>
      </c>
      <c r="E29" s="5" t="n">
        <v>2406</v>
      </c>
      <c r="F29" s="5" t="n">
        <v>2274</v>
      </c>
      <c r="G29" s="5" t="n">
        <v>2274</v>
      </c>
      <c r="H29" s="5" t="n">
        <v>2274</v>
      </c>
      <c r="I29" s="5" t="n">
        <v>2274</v>
      </c>
      <c r="J29" s="5" t="n">
        <v>2274</v>
      </c>
      <c r="K29" s="5" t="n">
        <v>2274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-20886</v>
      </c>
      <c r="D39" s="5" t="n">
        <v>-11541</v>
      </c>
      <c r="E39" s="5" t="n">
        <v>-15541</v>
      </c>
      <c r="F39" s="5" t="n">
        <v>-19969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-63645</v>
      </c>
      <c r="D42" s="5" t="n">
        <v>-52729</v>
      </c>
      <c r="E42" s="5" t="n">
        <v>-82999</v>
      </c>
      <c r="F42" s="5" t="n">
        <v>-131819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Amazon.com, Inc. (AMZN)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258.6601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-66177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10754.251799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C33/258.6601-1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0.07000000000000001</v>
      </c>
      <c r="C39" s="22">
        <f>(G$12/(1+$A$39)^1+H$12/(1+$A$39)^2+I$12/(1+$A$39)^3+J$12/(1+$A$39)^4+K$12/(1+$A$39)^5+K$8*8/(1+$A$39)^5+$C$29)/$C$32</f>
        <v/>
      </c>
      <c r="D39" s="22">
        <f>(G$12/(1+$A$39)^1+H$12/(1+$A$39)^2+I$12/(1+$A$39)^3+J$12/(1+$A$39)^4+K$12/(1+$A$39)^5+K$8*10/(1+$A$39)^5+$C$29)/$C$32</f>
        <v/>
      </c>
      <c r="E39" s="22">
        <f>(G$12/(1+$A$39)^1+H$12/(1+$A$39)^2+I$12/(1+$A$39)^3+J$12/(1+$A$39)^4+K$12/(1+$A$39)^5+K$8*12/(1+$A$39)^5+$C$29)/$C$32</f>
        <v/>
      </c>
      <c r="F39" s="22">
        <f>(G$12/(1+$A$39)^1+H$12/(1+$A$39)^2+I$12/(1+$A$39)^3+J$12/(1+$A$39)^4+K$12/(1+$A$39)^5+K$8*14/(1+$A$39)^5+$C$29)/$C$32</f>
        <v/>
      </c>
      <c r="G39" s="22">
        <f>(G$12/(1+$A$39)^1+H$12/(1+$A$39)^2+I$12/(1+$A$39)^3+J$12/(1+$A$39)^4+K$12/(1+$A$39)^5+K$8*16/(1+$A$39)^5+$C$29)/$C$32</f>
        <v/>
      </c>
    </row>
    <row r="40">
      <c r="A40" s="21" t="n">
        <v>0.08</v>
      </c>
      <c r="C40" s="22">
        <f>(G$12/(1+$A$40)^1+H$12/(1+$A$40)^2+I$12/(1+$A$40)^3+J$12/(1+$A$40)^4+K$12/(1+$A$40)^5+K$8*8/(1+$A$40)^5+$C$29)/$C$32</f>
        <v/>
      </c>
      <c r="D40" s="22">
        <f>(G$12/(1+$A$40)^1+H$12/(1+$A$40)^2+I$12/(1+$A$40)^3+J$12/(1+$A$40)^4+K$12/(1+$A$40)^5+K$8*10/(1+$A$40)^5+$C$29)/$C$32</f>
        <v/>
      </c>
      <c r="E40" s="22">
        <f>(G$12/(1+$A$40)^1+H$12/(1+$A$40)^2+I$12/(1+$A$40)^3+J$12/(1+$A$40)^4+K$12/(1+$A$40)^5+K$8*12/(1+$A$40)^5+$C$29)/$C$32</f>
        <v/>
      </c>
      <c r="F40" s="22">
        <f>(G$12/(1+$A$40)^1+H$12/(1+$A$40)^2+I$12/(1+$A$40)^3+J$12/(1+$A$40)^4+K$12/(1+$A$40)^5+K$8*14/(1+$A$40)^5+$C$29)/$C$32</f>
        <v/>
      </c>
      <c r="G40" s="22">
        <f>(G$12/(1+$A$40)^1+H$12/(1+$A$40)^2+I$12/(1+$A$40)^3+J$12/(1+$A$40)^4+K$12/(1+$A$40)^5+K$8*16/(1+$A$40)^5+$C$29)/$C$32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(G$12/(1+$A$41)^1+H$12/(1+$A$41)^2+I$12/(1+$A$41)^3+J$12/(1+$A$41)^4+K$12/(1+$A$41)^5+K$8*8/(1+$A$41)^5+$C$29)/$C$32</f>
        <v/>
      </c>
      <c r="D41" s="22">
        <f>(G$12/(1+$A$41)^1+H$12/(1+$A$41)^2+I$12/(1+$A$41)^3+J$12/(1+$A$41)^4+K$12/(1+$A$41)^5+K$8*10/(1+$A$41)^5+$C$29)/$C$32</f>
        <v/>
      </c>
      <c r="E41" s="22">
        <f>(G$12/(1+$A$41)^1+H$12/(1+$A$41)^2+I$12/(1+$A$41)^3+J$12/(1+$A$41)^4+K$12/(1+$A$41)^5+K$8*12/(1+$A$41)^5+$C$29)/$C$32</f>
        <v/>
      </c>
      <c r="F41" s="22">
        <f>(G$12/(1+$A$41)^1+H$12/(1+$A$41)^2+I$12/(1+$A$41)^3+J$12/(1+$A$41)^4+K$12/(1+$A$41)^5+K$8*14/(1+$A$41)^5+$C$29)/$C$32</f>
        <v/>
      </c>
      <c r="G41" s="22">
        <f>(G$12/(1+$A$41)^1+H$12/(1+$A$41)^2+I$12/(1+$A$41)^3+J$12/(1+$A$41)^4+K$12/(1+$A$41)^5+K$8*16/(1+$A$41)^5+$C$29)/$C$32</f>
        <v/>
      </c>
    </row>
    <row r="42">
      <c r="A42" s="21" t="n">
        <v>0.1</v>
      </c>
      <c r="C42" s="22">
        <f>(G$12/(1+$A$42)^1+H$12/(1+$A$42)^2+I$12/(1+$A$42)^3+J$12/(1+$A$42)^4+K$12/(1+$A$42)^5+K$8*8/(1+$A$42)^5+$C$29)/$C$32</f>
        <v/>
      </c>
      <c r="D42" s="22">
        <f>(G$12/(1+$A$42)^1+H$12/(1+$A$42)^2+I$12/(1+$A$42)^3+J$12/(1+$A$42)^4+K$12/(1+$A$42)^5+K$8*10/(1+$A$42)^5+$C$29)/$C$32</f>
        <v/>
      </c>
      <c r="E42" s="23">
        <f>(G$12/(1+$A$42)^1+H$12/(1+$A$42)^2+I$12/(1+$A$42)^3+J$12/(1+$A$42)^4+K$12/(1+$A$42)^5+K$8*12/(1+$A$42)^5+$C$29)/$C$32</f>
        <v/>
      </c>
      <c r="F42" s="22">
        <f>(G$12/(1+$A$42)^1+H$12/(1+$A$42)^2+I$12/(1+$A$42)^3+J$12/(1+$A$42)^4+K$12/(1+$A$42)^5+K$8*14/(1+$A$42)^5+$C$29)/$C$32</f>
        <v/>
      </c>
      <c r="G42" s="22">
        <f>(G$12/(1+$A$42)^1+H$12/(1+$A$42)^2+I$12/(1+$A$42)^3+J$12/(1+$A$42)^4+K$12/(1+$A$42)^5+K$8*16/(1+$A$42)^5+$C$29)/$C$32</f>
        <v/>
      </c>
    </row>
    <row r="43">
      <c r="A43" s="21" t="n">
        <v>0.11</v>
      </c>
      <c r="C43" s="22">
        <f>(G$12/(1+$A$43)^1+H$12/(1+$A$43)^2+I$12/(1+$A$43)^3+J$12/(1+$A$43)^4+K$12/(1+$A$43)^5+K$8*8/(1+$A$43)^5+$C$29)/$C$32</f>
        <v/>
      </c>
      <c r="D43" s="22">
        <f>(G$12/(1+$A$43)^1+H$12/(1+$A$43)^2+I$12/(1+$A$43)^3+J$12/(1+$A$43)^4+K$12/(1+$A$43)^5+K$8*10/(1+$A$43)^5+$C$29)/$C$32</f>
        <v/>
      </c>
      <c r="E43" s="22">
        <f>(G$12/(1+$A$43)^1+H$12/(1+$A$43)^2+I$12/(1+$A$43)^3+J$12/(1+$A$43)^4+K$12/(1+$A$43)^5+K$8*12/(1+$A$43)^5+$C$29)/$C$32</f>
        <v/>
      </c>
      <c r="F43" s="22">
        <f>(G$12/(1+$A$43)^1+H$12/(1+$A$43)^2+I$12/(1+$A$43)^3+J$12/(1+$A$43)^4+K$12/(1+$A$43)^5+K$8*14/(1+$A$43)^5+$C$29)/$C$32</f>
        <v/>
      </c>
      <c r="G43" s="22">
        <f>(G$12/(1+$A$43)^1+H$12/(1+$A$43)^2+I$12/(1+$A$43)^3+J$12/(1+$A$43)^4+K$12/(1+$A$43)^5+K$8*16/(1+$A$43)^5+$C$29)/$C$32</f>
        <v/>
      </c>
    </row>
    <row r="44">
      <c r="A44" s="21" t="n">
        <v>0.12</v>
      </c>
      <c r="C44" s="22">
        <f>(G$12/(1+$A$44)^1+H$12/(1+$A$44)^2+I$12/(1+$A$44)^3+J$12/(1+$A$44)^4+K$12/(1+$A$44)^5+K$8*8/(1+$A$44)^5+$C$29)/$C$32</f>
        <v/>
      </c>
      <c r="D44" s="22">
        <f>(G$12/(1+$A$44)^1+H$12/(1+$A$44)^2+I$12/(1+$A$44)^3+J$12/(1+$A$44)^4+K$12/(1+$A$44)^5+K$8*10/(1+$A$44)^5+$C$29)/$C$32</f>
        <v/>
      </c>
      <c r="E44" s="22">
        <f>(G$12/(1+$A$44)^1+H$12/(1+$A$44)^2+I$12/(1+$A$44)^3+J$12/(1+$A$44)^4+K$12/(1+$A$44)^5+K$8*12/(1+$A$44)^5+$C$29)/$C$32</f>
        <v/>
      </c>
      <c r="F44" s="22">
        <f>(G$12/(1+$A$44)^1+H$12/(1+$A$44)^2+I$12/(1+$A$44)^3+J$12/(1+$A$44)^4+K$12/(1+$A$44)^5+K$8*14/(1+$A$44)^5+$C$29)/$C$32</f>
        <v/>
      </c>
      <c r="G44" s="22">
        <f>(G$12/(1+$A$44)^1+H$12/(1+$A$44)^2+I$12/(1+$A$44)^3+J$12/(1+$A$44)^4+K$12/(1+$A$44)^5+K$8*16/(1+$A$44)^5+$C$29)/$C$32</f>
        <v/>
      </c>
    </row>
    <row r="45">
      <c r="A45" s="21" t="n">
        <v>0.13</v>
      </c>
      <c r="C45" s="22">
        <f>(G$12/(1+$A$45)^1+H$12/(1+$A$45)^2+I$12/(1+$A$45)^3+J$12/(1+$A$45)^4+K$12/(1+$A$45)^5+K$8*8/(1+$A$45)^5+$C$29)/$C$32</f>
        <v/>
      </c>
      <c r="D45" s="22">
        <f>(G$12/(1+$A$45)^1+H$12/(1+$A$45)^2+I$12/(1+$A$45)^3+J$12/(1+$A$45)^4+K$12/(1+$A$45)^5+K$8*10/(1+$A$45)^5+$C$29)/$C$32</f>
        <v/>
      </c>
      <c r="E45" s="22">
        <f>(G$12/(1+$A$45)^1+H$12/(1+$A$45)^2+I$12/(1+$A$45)^3+J$12/(1+$A$45)^4+K$12/(1+$A$45)^5+K$8*12/(1+$A$45)^5+$C$29)/$C$32</f>
        <v/>
      </c>
      <c r="F45" s="22">
        <f>(G$12/(1+$A$45)^1+H$12/(1+$A$45)^2+I$12/(1+$A$45)^3+J$12/(1+$A$45)^4+K$12/(1+$A$45)^5+K$8*14/(1+$A$45)^5+$C$29)/$C$32</f>
        <v/>
      </c>
      <c r="G45" s="22">
        <f>(G$12/(1+$A$45)^1+H$12/(1+$A$45)^2+I$12/(1+$A$45)^3+J$12/(1+$A$45)^4+K$12/(1+$A$45)^5+K$8*16/(1+$A$45)^5+$C$29)/$C$32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2026-04-30T16:00:44Z</dcterms:created>
  <dcterms:modified xmlns:dcterms="http://purl.org/dc/terms/" xmlns:xsi="http://www.w3.org/2001/XMLSchema-instance" xsi:type="dcterms:W3CDTF">2026-04-30T16:00:44Z</dcterms:modified>
</cp:coreProperties>
</file>