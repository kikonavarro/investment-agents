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SMG Swiss Marketplace Group Holding AG (SMG_SW)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FY2023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  <c r="J4" s="1" t="inlineStr">
        <is>
          <t>FY2030</t>
        </is>
      </c>
    </row>
    <row r="6">
      <c r="A6" s="1" t="inlineStr">
        <is>
          <t>Internet Content &amp; Information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2" t="inlineStr">
        <is>
          <t xml:space="preserve">  Revenue ($M)</t>
        </is>
      </c>
      <c r="C7" s="5" t="n">
        <v>260.137</v>
      </c>
      <c r="D7" s="5" t="n">
        <v>290.879</v>
      </c>
      <c r="E7" s="5" t="n">
        <v>331.989</v>
      </c>
    </row>
    <row r="8">
      <c r="A8" s="4" t="inlineStr">
        <is>
          <t xml:space="preserve">  Revenue Growth - Base</t>
        </is>
      </c>
      <c r="F8" s="6" t="n">
        <v>0.13</v>
      </c>
      <c r="G8" s="6" t="n">
        <v>0.12</v>
      </c>
      <c r="H8" s="6" t="n">
        <v>0.1</v>
      </c>
      <c r="I8" s="6" t="n">
        <v>0.08</v>
      </c>
      <c r="J8" s="6" t="n">
        <v>0.07000000000000001</v>
      </c>
    </row>
    <row r="9">
      <c r="A9" s="4" t="inlineStr">
        <is>
          <t xml:space="preserve">  Revenue Growth - Bull</t>
        </is>
      </c>
      <c r="F9" s="6" t="n">
        <v>0.16</v>
      </c>
      <c r="G9" s="6" t="n">
        <v>0.15</v>
      </c>
      <c r="H9" s="6" t="n">
        <v>0.13</v>
      </c>
      <c r="I9" s="6" t="n">
        <v>0.11</v>
      </c>
      <c r="J9" s="6" t="n">
        <v>0.09</v>
      </c>
    </row>
    <row r="10">
      <c r="A10" s="4" t="inlineStr">
        <is>
          <t xml:space="preserve">  Revenue Growth - Bear</t>
        </is>
      </c>
      <c r="F10" s="6" t="n">
        <v>0.08</v>
      </c>
      <c r="G10" s="6" t="n">
        <v>0.06</v>
      </c>
      <c r="H10" s="6" t="n">
        <v>0.05</v>
      </c>
      <c r="I10" s="6" t="n">
        <v>0.04</v>
      </c>
      <c r="J10" s="6" t="n">
        <v>0.03</v>
      </c>
    </row>
    <row r="11">
      <c r="A11" s="2" t="inlineStr">
        <is>
          <t xml:space="preserve">  Revenue Growth (Selected)</t>
        </is>
      </c>
      <c r="F11" s="7">
        <f>OFFSET(F8,$G$2-1,0)</f>
        <v/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</row>
    <row r="12">
      <c r="A12" s="2" t="inlineStr">
        <is>
          <t xml:space="preserve">  Revenue Projected ($M)</t>
        </is>
      </c>
      <c r="F12" s="8">
        <f>E7*(1+F11)</f>
        <v/>
      </c>
      <c r="G12" s="8">
        <f>F12*(1+G11)</f>
        <v/>
      </c>
      <c r="H12" s="8">
        <f>G12*(1+H11)</f>
        <v/>
      </c>
      <c r="I12" s="8">
        <f>H12*(1+I11)</f>
        <v/>
      </c>
      <c r="J12" s="8">
        <f>I12*(1+J11)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4" t="inlineStr">
        <is>
          <t>Gross Margin - Base</t>
        </is>
      </c>
      <c r="F15" s="6" t="n">
        <v>0.48</v>
      </c>
      <c r="G15" s="6" t="n">
        <v>0.48</v>
      </c>
      <c r="H15" s="6" t="n">
        <v>0.48</v>
      </c>
      <c r="I15" s="6" t="n">
        <v>0.48</v>
      </c>
      <c r="J15" s="6" t="n">
        <v>0.48</v>
      </c>
    </row>
    <row r="16">
      <c r="A16" s="4" t="inlineStr">
        <is>
          <t>Gross Margin - Bull</t>
        </is>
      </c>
      <c r="F16" s="6" t="n">
        <v>0.54</v>
      </c>
      <c r="G16" s="6" t="n">
        <v>0.54</v>
      </c>
      <c r="H16" s="6" t="n">
        <v>0.54</v>
      </c>
      <c r="I16" s="6" t="n">
        <v>0.54</v>
      </c>
      <c r="J16" s="6" t="n">
        <v>0.54</v>
      </c>
    </row>
    <row r="17">
      <c r="A17" s="4" t="inlineStr">
        <is>
          <t>Gross Margin - Bear</t>
        </is>
      </c>
      <c r="F17" s="6" t="n">
        <v>0.4</v>
      </c>
      <c r="G17" s="6" t="n">
        <v>0.4</v>
      </c>
      <c r="H17" s="6" t="n">
        <v>0.4</v>
      </c>
      <c r="I17" s="6" t="n">
        <v>0.4</v>
      </c>
      <c r="J17" s="6" t="n">
        <v>0.4</v>
      </c>
    </row>
    <row r="18">
      <c r="A18" s="2" t="inlineStr">
        <is>
          <t>Gross Margin (Selected)</t>
        </is>
      </c>
      <c r="F18" s="7">
        <f>OFFSET(F15,$G$2-1,0)</f>
        <v/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</row>
    <row r="20">
      <c r="A20" s="4" t="inlineStr">
        <is>
          <t>SG&amp;A % Revenue - Base</t>
        </is>
      </c>
      <c r="F20" s="6" t="n">
        <v>0.1</v>
      </c>
      <c r="G20" s="6" t="n">
        <v>0.1</v>
      </c>
      <c r="H20" s="6" t="n">
        <v>0.1</v>
      </c>
      <c r="I20" s="6" t="n">
        <v>0.1</v>
      </c>
      <c r="J20" s="6" t="n">
        <v>0.1</v>
      </c>
    </row>
    <row r="21">
      <c r="A21" s="4" t="inlineStr">
        <is>
          <t>SG&amp;A % Revenue - Bull</t>
        </is>
      </c>
      <c r="F21" s="6" t="n">
        <v>0.08</v>
      </c>
      <c r="G21" s="6" t="n">
        <v>0.08</v>
      </c>
      <c r="H21" s="6" t="n">
        <v>0.08</v>
      </c>
      <c r="I21" s="6" t="n">
        <v>0.08</v>
      </c>
      <c r="J21" s="6" t="n">
        <v>0.08</v>
      </c>
    </row>
    <row r="22">
      <c r="A22" s="4" t="inlineStr">
        <is>
          <t>SG&amp;A % Revenue - Bear</t>
        </is>
      </c>
      <c r="F22" s="6" t="n">
        <v>0.12</v>
      </c>
      <c r="G22" s="6" t="n">
        <v>0.12</v>
      </c>
      <c r="H22" s="6" t="n">
        <v>0.12</v>
      </c>
      <c r="I22" s="6" t="n">
        <v>0.12</v>
      </c>
      <c r="J22" s="6" t="n">
        <v>0.12</v>
      </c>
    </row>
    <row r="23">
      <c r="A23" s="2" t="inlineStr">
        <is>
          <t>SG&amp;A % Revenue (Selected)</t>
        </is>
      </c>
      <c r="F23" s="7">
        <f>OFFSET(F20,$G$2-1,0)</f>
        <v/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</row>
    <row r="25">
      <c r="A25" s="4" t="inlineStr">
        <is>
          <t>R&amp;D % Revenue - Base</t>
        </is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</row>
    <row r="26">
      <c r="A26" s="4" t="inlineStr">
        <is>
          <t>R&amp;D % Revenue - Bull</t>
        </is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</row>
    <row r="27">
      <c r="A27" s="4" t="inlineStr">
        <is>
          <t>R&amp;D % Revenue - Bear</t>
        </is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</row>
    <row r="28">
      <c r="A28" s="2" t="inlineStr">
        <is>
          <t>R&amp;D % Revenue (Selected)</t>
        </is>
      </c>
      <c r="F28" s="7">
        <f>OFFSET(F25,$G$2-1,0)</f>
        <v/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</row>
    <row r="30">
      <c r="A30" s="4" t="inlineStr">
        <is>
          <t>D&amp;A % Revenue</t>
        </is>
      </c>
      <c r="F30" s="6" t="n">
        <v>0.18</v>
      </c>
      <c r="G30" s="6" t="n">
        <v>0.18</v>
      </c>
      <c r="H30" s="6" t="n">
        <v>0.18</v>
      </c>
      <c r="I30" s="6" t="n">
        <v>0.18</v>
      </c>
      <c r="J30" s="6" t="n">
        <v>0.18</v>
      </c>
    </row>
    <row r="31">
      <c r="A31" s="4" t="inlineStr">
        <is>
          <t>CapEx % Revenue</t>
        </is>
      </c>
      <c r="F31" s="6" t="n">
        <v>0.1</v>
      </c>
      <c r="G31" s="6" t="n">
        <v>0.1</v>
      </c>
      <c r="H31" s="6" t="n">
        <v>0.1</v>
      </c>
      <c r="I31" s="6" t="n">
        <v>0.1</v>
      </c>
      <c r="J31" s="6" t="n">
        <v>0.1</v>
      </c>
    </row>
    <row r="32">
      <c r="A32" s="4" t="inlineStr">
        <is>
          <t>Tax Rate</t>
        </is>
      </c>
      <c r="F32" s="6" t="n">
        <v>0.1</v>
      </c>
      <c r="G32" s="6" t="n">
        <v>0.1</v>
      </c>
      <c r="H32" s="6" t="n">
        <v>0.1</v>
      </c>
      <c r="I32" s="6" t="n">
        <v>0.1</v>
      </c>
      <c r="J32" s="6" t="n">
        <v>0.1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0.095</v>
      </c>
    </row>
    <row r="37">
      <c r="A37" s="4" t="inlineStr">
        <is>
          <t>WACC - Bear</t>
        </is>
      </c>
      <c r="C37" s="6" t="n">
        <v>0.11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18</v>
      </c>
    </row>
    <row r="41">
      <c r="A41" s="4" t="inlineStr">
        <is>
          <t>Terminal Value Multiple - Bull</t>
        </is>
      </c>
      <c r="C41" s="9" t="n">
        <v>22</v>
      </c>
    </row>
    <row r="42">
      <c r="A42" s="4" t="inlineStr">
        <is>
          <t>Terminal Value Multiple - Bear</t>
        </is>
      </c>
      <c r="C42" s="9" t="n">
        <v>14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SMG Swiss Marketplace Group Holding AG (SMG_SW) - Historical Financial Statements</t>
        </is>
      </c>
      <c r="B1" s="1" t="n"/>
      <c r="C1" s="1" t="n"/>
      <c r="D1" s="1" t="n"/>
      <c r="E1" s="1" t="n"/>
    </row>
    <row r="3">
      <c r="A3" s="4" t="inlineStr">
        <is>
          <t>($ in millions)</t>
        </is>
      </c>
      <c r="C3" s="1" t="inlineStr">
        <is>
          <t>FY2023</t>
        </is>
      </c>
      <c r="D3" s="1" t="inlineStr">
        <is>
          <t>FY2024</t>
        </is>
      </c>
      <c r="E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</row>
    <row r="6">
      <c r="A6" s="2" t="inlineStr">
        <is>
          <t>Total Revenue</t>
        </is>
      </c>
      <c r="C6" s="5" t="n">
        <v>260.137</v>
      </c>
      <c r="D6" s="5" t="n">
        <v>290.879</v>
      </c>
      <c r="E6" s="5" t="n">
        <v>331.989</v>
      </c>
    </row>
    <row r="7">
      <c r="A7" s="4" t="inlineStr">
        <is>
          <t>Cost of Revenue</t>
        </is>
      </c>
      <c r="C7" s="5" t="n">
        <v>-19.278</v>
      </c>
      <c r="D7" s="5" t="n">
        <v>-25.328</v>
      </c>
      <c r="E7" s="5" t="n">
        <v>-26.854</v>
      </c>
    </row>
    <row r="8">
      <c r="A8" s="2" t="inlineStr">
        <is>
          <t>Gross Profit</t>
        </is>
      </c>
      <c r="C8" s="5" t="n">
        <v>279.415</v>
      </c>
      <c r="D8" s="5" t="n">
        <v>316.207</v>
      </c>
      <c r="E8" s="5" t="n">
        <v>358.843</v>
      </c>
    </row>
    <row r="9">
      <c r="A9" s="4" t="inlineStr">
        <is>
          <t xml:space="preserve">  Gross Margin</t>
        </is>
      </c>
      <c r="C9" s="11" t="n">
        <v>1.074107105102311</v>
      </c>
      <c r="D9" s="11" t="n">
        <v>1.08707400671757</v>
      </c>
      <c r="E9" s="11" t="n">
        <v>1.080888222200133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</row>
    <row r="12">
      <c r="A12" s="4" t="inlineStr">
        <is>
          <t>SG&amp;A Expense</t>
        </is>
      </c>
      <c r="C12" s="5" t="n">
        <v>28.237</v>
      </c>
      <c r="D12" s="5" t="n">
        <v>29.625</v>
      </c>
      <c r="E12" s="5" t="n">
        <v>29.982</v>
      </c>
    </row>
    <row r="13">
      <c r="A13" s="2" t="inlineStr">
        <is>
          <t>Operating Income (EBIT)</t>
        </is>
      </c>
      <c r="C13" s="5" t="n">
        <v>47.894</v>
      </c>
      <c r="D13" s="5" t="n">
        <v>71.036</v>
      </c>
      <c r="E13" s="5" t="n">
        <v>89.316</v>
      </c>
    </row>
    <row r="14">
      <c r="A14" s="4" t="inlineStr">
        <is>
          <t xml:space="preserve">  EBIT Margin</t>
        </is>
      </c>
      <c r="C14" s="11" t="n">
        <v>0.1841106801416177</v>
      </c>
      <c r="D14" s="11" t="n">
        <v>0.2442115106281306</v>
      </c>
      <c r="E14" s="11" t="n">
        <v>0.2690330101298537</v>
      </c>
    </row>
    <row r="16">
      <c r="A16" s="4" t="inlineStr">
        <is>
          <t>Interest Expense</t>
        </is>
      </c>
      <c r="C16" s="5" t="n">
        <v>1.518</v>
      </c>
      <c r="D16" s="5" t="n">
        <v>1.439</v>
      </c>
      <c r="E16" s="5" t="n">
        <v>3.723</v>
      </c>
    </row>
    <row r="17">
      <c r="A17" s="4" t="inlineStr">
        <is>
          <t>Tax Provision</t>
        </is>
      </c>
      <c r="C17" s="5" t="n">
        <v>0.132</v>
      </c>
      <c r="D17" s="5" t="n">
        <v>7.195</v>
      </c>
      <c r="E17" s="5" t="n">
        <v>16.334</v>
      </c>
    </row>
    <row r="18">
      <c r="A18" s="2" t="inlineStr">
        <is>
          <t>Net Income</t>
        </is>
      </c>
      <c r="C18" s="5" t="n">
        <v>46.098</v>
      </c>
      <c r="D18" s="5" t="n">
        <v>61.588</v>
      </c>
      <c r="E18" s="5" t="n">
        <v>67.694</v>
      </c>
    </row>
    <row r="19">
      <c r="A19" s="4" t="inlineStr">
        <is>
          <t xml:space="preserve">  Net Margin</t>
        </is>
      </c>
      <c r="C19" s="11" t="n">
        <v>0.1772066257395142</v>
      </c>
      <c r="D19" s="11" t="n">
        <v>0.2117306508892013</v>
      </c>
      <c r="E19" s="11" t="n">
        <v>0.2039043462283389</v>
      </c>
    </row>
    <row r="21">
      <c r="A21" s="2" t="inlineStr">
        <is>
          <t>EBITDA</t>
        </is>
      </c>
      <c r="C21" s="5" t="n">
        <v>104.952</v>
      </c>
      <c r="D21" s="5" t="n">
        <v>129.276</v>
      </c>
      <c r="E21" s="5" t="n">
        <v>143.651</v>
      </c>
    </row>
    <row r="22">
      <c r="A22" s="4" t="inlineStr">
        <is>
          <t xml:space="preserve">  EBITDA Margin</t>
        </is>
      </c>
      <c r="C22" s="11" t="n">
        <v>0.4034489518984228</v>
      </c>
      <c r="D22" s="11" t="n">
        <v>0.4444322209578553</v>
      </c>
      <c r="E22" s="11" t="n">
        <v>0.4326980713216402</v>
      </c>
    </row>
    <row r="23">
      <c r="A23" s="4" t="inlineStr">
        <is>
          <t>Diluted EPS</t>
        </is>
      </c>
      <c r="C23" s="12" t="n">
        <v>0.469692</v>
      </c>
      <c r="D23" s="12" t="n">
        <v>0.627519</v>
      </c>
      <c r="E23" s="12" t="n">
        <v>0.6899999999999999</v>
      </c>
    </row>
    <row r="24">
      <c r="A24" s="4" t="inlineStr">
        <is>
          <t>D&amp;A</t>
        </is>
      </c>
      <c r="C24" s="5" t="n">
        <v>57.194</v>
      </c>
      <c r="D24" s="5" t="n">
        <v>59.22</v>
      </c>
      <c r="E24" s="5" t="n">
        <v>55.567</v>
      </c>
    </row>
    <row r="27">
      <c r="A27" s="1" t="inlineStr">
        <is>
          <t>Balance Sheet</t>
        </is>
      </c>
      <c r="B27" s="1" t="n"/>
      <c r="C27" s="1" t="n"/>
      <c r="D27" s="1" t="n"/>
      <c r="E27" s="1" t="n"/>
    </row>
    <row r="28">
      <c r="A28" s="4" t="inlineStr">
        <is>
          <t>Cash &amp; Equivalents</t>
        </is>
      </c>
      <c r="C28" s="5" t="n">
        <v>82.155</v>
      </c>
      <c r="D28" s="5" t="n">
        <v>71.485</v>
      </c>
      <c r="E28" s="5" t="n">
        <v>92.664</v>
      </c>
    </row>
    <row r="29">
      <c r="A29" s="4" t="inlineStr">
        <is>
          <t>Current Assets</t>
        </is>
      </c>
      <c r="C29" s="5" t="n">
        <v>123.8</v>
      </c>
      <c r="D29" s="5" t="n">
        <v>116.038</v>
      </c>
      <c r="E29" s="5" t="n">
        <v>147.016</v>
      </c>
    </row>
    <row r="30">
      <c r="A30" s="4" t="inlineStr">
        <is>
          <t>Net PP&amp;E</t>
        </is>
      </c>
      <c r="C30" s="5" t="n">
        <v>18.679</v>
      </c>
      <c r="D30" s="5" t="n">
        <v>17.39</v>
      </c>
      <c r="E30" s="5" t="n">
        <v>14.54</v>
      </c>
    </row>
    <row r="31">
      <c r="A31" s="4" t="inlineStr">
        <is>
          <t>Goodwill</t>
        </is>
      </c>
      <c r="C31" s="5" t="n">
        <v>589.171</v>
      </c>
      <c r="D31" s="5" t="n">
        <v>628.2</v>
      </c>
      <c r="E31" s="5" t="n">
        <v>628.1950000000001</v>
      </c>
    </row>
    <row r="32">
      <c r="A32" s="2" t="inlineStr">
        <is>
          <t>Total Assets</t>
        </is>
      </c>
      <c r="C32" s="5" t="n">
        <v>1305.172</v>
      </c>
      <c r="D32" s="5" t="n">
        <v>1326.809</v>
      </c>
      <c r="E32" s="5" t="n">
        <v>1330.232</v>
      </c>
    </row>
    <row r="34">
      <c r="A34" s="4" t="inlineStr">
        <is>
          <t>Current Liabilities</t>
        </is>
      </c>
      <c r="C34" s="5" t="n">
        <v>98.212</v>
      </c>
      <c r="D34" s="5" t="n">
        <v>70.17100000000001</v>
      </c>
      <c r="E34" s="5" t="n">
        <v>102.688</v>
      </c>
    </row>
    <row r="35">
      <c r="A35" s="4" t="inlineStr">
        <is>
          <t>Total Debt</t>
        </is>
      </c>
      <c r="C35" s="5" t="n">
        <v>15.031</v>
      </c>
      <c r="D35" s="5" t="n">
        <v>13.645</v>
      </c>
      <c r="E35" s="5" t="n">
        <v>11.846</v>
      </c>
    </row>
    <row r="36">
      <c r="A36" s="2" t="inlineStr">
        <is>
          <t>Total Liabilities</t>
        </is>
      </c>
      <c r="C36" s="5" t="n">
        <v>211.949</v>
      </c>
      <c r="D36" s="5" t="n">
        <v>428.348</v>
      </c>
      <c r="E36" s="5" t="n">
        <v>425.501</v>
      </c>
    </row>
    <row r="38">
      <c r="A38" s="2" t="inlineStr">
        <is>
          <t>Total Equity</t>
        </is>
      </c>
      <c r="C38" s="5" t="n">
        <v>1093.223</v>
      </c>
      <c r="D38" s="5" t="n">
        <v>898.461</v>
      </c>
      <c r="E38" s="5" t="n">
        <v>904.731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</row>
    <row r="42">
      <c r="A42" s="2" t="inlineStr">
        <is>
          <t>Operating Cash Flow</t>
        </is>
      </c>
      <c r="C42" s="5" t="n">
        <v>91.86199999999999</v>
      </c>
      <c r="D42" s="5" t="n">
        <v>125.177</v>
      </c>
      <c r="E42" s="5" t="n">
        <v>140.498</v>
      </c>
    </row>
    <row r="43">
      <c r="A43" s="4" t="inlineStr">
        <is>
          <t>Capital Expenditure</t>
        </is>
      </c>
      <c r="C43" s="5" t="n">
        <v>-28.439</v>
      </c>
      <c r="D43" s="5" t="n">
        <v>-32.059</v>
      </c>
      <c r="E43" s="5" t="n">
        <v>-33.87</v>
      </c>
    </row>
    <row r="44">
      <c r="A44" s="2" t="inlineStr">
        <is>
          <t>Free Cash Flow</t>
        </is>
      </c>
      <c r="C44" s="5" t="n">
        <v>63.423</v>
      </c>
      <c r="D44" s="5" t="n">
        <v>93.11799999999999</v>
      </c>
      <c r="E44" s="5" t="n">
        <v>106.628</v>
      </c>
    </row>
    <row r="46">
      <c r="A46" s="4" t="inlineStr">
        <is>
          <t>D&amp;A</t>
        </is>
      </c>
      <c r="C46" s="5" t="n">
        <v>57.194</v>
      </c>
      <c r="D46" s="5" t="n">
        <v>59.22</v>
      </c>
      <c r="E46" s="5" t="n">
        <v>55.567</v>
      </c>
    </row>
    <row r="47">
      <c r="A47" s="4" t="inlineStr">
        <is>
          <t>Stock-Based Compensation</t>
        </is>
      </c>
      <c r="C47" s="5" t="n">
        <v>0.6820000000000001</v>
      </c>
      <c r="D47" s="5" t="n">
        <v>0.836</v>
      </c>
      <c r="E47" s="5" t="n">
        <v>2.707</v>
      </c>
    </row>
    <row r="48">
      <c r="A48" s="4" t="inlineStr">
        <is>
          <t>Change in Working Capital</t>
        </is>
      </c>
      <c r="C48" s="5" t="n">
        <v>-11.665</v>
      </c>
      <c r="D48" s="5" t="n">
        <v>-5.36</v>
      </c>
      <c r="E48" s="5" t="n">
        <v>-0.413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SMG Swiss Marketplace Group Holding AG (SMG_SW)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FY2023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  <c r="J4" s="1" t="inlineStr">
        <is>
          <t>FY2030</t>
        </is>
      </c>
    </row>
    <row r="5">
      <c r="F5" s="14" t="inlineStr">
        <is>
          <t>Proj.</t>
        </is>
      </c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2" t="inlineStr">
        <is>
          <t xml:space="preserve">  Internet Content &amp; Information</t>
        </is>
      </c>
      <c r="C8" s="5" t="n">
        <v>260.137</v>
      </c>
      <c r="D8" s="5" t="n">
        <v>290.879</v>
      </c>
      <c r="E8" s="5" t="n">
        <v>331.989</v>
      </c>
      <c r="F8" s="8">
        <f>Assumptions!F12</f>
        <v/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</row>
    <row r="16">
      <c r="A16" s="4" t="inlineStr">
        <is>
          <t>Cost of Goods Sold (COGS)</t>
        </is>
      </c>
      <c r="C16" s="5" t="n">
        <v>-19.278</v>
      </c>
      <c r="D16" s="5" t="n">
        <v>-25.328</v>
      </c>
      <c r="E16" s="5" t="n">
        <v>-26.854</v>
      </c>
      <c r="F16" s="8">
        <f>-F15*(1-Assumptions!F18)</f>
        <v/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</row>
    <row r="20">
      <c r="A20" s="4" t="inlineStr">
        <is>
          <t>SG&amp;A Expense</t>
        </is>
      </c>
      <c r="C20" s="5" t="n">
        <v>28.237</v>
      </c>
      <c r="D20" s="5" t="n">
        <v>29.625</v>
      </c>
      <c r="E20" s="5" t="n">
        <v>29.982</v>
      </c>
      <c r="F20" s="8">
        <f>-F15*Assumptions!F24</f>
        <v/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8">
        <f>-F15*Assumptions!F30</f>
        <v/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</row>
    <row r="22">
      <c r="A22" s="4" t="inlineStr">
        <is>
          <t>Depreciation &amp; Amortization</t>
        </is>
      </c>
      <c r="C22" s="5" t="n">
        <v>57.194</v>
      </c>
      <c r="D22" s="5" t="n">
        <v>59.22</v>
      </c>
      <c r="E22" s="5" t="n">
        <v>55.567</v>
      </c>
      <c r="F22" s="8">
        <f>-F15*Assumptions!F32</f>
        <v/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</row>
    <row r="29">
      <c r="A29" s="4" t="inlineStr">
        <is>
          <t>Interest Expense</t>
        </is>
      </c>
      <c r="C29" s="5" t="n">
        <v>1.518</v>
      </c>
      <c r="D29" s="5" t="n">
        <v>1.439</v>
      </c>
      <c r="E29" s="5" t="n">
        <v>3.723</v>
      </c>
      <c r="F29" s="5" t="n">
        <v>3.723</v>
      </c>
      <c r="G29" s="5" t="n">
        <v>3.723</v>
      </c>
      <c r="H29" s="5" t="n">
        <v>3.723</v>
      </c>
      <c r="I29" s="5" t="n">
        <v>3.723</v>
      </c>
      <c r="J29" s="5" t="n">
        <v>3.723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</row>
    <row r="31">
      <c r="A31" s="4" t="inlineStr">
        <is>
          <t>Taxes</t>
        </is>
      </c>
      <c r="C31" s="5" t="n">
        <v>0.132</v>
      </c>
      <c r="D31" s="5" t="n">
        <v>7.195</v>
      </c>
      <c r="E31" s="5" t="n">
        <v>16.334</v>
      </c>
      <c r="F31" s="8">
        <f>-ABS(F30)*Assumptions!F34</f>
        <v/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</row>
    <row r="39">
      <c r="A39" s="4" t="inlineStr">
        <is>
          <t>(+/-) Change in Working Capital</t>
        </is>
      </c>
      <c r="C39" s="5" t="n">
        <v>-11.665</v>
      </c>
      <c r="D39" s="5" t="n">
        <v>-5.36</v>
      </c>
      <c r="E39" s="5" t="n">
        <v>-0.413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</row>
    <row r="42">
      <c r="A42" s="4" t="inlineStr">
        <is>
          <t>(-) Capital Expenditure</t>
        </is>
      </c>
      <c r="C42" s="5" t="n">
        <v>-28.439</v>
      </c>
      <c r="D42" s="5" t="n">
        <v>-32.059</v>
      </c>
      <c r="E42" s="5" t="n">
        <v>-33.87</v>
      </c>
      <c r="F42" s="8">
        <f>-ABS(F15)*Assumptions!F33</f>
        <v/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SMG Swiss Marketplace Group Holding AG (SMG_SW)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28.55</v>
      </c>
    </row>
    <row r="4">
      <c r="A4" s="4" t="inlineStr">
        <is>
          <t>Year</t>
        </is>
      </c>
      <c r="F4" s="1" t="n">
        <v>2026</v>
      </c>
      <c r="G4" s="1" t="n">
        <v>2027</v>
      </c>
      <c r="H4" s="1" t="n">
        <v>2028</v>
      </c>
      <c r="I4" s="1" t="n">
        <v>2029</v>
      </c>
      <c r="J4" s="1" t="n">
        <v>2030</v>
      </c>
    </row>
    <row r="5">
      <c r="A5" s="4" t="inlineStr">
        <is>
          <t>Year #</t>
        </is>
      </c>
      <c r="F5" t="n">
        <v>1</v>
      </c>
      <c r="G5" t="n">
        <v>2</v>
      </c>
      <c r="H5" t="n">
        <v>3</v>
      </c>
      <c r="I5" t="n">
        <v>4</v>
      </c>
      <c r="J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4" t="inlineStr">
        <is>
          <t>EBITDA ($M)</t>
        </is>
      </c>
      <c r="F8" s="8">
        <f>INDIRECT("Model!"&amp;"F"&amp;Model!B200)</f>
        <v/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</row>
    <row r="9">
      <c r="A9" s="4" t="inlineStr">
        <is>
          <t>(-) Taxes ($M)</t>
        </is>
      </c>
      <c r="F9" s="8">
        <f>INDIRECT("Model!"&amp;"F"&amp;Model!B201)</f>
        <v/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</row>
    <row r="10">
      <c r="A10" s="4" t="inlineStr">
        <is>
          <t>(+/-) Change in WC ($M)</t>
        </is>
      </c>
      <c r="F10" s="8">
        <f>INDIRECT("Model!"&amp;"F"&amp;Model!B204)</f>
        <v/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</row>
    <row r="11">
      <c r="A11" s="4" t="inlineStr">
        <is>
          <t>(-) CapEx ($M)</t>
        </is>
      </c>
      <c r="F11" s="8">
        <f>INDIRECT("Model!"&amp;"F"&amp;Model!B202)</f>
        <v/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</row>
    <row r="12">
      <c r="A12" s="2" t="inlineStr">
        <is>
          <t>Unlevered Free Cash Flow ($M)</t>
        </is>
      </c>
      <c r="F12" s="8">
        <f>F8+F9+F10+F11</f>
        <v/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F18" s="17">
        <f>1/(1+$C$15)^1</f>
        <v/>
      </c>
      <c r="G18" s="17">
        <f>1/(1+$C$15)^2</f>
        <v/>
      </c>
      <c r="H18" s="17">
        <f>1/(1+$C$15)^3</f>
        <v/>
      </c>
      <c r="I18" s="17">
        <f>1/(1+$C$15)^4</f>
        <v/>
      </c>
      <c r="J18" s="17">
        <f>1/(1+$C$15)^5</f>
        <v/>
      </c>
    </row>
    <row r="19">
      <c r="A19" s="4" t="inlineStr">
        <is>
          <t>PV of UFCF ($M)</t>
        </is>
      </c>
      <c r="F19" s="8">
        <f>F12*F18</f>
        <v/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</row>
    <row r="21">
      <c r="A21" s="2" t="inlineStr">
        <is>
          <t>Terminal Value ($M)</t>
        </is>
      </c>
      <c r="J21" s="8">
        <f>J8*$C$16</f>
        <v/>
      </c>
    </row>
    <row r="22">
      <c r="A22" s="4" t="inlineStr">
        <is>
          <t>PV of Terminal Value ($M)</t>
        </is>
      </c>
      <c r="J22" s="8">
        <f>J21*J18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4" t="inlineStr">
        <is>
          <t>Sum of PV of UFCF ($M)</t>
        </is>
      </c>
      <c r="C25" s="8">
        <f>SUM(F19:J19)</f>
        <v/>
      </c>
    </row>
    <row r="26">
      <c r="A26" s="4" t="inlineStr">
        <is>
          <t>PV of Terminal Value ($M)</t>
        </is>
      </c>
      <c r="C26" s="8">
        <f>J22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80.818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98.085188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C33/28.55-1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14x</t>
        </is>
      </c>
      <c r="D38" s="1" t="inlineStr">
        <is>
          <t>16x</t>
        </is>
      </c>
      <c r="E38" s="1" t="inlineStr">
        <is>
          <t>18x</t>
        </is>
      </c>
      <c r="F38" s="1" t="inlineStr">
        <is>
          <t>20x</t>
        </is>
      </c>
      <c r="G38" s="1" t="inlineStr">
        <is>
          <t>22x</t>
        </is>
      </c>
    </row>
    <row r="39">
      <c r="A39" s="21" t="n">
        <v>0.07000000000000001</v>
      </c>
      <c r="C39" s="22">
        <f>(F$12/(1+$A$39)^1+G$12/(1+$A$39)^2+H$12/(1+$A$39)^3+I$12/(1+$A$39)^4+J$12/(1+$A$39)^5+J$8*14/(1+$A$39)^5+$C$29)/$C$32</f>
        <v/>
      </c>
      <c r="D39" s="22">
        <f>(F$12/(1+$A$39)^1+G$12/(1+$A$39)^2+H$12/(1+$A$39)^3+I$12/(1+$A$39)^4+J$12/(1+$A$39)^5+J$8*16/(1+$A$39)^5+$C$29)/$C$32</f>
        <v/>
      </c>
      <c r="E39" s="22">
        <f>(F$12/(1+$A$39)^1+G$12/(1+$A$39)^2+H$12/(1+$A$39)^3+I$12/(1+$A$39)^4+J$12/(1+$A$39)^5+J$8*18/(1+$A$39)^5+$C$29)/$C$32</f>
        <v/>
      </c>
      <c r="F39" s="22">
        <f>(F$12/(1+$A$39)^1+G$12/(1+$A$39)^2+H$12/(1+$A$39)^3+I$12/(1+$A$39)^4+J$12/(1+$A$39)^5+J$8*20/(1+$A$39)^5+$C$29)/$C$32</f>
        <v/>
      </c>
      <c r="G39" s="22">
        <f>(F$12/(1+$A$39)^1+G$12/(1+$A$39)^2+H$12/(1+$A$39)^3+I$12/(1+$A$39)^4+J$12/(1+$A$39)^5+J$8*22/(1+$A$39)^5+$C$29)/$C$32</f>
        <v/>
      </c>
    </row>
    <row r="40">
      <c r="A40" s="21" t="n">
        <v>0.08</v>
      </c>
      <c r="C40" s="22">
        <f>(F$12/(1+$A$40)^1+G$12/(1+$A$40)^2+H$12/(1+$A$40)^3+I$12/(1+$A$40)^4+J$12/(1+$A$40)^5+J$8*14/(1+$A$40)^5+$C$29)/$C$32</f>
        <v/>
      </c>
      <c r="D40" s="22">
        <f>(F$12/(1+$A$40)^1+G$12/(1+$A$40)^2+H$12/(1+$A$40)^3+I$12/(1+$A$40)^4+J$12/(1+$A$40)^5+J$8*16/(1+$A$40)^5+$C$29)/$C$32</f>
        <v/>
      </c>
      <c r="E40" s="22">
        <f>(F$12/(1+$A$40)^1+G$12/(1+$A$40)^2+H$12/(1+$A$40)^3+I$12/(1+$A$40)^4+J$12/(1+$A$40)^5+J$8*18/(1+$A$40)^5+$C$29)/$C$32</f>
        <v/>
      </c>
      <c r="F40" s="22">
        <f>(F$12/(1+$A$40)^1+G$12/(1+$A$40)^2+H$12/(1+$A$40)^3+I$12/(1+$A$40)^4+J$12/(1+$A$40)^5+J$8*20/(1+$A$40)^5+$C$29)/$C$32</f>
        <v/>
      </c>
      <c r="G40" s="22">
        <f>(F$12/(1+$A$40)^1+G$12/(1+$A$40)^2+H$12/(1+$A$40)^3+I$12/(1+$A$40)^4+J$12/(1+$A$40)^5+J$8*22/(1+$A$40)^5+$C$29)/$C$32</f>
        <v/>
      </c>
    </row>
    <row r="41">
      <c r="A41" s="21" t="n">
        <v>0.09000000000000001</v>
      </c>
      <c r="C41" s="22">
        <f>(F$12/(1+$A$41)^1+G$12/(1+$A$41)^2+H$12/(1+$A$41)^3+I$12/(1+$A$41)^4+J$12/(1+$A$41)^5+J$8*14/(1+$A$41)^5+$C$29)/$C$32</f>
        <v/>
      </c>
      <c r="D41" s="22">
        <f>(F$12/(1+$A$41)^1+G$12/(1+$A$41)^2+H$12/(1+$A$41)^3+I$12/(1+$A$41)^4+J$12/(1+$A$41)^5+J$8*16/(1+$A$41)^5+$C$29)/$C$32</f>
        <v/>
      </c>
      <c r="E41" s="22">
        <f>(F$12/(1+$A$41)^1+G$12/(1+$A$41)^2+H$12/(1+$A$41)^3+I$12/(1+$A$41)^4+J$12/(1+$A$41)^5+J$8*18/(1+$A$41)^5+$C$29)/$C$32</f>
        <v/>
      </c>
      <c r="F41" s="22">
        <f>(F$12/(1+$A$41)^1+G$12/(1+$A$41)^2+H$12/(1+$A$41)^3+I$12/(1+$A$41)^4+J$12/(1+$A$41)^5+J$8*20/(1+$A$41)^5+$C$29)/$C$32</f>
        <v/>
      </c>
      <c r="G41" s="22">
        <f>(F$12/(1+$A$41)^1+G$12/(1+$A$41)^2+H$12/(1+$A$41)^3+I$12/(1+$A$41)^4+J$12/(1+$A$41)^5+J$8*22/(1+$A$41)^5+$C$29)/$C$32</f>
        <v/>
      </c>
    </row>
    <row r="42">
      <c r="A42" s="21" t="n">
        <v>0.1</v>
      </c>
      <c r="C42" s="22">
        <f>(F$12/(1+$A$42)^1+G$12/(1+$A$42)^2+H$12/(1+$A$42)^3+I$12/(1+$A$42)^4+J$12/(1+$A$42)^5+J$8*14/(1+$A$42)^5+$C$29)/$C$32</f>
        <v/>
      </c>
      <c r="D42" s="22">
        <f>(F$12/(1+$A$42)^1+G$12/(1+$A$42)^2+H$12/(1+$A$42)^3+I$12/(1+$A$42)^4+J$12/(1+$A$42)^5+J$8*16/(1+$A$42)^5+$C$29)/$C$32</f>
        <v/>
      </c>
      <c r="E42" s="23">
        <f>(F$12/(1+$A$42)^1+G$12/(1+$A$42)^2+H$12/(1+$A$42)^3+I$12/(1+$A$42)^4+J$12/(1+$A$42)^5+J$8*18/(1+$A$42)^5+$C$29)/$C$32</f>
        <v/>
      </c>
      <c r="F42" s="22">
        <f>(F$12/(1+$A$42)^1+G$12/(1+$A$42)^2+H$12/(1+$A$42)^3+I$12/(1+$A$42)^4+J$12/(1+$A$42)^5+J$8*20/(1+$A$42)^5+$C$29)/$C$32</f>
        <v/>
      </c>
      <c r="G42" s="22">
        <f>(F$12/(1+$A$42)^1+G$12/(1+$A$42)^2+H$12/(1+$A$42)^3+I$12/(1+$A$42)^4+J$12/(1+$A$42)^5+J$8*22/(1+$A$42)^5+$C$29)/$C$32</f>
        <v/>
      </c>
    </row>
    <row r="43">
      <c r="A43" s="21" t="n">
        <v>0.11</v>
      </c>
      <c r="C43" s="22">
        <f>(F$12/(1+$A$43)^1+G$12/(1+$A$43)^2+H$12/(1+$A$43)^3+I$12/(1+$A$43)^4+J$12/(1+$A$43)^5+J$8*14/(1+$A$43)^5+$C$29)/$C$32</f>
        <v/>
      </c>
      <c r="D43" s="22">
        <f>(F$12/(1+$A$43)^1+G$12/(1+$A$43)^2+H$12/(1+$A$43)^3+I$12/(1+$A$43)^4+J$12/(1+$A$43)^5+J$8*16/(1+$A$43)^5+$C$29)/$C$32</f>
        <v/>
      </c>
      <c r="E43" s="22">
        <f>(F$12/(1+$A$43)^1+G$12/(1+$A$43)^2+H$12/(1+$A$43)^3+I$12/(1+$A$43)^4+J$12/(1+$A$43)^5+J$8*18/(1+$A$43)^5+$C$29)/$C$32</f>
        <v/>
      </c>
      <c r="F43" s="22">
        <f>(F$12/(1+$A$43)^1+G$12/(1+$A$43)^2+H$12/(1+$A$43)^3+I$12/(1+$A$43)^4+J$12/(1+$A$43)^5+J$8*20/(1+$A$43)^5+$C$29)/$C$32</f>
        <v/>
      </c>
      <c r="G43" s="22">
        <f>(F$12/(1+$A$43)^1+G$12/(1+$A$43)^2+H$12/(1+$A$43)^3+I$12/(1+$A$43)^4+J$12/(1+$A$43)^5+J$8*22/(1+$A$43)^5+$C$29)/$C$32</f>
        <v/>
      </c>
    </row>
    <row r="44">
      <c r="A44" s="21" t="n">
        <v>0.12</v>
      </c>
      <c r="C44" s="22">
        <f>(F$12/(1+$A$44)^1+G$12/(1+$A$44)^2+H$12/(1+$A$44)^3+I$12/(1+$A$44)^4+J$12/(1+$A$44)^5+J$8*14/(1+$A$44)^5+$C$29)/$C$32</f>
        <v/>
      </c>
      <c r="D44" s="22">
        <f>(F$12/(1+$A$44)^1+G$12/(1+$A$44)^2+H$12/(1+$A$44)^3+I$12/(1+$A$44)^4+J$12/(1+$A$44)^5+J$8*16/(1+$A$44)^5+$C$29)/$C$32</f>
        <v/>
      </c>
      <c r="E44" s="22">
        <f>(F$12/(1+$A$44)^1+G$12/(1+$A$44)^2+H$12/(1+$A$44)^3+I$12/(1+$A$44)^4+J$12/(1+$A$44)^5+J$8*18/(1+$A$44)^5+$C$29)/$C$32</f>
        <v/>
      </c>
      <c r="F44" s="22">
        <f>(F$12/(1+$A$44)^1+G$12/(1+$A$44)^2+H$12/(1+$A$44)^3+I$12/(1+$A$44)^4+J$12/(1+$A$44)^5+J$8*20/(1+$A$44)^5+$C$29)/$C$32</f>
        <v/>
      </c>
      <c r="G44" s="22">
        <f>(F$12/(1+$A$44)^1+G$12/(1+$A$44)^2+H$12/(1+$A$44)^3+I$12/(1+$A$44)^4+J$12/(1+$A$44)^5+J$8*22/(1+$A$44)^5+$C$29)/$C$32</f>
        <v/>
      </c>
    </row>
    <row r="45">
      <c r="A45" s="21" t="n">
        <v>0.13</v>
      </c>
      <c r="C45" s="22">
        <f>(F$12/(1+$A$45)^1+G$12/(1+$A$45)^2+H$12/(1+$A$45)^3+I$12/(1+$A$45)^4+J$12/(1+$A$45)^5+J$8*14/(1+$A$45)^5+$C$29)/$C$32</f>
        <v/>
      </c>
      <c r="D45" s="22">
        <f>(F$12/(1+$A$45)^1+G$12/(1+$A$45)^2+H$12/(1+$A$45)^3+I$12/(1+$A$45)^4+J$12/(1+$A$45)^5+J$8*16/(1+$A$45)^5+$C$29)/$C$32</f>
        <v/>
      </c>
      <c r="E45" s="22">
        <f>(F$12/(1+$A$45)^1+G$12/(1+$A$45)^2+H$12/(1+$A$45)^3+I$12/(1+$A$45)^4+J$12/(1+$A$45)^5+J$8*18/(1+$A$45)^5+$C$29)/$C$32</f>
        <v/>
      </c>
      <c r="F45" s="22">
        <f>(F$12/(1+$A$45)^1+G$12/(1+$A$45)^2+H$12/(1+$A$45)^3+I$12/(1+$A$45)^4+J$12/(1+$A$45)^5+J$8*20/(1+$A$45)^5+$C$29)/$C$32</f>
        <v/>
      </c>
      <c r="G45" s="22">
        <f>(F$12/(1+$A$45)^1+G$12/(1+$A$45)^2+H$12/(1+$A$45)^3+I$12/(1+$A$45)^4+J$12/(1+$A$45)^5+J$8*22/(1+$A$45)^5+$C$29)/$C$32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2026-04-10T07:31:25Z</dcterms:created>
  <dcterms:modified xmlns:dcterms="http://purl.org/dc/terms/" xmlns:xsi="http://www.w3.org/2001/XMLSchema-instance" xsi:type="dcterms:W3CDTF">2026-04-10T07:31:25Z</dcterms:modified>
</cp:coreProperties>
</file>