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Netflix, Inc. (NFLX)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Entertainment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31615.55</v>
      </c>
      <c r="D7" s="5" t="n">
        <v>33723.297</v>
      </c>
      <c r="E7" s="5" t="n">
        <v>39000.966</v>
      </c>
      <c r="F7" s="5" t="n">
        <v>45183.036</v>
      </c>
    </row>
    <row r="8">
      <c r="A8" s="4" t="inlineStr">
        <is>
          <t xml:space="preserve">  Revenue Growth - Base</t>
        </is>
      </c>
      <c r="G8" s="6" t="n">
        <v>0.176</v>
      </c>
      <c r="H8" s="6" t="n">
        <v>0.1584</v>
      </c>
      <c r="I8" s="6" t="n">
        <v>0.1408</v>
      </c>
      <c r="J8" s="6" t="n">
        <v>0.1232</v>
      </c>
      <c r="K8" s="6" t="n">
        <v>0.1056</v>
      </c>
    </row>
    <row r="9">
      <c r="A9" s="4" t="inlineStr">
        <is>
          <t xml:space="preserve">  Revenue Growth - Bull</t>
        </is>
      </c>
      <c r="G9" s="6" t="n">
        <v>0.2024</v>
      </c>
      <c r="H9" s="6" t="n">
        <v>0.18216</v>
      </c>
      <c r="I9" s="6" t="n">
        <v>0.16192</v>
      </c>
      <c r="J9" s="6" t="n">
        <v>0.14168</v>
      </c>
      <c r="K9" s="6" t="n">
        <v>0.12144</v>
      </c>
    </row>
    <row r="10">
      <c r="A10" s="4" t="inlineStr">
        <is>
          <t xml:space="preserve">  Revenue Growth - Bear</t>
        </is>
      </c>
      <c r="G10" s="6" t="n">
        <v>0.1496</v>
      </c>
      <c r="H10" s="6" t="n">
        <v>0.13464</v>
      </c>
      <c r="I10" s="6" t="n">
        <v>0.11968</v>
      </c>
      <c r="J10" s="6" t="n">
        <v>0.10472</v>
      </c>
      <c r="K10" s="6" t="n">
        <v>0.08975999999999999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0.4386291931119151</v>
      </c>
      <c r="H15" s="6" t="n">
        <v>0.4386291931119151</v>
      </c>
      <c r="I15" s="6" t="n">
        <v>0.4386291931119151</v>
      </c>
      <c r="J15" s="6" t="n">
        <v>0.4386291931119151</v>
      </c>
      <c r="K15" s="6" t="n">
        <v>0.4386291931119151</v>
      </c>
    </row>
    <row r="16">
      <c r="A16" s="4" t="inlineStr">
        <is>
          <t>Gross Margin - Bull</t>
        </is>
      </c>
      <c r="G16" s="6" t="n">
        <v>0.4486291931119151</v>
      </c>
      <c r="H16" s="6" t="n">
        <v>0.4486291931119151</v>
      </c>
      <c r="I16" s="6" t="n">
        <v>0.4486291931119151</v>
      </c>
      <c r="J16" s="6" t="n">
        <v>0.4486291931119151</v>
      </c>
      <c r="K16" s="6" t="n">
        <v>0.4486291931119151</v>
      </c>
    </row>
    <row r="17">
      <c r="A17" s="4" t="inlineStr">
        <is>
          <t>Gross Margin - Bear</t>
        </is>
      </c>
      <c r="G17" s="6" t="n">
        <v>0.4286291931119151</v>
      </c>
      <c r="H17" s="6" t="n">
        <v>0.4286291931119151</v>
      </c>
      <c r="I17" s="6" t="n">
        <v>0.4286291931119151</v>
      </c>
      <c r="J17" s="6" t="n">
        <v>0.4286291931119151</v>
      </c>
      <c r="K17" s="6" t="n">
        <v>0.4286291931119151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0.01</v>
      </c>
      <c r="H20" s="6" t="n">
        <v>0.01</v>
      </c>
      <c r="I20" s="6" t="n">
        <v>0.01</v>
      </c>
      <c r="J20" s="6" t="n">
        <v>0.01</v>
      </c>
      <c r="K20" s="6" t="n">
        <v>0.01</v>
      </c>
    </row>
    <row r="21">
      <c r="A21" s="4" t="inlineStr">
        <is>
          <t>SG&amp;A % Revenue - Bull</t>
        </is>
      </c>
      <c r="G21" s="6" t="n">
        <v>0.01</v>
      </c>
      <c r="H21" s="6" t="n">
        <v>0.01</v>
      </c>
      <c r="I21" s="6" t="n">
        <v>0.01</v>
      </c>
      <c r="J21" s="6" t="n">
        <v>0.01</v>
      </c>
      <c r="K21" s="6" t="n">
        <v>0.01</v>
      </c>
    </row>
    <row r="22">
      <c r="A22" s="4" t="inlineStr">
        <is>
          <t>SG&amp;A % Revenue - Bear</t>
        </is>
      </c>
      <c r="G22" s="6" t="n">
        <v>0.01</v>
      </c>
      <c r="H22" s="6" t="n">
        <v>0.01</v>
      </c>
      <c r="I22" s="6" t="n">
        <v>0.01</v>
      </c>
      <c r="J22" s="6" t="n">
        <v>0.01</v>
      </c>
      <c r="K22" s="6" t="n">
        <v>0.01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0.07878984117548175</v>
      </c>
      <c r="H25" s="6" t="n">
        <v>0.07878984117548175</v>
      </c>
      <c r="I25" s="6" t="n">
        <v>0.07878984117548175</v>
      </c>
      <c r="J25" s="6" t="n">
        <v>0.07878984117548175</v>
      </c>
      <c r="K25" s="6" t="n">
        <v>0.07878984117548175</v>
      </c>
    </row>
    <row r="26">
      <c r="A26" s="4" t="inlineStr">
        <is>
          <t>R&amp;D % Revenue - Bull</t>
        </is>
      </c>
      <c r="G26" s="6" t="n">
        <v>0.07878984117548175</v>
      </c>
      <c r="H26" s="6" t="n">
        <v>0.07878984117548175</v>
      </c>
      <c r="I26" s="6" t="n">
        <v>0.07878984117548175</v>
      </c>
      <c r="J26" s="6" t="n">
        <v>0.07878984117548175</v>
      </c>
      <c r="K26" s="6" t="n">
        <v>0.07878984117548175</v>
      </c>
    </row>
    <row r="27">
      <c r="A27" s="4" t="inlineStr">
        <is>
          <t>R&amp;D % Revenue - Bear</t>
        </is>
      </c>
      <c r="G27" s="6" t="n">
        <v>0.07878984117548175</v>
      </c>
      <c r="H27" s="6" t="n">
        <v>0.07878984117548175</v>
      </c>
      <c r="I27" s="6" t="n">
        <v>0.07878984117548175</v>
      </c>
      <c r="J27" s="6" t="n">
        <v>0.07878984117548175</v>
      </c>
      <c r="K27" s="6" t="n">
        <v>0.07878984117548175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0.4143715014028205</v>
      </c>
      <c r="H30" s="6" t="n">
        <v>0.4143715014028205</v>
      </c>
      <c r="I30" s="6" t="n">
        <v>0.4143715014028205</v>
      </c>
      <c r="J30" s="6" t="n">
        <v>0.4143715014028205</v>
      </c>
      <c r="K30" s="6" t="n">
        <v>0.4143715014028205</v>
      </c>
    </row>
    <row r="31">
      <c r="A31" s="4" t="inlineStr">
        <is>
          <t>CapEx % Revenue</t>
        </is>
      </c>
      <c r="G31" s="6" t="n">
        <v>0.01208319811520797</v>
      </c>
      <c r="H31" s="6" t="n">
        <v>0.01208319811520797</v>
      </c>
      <c r="I31" s="6" t="n">
        <v>0.01208319811520797</v>
      </c>
      <c r="J31" s="6" t="n">
        <v>0.01208319811520797</v>
      </c>
      <c r="K31" s="6" t="n">
        <v>0.01208319811520797</v>
      </c>
    </row>
    <row r="32">
      <c r="A32" s="4" t="inlineStr">
        <is>
          <t>Tax Rate</t>
        </is>
      </c>
      <c r="G32" s="6" t="n">
        <v>0.1256918212133952</v>
      </c>
      <c r="H32" s="6" t="n">
        <v>0.1256918212133952</v>
      </c>
      <c r="I32" s="6" t="n">
        <v>0.1256918212133952</v>
      </c>
      <c r="J32" s="6" t="n">
        <v>0.1256918212133952</v>
      </c>
      <c r="K32" s="6" t="n">
        <v>0.1256918212133952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0.1357</v>
      </c>
    </row>
    <row r="36">
      <c r="A36" s="4" t="inlineStr">
        <is>
          <t>WACC - Bull</t>
        </is>
      </c>
      <c r="C36" s="6" t="n">
        <v>0.1257</v>
      </c>
    </row>
    <row r="37">
      <c r="A37" s="4" t="inlineStr">
        <is>
          <t>WACC - Bear</t>
        </is>
      </c>
      <c r="C37" s="6" t="n">
        <v>0.1457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15</v>
      </c>
    </row>
    <row r="41">
      <c r="A41" s="4" t="inlineStr">
        <is>
          <t>Terminal Value Multiple - Bull</t>
        </is>
      </c>
      <c r="C41" s="9" t="n">
        <v>17</v>
      </c>
    </row>
    <row r="42">
      <c r="A42" s="4" t="inlineStr">
        <is>
          <t>Terminal Value Multiple - Bear</t>
        </is>
      </c>
      <c r="C42" s="9" t="n">
        <v>13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Netflix, Inc. (NFLX)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31615.55</v>
      </c>
      <c r="D6" s="5" t="n">
        <v>33723.297</v>
      </c>
      <c r="E6" s="5" t="n">
        <v>39000.966</v>
      </c>
      <c r="F6" s="5" t="n">
        <v>45183.036</v>
      </c>
    </row>
    <row r="7">
      <c r="A7" s="4" t="inlineStr">
        <is>
          <t>Cost of Revenue</t>
        </is>
      </c>
      <c r="C7" s="5" t="n">
        <v>19168.285</v>
      </c>
      <c r="D7" s="5" t="n">
        <v>19715.368</v>
      </c>
      <c r="E7" s="5" t="n">
        <v>21038.464</v>
      </c>
      <c r="F7" s="5" t="n">
        <v>23275.329</v>
      </c>
    </row>
    <row r="8">
      <c r="A8" s="2" t="inlineStr">
        <is>
          <t>Gross Profit</t>
        </is>
      </c>
      <c r="C8" s="5" t="n">
        <v>12447.265</v>
      </c>
      <c r="D8" s="5" t="n">
        <v>14007.929</v>
      </c>
      <c r="E8" s="5" t="n">
        <v>17962.502</v>
      </c>
      <c r="F8" s="5" t="n">
        <v>21907.707</v>
      </c>
    </row>
    <row r="9">
      <c r="A9" s="4" t="inlineStr">
        <is>
          <t xml:space="preserve">  Gross Margin</t>
        </is>
      </c>
      <c r="C9" s="11" t="n">
        <v>0.3937070523840325</v>
      </c>
      <c r="D9" s="11" t="n">
        <v>0.4153783955346952</v>
      </c>
      <c r="E9" s="11" t="n">
        <v>0.4605655665041732</v>
      </c>
      <c r="F9" s="11" t="n">
        <v>0.4848657580247596</v>
      </c>
    </row>
    <row r="11">
      <c r="A11" s="4" t="inlineStr">
        <is>
          <t>R&amp;D Expense</t>
        </is>
      </c>
      <c r="C11" s="5" t="n">
        <v>2711.041</v>
      </c>
      <c r="D11" s="5" t="n">
        <v>2675.758</v>
      </c>
      <c r="E11" s="5" t="n">
        <v>2925.295</v>
      </c>
      <c r="F11" s="5" t="n">
        <v>3391.39</v>
      </c>
    </row>
    <row r="12">
      <c r="A12" s="4" t="inlineStr">
        <is>
          <t>SG&amp;A Expense</t>
        </is>
      </c>
      <c r="C12" s="5" t="n">
        <v>4103.393</v>
      </c>
      <c r="D12" s="5" t="n">
        <v>4378.168</v>
      </c>
      <c r="E12" s="5" t="n">
        <v>4619.593</v>
      </c>
      <c r="F12" s="5" t="n">
        <v>5189.714</v>
      </c>
    </row>
    <row r="13">
      <c r="A13" s="2" t="inlineStr">
        <is>
          <t>Operating Income (EBIT)</t>
        </is>
      </c>
      <c r="C13" s="5" t="n">
        <v>5632.831</v>
      </c>
      <c r="D13" s="5" t="n">
        <v>6954.003</v>
      </c>
      <c r="E13" s="5" t="n">
        <v>10417.614</v>
      </c>
      <c r="F13" s="5" t="n">
        <v>13326.603</v>
      </c>
    </row>
    <row r="14">
      <c r="A14" s="4" t="inlineStr">
        <is>
          <t xml:space="preserve">  EBIT Margin</t>
        </is>
      </c>
      <c r="C14" s="11" t="n">
        <v>0.1781664718785534</v>
      </c>
      <c r="D14" s="11" t="n">
        <v>0.2062076848535895</v>
      </c>
      <c r="E14" s="11" t="n">
        <v>0.2671116915411788</v>
      </c>
      <c r="F14" s="11" t="n">
        <v>0.2949470460550725</v>
      </c>
    </row>
    <row r="16">
      <c r="A16" s="4" t="inlineStr">
        <is>
          <t>Interest Expense</t>
        </is>
      </c>
      <c r="C16" s="5" t="n">
        <v>706.212</v>
      </c>
      <c r="D16" s="5" t="n">
        <v>748.598</v>
      </c>
      <c r="E16" s="5" t="n">
        <v>718.7329999999999</v>
      </c>
      <c r="F16" s="5" t="n">
        <v>776.51</v>
      </c>
    </row>
    <row r="17">
      <c r="A17" s="4" t="inlineStr">
        <is>
          <t>Tax Provision</t>
        </is>
      </c>
      <c r="C17" s="5" t="n">
        <v>772.005</v>
      </c>
      <c r="D17" s="5" t="n">
        <v>797.415</v>
      </c>
      <c r="E17" s="5" t="n">
        <v>1254.026</v>
      </c>
      <c r="F17" s="5" t="n">
        <v>1741.351</v>
      </c>
    </row>
    <row r="18">
      <c r="A18" s="2" t="inlineStr">
        <is>
          <t>Net Income</t>
        </is>
      </c>
      <c r="C18" s="5" t="n">
        <v>4491.924</v>
      </c>
      <c r="D18" s="5" t="n">
        <v>5407.99</v>
      </c>
      <c r="E18" s="5" t="n">
        <v>8711.630999999999</v>
      </c>
      <c r="F18" s="5" t="n">
        <v>10981.201</v>
      </c>
    </row>
    <row r="19">
      <c r="A19" s="4" t="inlineStr">
        <is>
          <t xml:space="preserve">  Net Margin</t>
        </is>
      </c>
      <c r="C19" s="11" t="n">
        <v>0.1420795779292152</v>
      </c>
      <c r="D19" s="11" t="n">
        <v>0.1603636204372307</v>
      </c>
      <c r="E19" s="11" t="n">
        <v>0.2233696211524607</v>
      </c>
      <c r="F19" s="11" t="n">
        <v>0.2430381393583202</v>
      </c>
    </row>
    <row r="21">
      <c r="A21" s="2" t="inlineStr">
        <is>
          <t>EBITDA</t>
        </is>
      </c>
      <c r="C21" s="5" t="n">
        <v>20332.955</v>
      </c>
      <c r="D21" s="5" t="n">
        <v>21508.387</v>
      </c>
      <c r="E21" s="5" t="n">
        <v>26314.821</v>
      </c>
      <c r="F21" s="5" t="n">
        <v>30254.617</v>
      </c>
    </row>
    <row r="22">
      <c r="A22" s="4" t="inlineStr">
        <is>
          <t xml:space="preserve">  EBITDA Margin</t>
        </is>
      </c>
      <c r="C22" s="11" t="n">
        <v>0.6431314653706799</v>
      </c>
      <c r="D22" s="11" t="n">
        <v>0.6377901603155824</v>
      </c>
      <c r="E22" s="11" t="n">
        <v>0.6747222876479521</v>
      </c>
      <c r="F22" s="11" t="n">
        <v>0.6696012414924929</v>
      </c>
    </row>
    <row r="23">
      <c r="A23" s="4" t="inlineStr">
        <is>
          <t>Diluted EPS</t>
        </is>
      </c>
      <c r="C23" s="12" t="n">
        <v>0.995</v>
      </c>
      <c r="D23" s="12" t="n">
        <v>1.2</v>
      </c>
      <c r="E23" s="12" t="n">
        <v>1.98</v>
      </c>
      <c r="F23" s="12" t="n">
        <v>2.53</v>
      </c>
    </row>
    <row r="24">
      <c r="A24" s="4" t="inlineStr">
        <is>
          <t>D&amp;A</t>
        </is>
      </c>
      <c r="C24" s="5" t="n">
        <v>14362.814</v>
      </c>
      <c r="D24" s="5" t="n">
        <v>14554.384</v>
      </c>
      <c r="E24" s="5" t="n">
        <v>15630.431</v>
      </c>
      <c r="F24" s="5" t="n">
        <v>16755.555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5147.176</v>
      </c>
      <c r="D28" s="5" t="n">
        <v>7116.913</v>
      </c>
      <c r="E28" s="5" t="n">
        <v>7804.733</v>
      </c>
      <c r="F28" s="5" t="n">
        <v>9033.681</v>
      </c>
    </row>
    <row r="29">
      <c r="A29" s="4" t="inlineStr">
        <is>
          <t>Current Assets</t>
        </is>
      </c>
      <c r="C29" s="5" t="n">
        <v>9266.473</v>
      </c>
      <c r="D29" s="5" t="n">
        <v>9918.133</v>
      </c>
      <c r="E29" s="5" t="n">
        <v>13100.379</v>
      </c>
      <c r="F29" s="5" t="n">
        <v>13020.191</v>
      </c>
    </row>
    <row r="30">
      <c r="A30" s="4" t="inlineStr">
        <is>
          <t>Net PP&amp;E</t>
        </is>
      </c>
      <c r="C30" s="5" t="n">
        <v>1398.257</v>
      </c>
      <c r="D30" s="5" t="n">
        <v>1491.444</v>
      </c>
      <c r="E30" s="5" t="n">
        <v>1593.756</v>
      </c>
      <c r="F30" s="5" t="n">
        <v>2004.35</v>
      </c>
    </row>
    <row r="31">
      <c r="A31" s="4" t="inlineStr">
        <is>
          <t>Goodwill</t>
        </is>
      </c>
      <c r="C31" s="5" t="n">
        <v>0</v>
      </c>
      <c r="D31" s="5" t="n">
        <v>0</v>
      </c>
      <c r="E31" s="5" t="n">
        <v>0</v>
      </c>
      <c r="F31" s="5" t="n">
        <v>0</v>
      </c>
    </row>
    <row r="32">
      <c r="A32" s="2" t="inlineStr">
        <is>
          <t>Total Assets</t>
        </is>
      </c>
      <c r="C32" s="5" t="n">
        <v>48594.768</v>
      </c>
      <c r="D32" s="5" t="n">
        <v>48731.992</v>
      </c>
      <c r="E32" s="5" t="n">
        <v>53630.374</v>
      </c>
      <c r="F32" s="5" t="n">
        <v>55596.993</v>
      </c>
    </row>
    <row r="34">
      <c r="A34" s="4" t="inlineStr">
        <is>
          <t>Current Liabilities</t>
        </is>
      </c>
      <c r="C34" s="5" t="n">
        <v>7930.974</v>
      </c>
      <c r="D34" s="5" t="n">
        <v>8860.655000000001</v>
      </c>
      <c r="E34" s="5" t="n">
        <v>10755.4</v>
      </c>
      <c r="F34" s="5" t="n">
        <v>10980.93</v>
      </c>
    </row>
    <row r="35">
      <c r="A35" s="4" t="inlineStr">
        <is>
          <t>Total Debt</t>
        </is>
      </c>
      <c r="C35" s="5" t="n">
        <v>14353.076</v>
      </c>
      <c r="D35" s="5" t="n">
        <v>14543.261</v>
      </c>
      <c r="E35" s="5" t="n">
        <v>15582.804</v>
      </c>
      <c r="F35" s="5" t="n">
        <v>14462.836</v>
      </c>
    </row>
    <row r="36">
      <c r="A36" s="2" t="inlineStr">
        <is>
          <t>Total Liabilities</t>
        </is>
      </c>
      <c r="C36" s="5" t="n">
        <v>27817.367</v>
      </c>
      <c r="D36" s="5" t="n">
        <v>28143.679</v>
      </c>
      <c r="E36" s="5" t="n">
        <v>28886.807</v>
      </c>
      <c r="F36" s="5" t="n">
        <v>28981.505</v>
      </c>
    </row>
    <row r="38">
      <c r="A38" s="2" t="inlineStr">
        <is>
          <t>Total Equity</t>
        </is>
      </c>
      <c r="C38" s="5" t="n">
        <v>20777.401</v>
      </c>
      <c r="D38" s="5" t="n">
        <v>20588.313</v>
      </c>
      <c r="E38" s="5" t="n">
        <v>24743.567</v>
      </c>
      <c r="F38" s="5" t="n">
        <v>26615.488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2026.257</v>
      </c>
      <c r="D42" s="5" t="n">
        <v>7274.301</v>
      </c>
      <c r="E42" s="5" t="n">
        <v>7361.364</v>
      </c>
      <c r="F42" s="5" t="n">
        <v>10149.273</v>
      </c>
    </row>
    <row r="43">
      <c r="A43" s="4" t="inlineStr">
        <is>
          <t>Capital Expenditure</t>
        </is>
      </c>
      <c r="C43" s="5" t="n">
        <v>-407.729</v>
      </c>
      <c r="D43" s="5" t="n">
        <v>-348.552</v>
      </c>
      <c r="E43" s="5" t="n">
        <v>-439.538</v>
      </c>
      <c r="F43" s="5" t="n">
        <v>-688.22</v>
      </c>
    </row>
    <row r="44">
      <c r="A44" s="2" t="inlineStr">
        <is>
          <t>Free Cash Flow</t>
        </is>
      </c>
      <c r="C44" s="5" t="n">
        <v>1618.528</v>
      </c>
      <c r="D44" s="5" t="n">
        <v>6925.749</v>
      </c>
      <c r="E44" s="5" t="n">
        <v>6921.826</v>
      </c>
      <c r="F44" s="5" t="n">
        <v>9461.053</v>
      </c>
    </row>
    <row r="46">
      <c r="A46" s="4" t="inlineStr">
        <is>
          <t>D&amp;A</t>
        </is>
      </c>
      <c r="C46" s="5" t="n">
        <v>14362.814</v>
      </c>
      <c r="D46" s="5" t="n">
        <v>14554.384</v>
      </c>
      <c r="E46" s="5" t="n">
        <v>15630.431</v>
      </c>
      <c r="F46" s="5" t="n">
        <v>16755.555</v>
      </c>
    </row>
    <row r="47">
      <c r="A47" s="4" t="inlineStr">
        <is>
          <t>Stock-Based Compensation</t>
        </is>
      </c>
      <c r="C47" s="5" t="n">
        <v>575.452</v>
      </c>
      <c r="D47" s="5" t="n">
        <v>339.368</v>
      </c>
      <c r="E47" s="5" t="n">
        <v>272.588</v>
      </c>
      <c r="F47" s="5" t="n">
        <v>368.449</v>
      </c>
    </row>
    <row r="48">
      <c r="A48" s="4" t="inlineStr">
        <is>
          <t>Change in Working Capital</t>
        </is>
      </c>
      <c r="C48" s="5" t="n">
        <v>-758.087</v>
      </c>
      <c r="D48" s="5" t="n">
        <v>-116.148</v>
      </c>
      <c r="E48" s="5" t="n">
        <v>-33.075</v>
      </c>
      <c r="F48" s="5" t="n">
        <v>-456.22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Netflix, Inc. (NFLX)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Entertainment</t>
        </is>
      </c>
      <c r="C8" s="5" t="n">
        <v>31615.55</v>
      </c>
      <c r="D8" s="5" t="n">
        <v>33723.297</v>
      </c>
      <c r="E8" s="5" t="n">
        <v>39000.966</v>
      </c>
      <c r="F8" s="5" t="n">
        <v>45183.036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19168.285</v>
      </c>
      <c r="D16" s="5" t="n">
        <v>19715.368</v>
      </c>
      <c r="E16" s="5" t="n">
        <v>21038.464</v>
      </c>
      <c r="F16" s="5" t="n">
        <v>23275.329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4103.393</v>
      </c>
      <c r="D20" s="5" t="n">
        <v>4378.168</v>
      </c>
      <c r="E20" s="5" t="n">
        <v>4619.593</v>
      </c>
      <c r="F20" s="5" t="n">
        <v>5189.714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2711.041</v>
      </c>
      <c r="D21" s="5" t="n">
        <v>2675.758</v>
      </c>
      <c r="E21" s="5" t="n">
        <v>2925.295</v>
      </c>
      <c r="F21" s="5" t="n">
        <v>3391.39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14362.814</v>
      </c>
      <c r="D22" s="5" t="n">
        <v>14554.384</v>
      </c>
      <c r="E22" s="5" t="n">
        <v>15630.431</v>
      </c>
      <c r="F22" s="5" t="n">
        <v>16755.555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706.212</v>
      </c>
      <c r="D29" s="5" t="n">
        <v>748.598</v>
      </c>
      <c r="E29" s="5" t="n">
        <v>718.7329999999999</v>
      </c>
      <c r="F29" s="5" t="n">
        <v>776.51</v>
      </c>
      <c r="G29" s="5" t="n">
        <v>776.51</v>
      </c>
      <c r="H29" s="5" t="n">
        <v>776.51</v>
      </c>
      <c r="I29" s="5" t="n">
        <v>776.51</v>
      </c>
      <c r="J29" s="5" t="n">
        <v>776.51</v>
      </c>
      <c r="K29" s="5" t="n">
        <v>776.51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772.005</v>
      </c>
      <c r="D31" s="5" t="n">
        <v>797.415</v>
      </c>
      <c r="E31" s="5" t="n">
        <v>1254.026</v>
      </c>
      <c r="F31" s="5" t="n">
        <v>1741.351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-758.087</v>
      </c>
      <c r="D39" s="5" t="n">
        <v>-116.148</v>
      </c>
      <c r="E39" s="5" t="n">
        <v>-33.075</v>
      </c>
      <c r="F39" s="5" t="n">
        <v>-456.22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-407.729</v>
      </c>
      <c r="D42" s="5" t="n">
        <v>-348.552</v>
      </c>
      <c r="E42" s="5" t="n">
        <v>-439.538</v>
      </c>
      <c r="F42" s="5" t="n">
        <v>-688.22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Netflix, Inc. (NFLX)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93.43000000000001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-5429.155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4237.32334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C33/93.43-1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11x</t>
        </is>
      </c>
      <c r="D38" s="1" t="inlineStr">
        <is>
          <t>13x</t>
        </is>
      </c>
      <c r="E38" s="1" t="inlineStr">
        <is>
          <t>15x</t>
        </is>
      </c>
      <c r="F38" s="1" t="inlineStr">
        <is>
          <t>17x</t>
        </is>
      </c>
      <c r="G38" s="1" t="inlineStr">
        <is>
          <t>19x</t>
        </is>
      </c>
    </row>
    <row r="39">
      <c r="A39" s="21" t="n">
        <v>0.1057</v>
      </c>
      <c r="C39" s="22">
        <f>(G$12/(1+$A$39)^1+H$12/(1+$A$39)^2+I$12/(1+$A$39)^3+J$12/(1+$A$39)^4+K$12/(1+$A$39)^5+K$8*11/(1+$A$39)^5+$C$29)/$C$32</f>
        <v/>
      </c>
      <c r="D39" s="22">
        <f>(G$12/(1+$A$39)^1+H$12/(1+$A$39)^2+I$12/(1+$A$39)^3+J$12/(1+$A$39)^4+K$12/(1+$A$39)^5+K$8*13/(1+$A$39)^5+$C$29)/$C$32</f>
        <v/>
      </c>
      <c r="E39" s="22">
        <f>(G$12/(1+$A$39)^1+H$12/(1+$A$39)^2+I$12/(1+$A$39)^3+J$12/(1+$A$39)^4+K$12/(1+$A$39)^5+K$8*15/(1+$A$39)^5+$C$29)/$C$32</f>
        <v/>
      </c>
      <c r="F39" s="22">
        <f>(G$12/(1+$A$39)^1+H$12/(1+$A$39)^2+I$12/(1+$A$39)^3+J$12/(1+$A$39)^4+K$12/(1+$A$39)^5+K$8*17/(1+$A$39)^5+$C$29)/$C$32</f>
        <v/>
      </c>
      <c r="G39" s="22">
        <f>(G$12/(1+$A$39)^1+H$12/(1+$A$39)^2+I$12/(1+$A$39)^3+J$12/(1+$A$39)^4+K$12/(1+$A$39)^5+K$8*19/(1+$A$39)^5+$C$29)/$C$32</f>
        <v/>
      </c>
    </row>
    <row r="40">
      <c r="A40" s="21" t="n">
        <v>0.1157</v>
      </c>
      <c r="C40" s="22">
        <f>(G$12/(1+$A$40)^1+H$12/(1+$A$40)^2+I$12/(1+$A$40)^3+J$12/(1+$A$40)^4+K$12/(1+$A$40)^5+K$8*11/(1+$A$40)^5+$C$29)/$C$32</f>
        <v/>
      </c>
      <c r="D40" s="22">
        <f>(G$12/(1+$A$40)^1+H$12/(1+$A$40)^2+I$12/(1+$A$40)^3+J$12/(1+$A$40)^4+K$12/(1+$A$40)^5+K$8*13/(1+$A$40)^5+$C$29)/$C$32</f>
        <v/>
      </c>
      <c r="E40" s="22">
        <f>(G$12/(1+$A$40)^1+H$12/(1+$A$40)^2+I$12/(1+$A$40)^3+J$12/(1+$A$40)^4+K$12/(1+$A$40)^5+K$8*15/(1+$A$40)^5+$C$29)/$C$32</f>
        <v/>
      </c>
      <c r="F40" s="22">
        <f>(G$12/(1+$A$40)^1+H$12/(1+$A$40)^2+I$12/(1+$A$40)^3+J$12/(1+$A$40)^4+K$12/(1+$A$40)^5+K$8*17/(1+$A$40)^5+$C$29)/$C$32</f>
        <v/>
      </c>
      <c r="G40" s="22">
        <f>(G$12/(1+$A$40)^1+H$12/(1+$A$40)^2+I$12/(1+$A$40)^3+J$12/(1+$A$40)^4+K$12/(1+$A$40)^5+K$8*19/(1+$A$40)^5+$C$29)/$C$32</f>
        <v/>
      </c>
    </row>
    <row r="41">
      <c r="A41" s="21" t="n">
        <v>0.1257</v>
      </c>
      <c r="C41" s="22">
        <f>(G$12/(1+$A$41)^1+H$12/(1+$A$41)^2+I$12/(1+$A$41)^3+J$12/(1+$A$41)^4+K$12/(1+$A$41)^5+K$8*11/(1+$A$41)^5+$C$29)/$C$32</f>
        <v/>
      </c>
      <c r="D41" s="22">
        <f>(G$12/(1+$A$41)^1+H$12/(1+$A$41)^2+I$12/(1+$A$41)^3+J$12/(1+$A$41)^4+K$12/(1+$A$41)^5+K$8*13/(1+$A$41)^5+$C$29)/$C$32</f>
        <v/>
      </c>
      <c r="E41" s="22">
        <f>(G$12/(1+$A$41)^1+H$12/(1+$A$41)^2+I$12/(1+$A$41)^3+J$12/(1+$A$41)^4+K$12/(1+$A$41)^5+K$8*15/(1+$A$41)^5+$C$29)/$C$32</f>
        <v/>
      </c>
      <c r="F41" s="22">
        <f>(G$12/(1+$A$41)^1+H$12/(1+$A$41)^2+I$12/(1+$A$41)^3+J$12/(1+$A$41)^4+K$12/(1+$A$41)^5+K$8*17/(1+$A$41)^5+$C$29)/$C$32</f>
        <v/>
      </c>
      <c r="G41" s="22">
        <f>(G$12/(1+$A$41)^1+H$12/(1+$A$41)^2+I$12/(1+$A$41)^3+J$12/(1+$A$41)^4+K$12/(1+$A$41)^5+K$8*19/(1+$A$41)^5+$C$29)/$C$32</f>
        <v/>
      </c>
    </row>
    <row r="42">
      <c r="A42" s="21" t="n">
        <v>0.1357</v>
      </c>
      <c r="C42" s="22">
        <f>(G$12/(1+$A$42)^1+H$12/(1+$A$42)^2+I$12/(1+$A$42)^3+J$12/(1+$A$42)^4+K$12/(1+$A$42)^5+K$8*11/(1+$A$42)^5+$C$29)/$C$32</f>
        <v/>
      </c>
      <c r="D42" s="22">
        <f>(G$12/(1+$A$42)^1+H$12/(1+$A$42)^2+I$12/(1+$A$42)^3+J$12/(1+$A$42)^4+K$12/(1+$A$42)^5+K$8*13/(1+$A$42)^5+$C$29)/$C$32</f>
        <v/>
      </c>
      <c r="E42" s="23">
        <f>(G$12/(1+$A$42)^1+H$12/(1+$A$42)^2+I$12/(1+$A$42)^3+J$12/(1+$A$42)^4+K$12/(1+$A$42)^5+K$8*15/(1+$A$42)^5+$C$29)/$C$32</f>
        <v/>
      </c>
      <c r="F42" s="22">
        <f>(G$12/(1+$A$42)^1+H$12/(1+$A$42)^2+I$12/(1+$A$42)^3+J$12/(1+$A$42)^4+K$12/(1+$A$42)^5+K$8*17/(1+$A$42)^5+$C$29)/$C$32</f>
        <v/>
      </c>
      <c r="G42" s="22">
        <f>(G$12/(1+$A$42)^1+H$12/(1+$A$42)^2+I$12/(1+$A$42)^3+J$12/(1+$A$42)^4+K$12/(1+$A$42)^5+K$8*19/(1+$A$42)^5+$C$29)/$C$32</f>
        <v/>
      </c>
    </row>
    <row r="43">
      <c r="A43" s="21" t="n">
        <v>0.1457</v>
      </c>
      <c r="C43" s="22">
        <f>(G$12/(1+$A$43)^1+H$12/(1+$A$43)^2+I$12/(1+$A$43)^3+J$12/(1+$A$43)^4+K$12/(1+$A$43)^5+K$8*11/(1+$A$43)^5+$C$29)/$C$32</f>
        <v/>
      </c>
      <c r="D43" s="22">
        <f>(G$12/(1+$A$43)^1+H$12/(1+$A$43)^2+I$12/(1+$A$43)^3+J$12/(1+$A$43)^4+K$12/(1+$A$43)^5+K$8*13/(1+$A$43)^5+$C$29)/$C$32</f>
        <v/>
      </c>
      <c r="E43" s="22">
        <f>(G$12/(1+$A$43)^1+H$12/(1+$A$43)^2+I$12/(1+$A$43)^3+J$12/(1+$A$43)^4+K$12/(1+$A$43)^5+K$8*15/(1+$A$43)^5+$C$29)/$C$32</f>
        <v/>
      </c>
      <c r="F43" s="22">
        <f>(G$12/(1+$A$43)^1+H$12/(1+$A$43)^2+I$12/(1+$A$43)^3+J$12/(1+$A$43)^4+K$12/(1+$A$43)^5+K$8*17/(1+$A$43)^5+$C$29)/$C$32</f>
        <v/>
      </c>
      <c r="G43" s="22">
        <f>(G$12/(1+$A$43)^1+H$12/(1+$A$43)^2+I$12/(1+$A$43)^3+J$12/(1+$A$43)^4+K$12/(1+$A$43)^5+K$8*19/(1+$A$43)^5+$C$29)/$C$32</f>
        <v/>
      </c>
    </row>
    <row r="44">
      <c r="A44" s="21" t="n">
        <v>0.1557</v>
      </c>
      <c r="C44" s="22">
        <f>(G$12/(1+$A$44)^1+H$12/(1+$A$44)^2+I$12/(1+$A$44)^3+J$12/(1+$A$44)^4+K$12/(1+$A$44)^5+K$8*11/(1+$A$44)^5+$C$29)/$C$32</f>
        <v/>
      </c>
      <c r="D44" s="22">
        <f>(G$12/(1+$A$44)^1+H$12/(1+$A$44)^2+I$12/(1+$A$44)^3+J$12/(1+$A$44)^4+K$12/(1+$A$44)^5+K$8*13/(1+$A$44)^5+$C$29)/$C$32</f>
        <v/>
      </c>
      <c r="E44" s="22">
        <f>(G$12/(1+$A$44)^1+H$12/(1+$A$44)^2+I$12/(1+$A$44)^3+J$12/(1+$A$44)^4+K$12/(1+$A$44)^5+K$8*15/(1+$A$44)^5+$C$29)/$C$32</f>
        <v/>
      </c>
      <c r="F44" s="22">
        <f>(G$12/(1+$A$44)^1+H$12/(1+$A$44)^2+I$12/(1+$A$44)^3+J$12/(1+$A$44)^4+K$12/(1+$A$44)^5+K$8*17/(1+$A$44)^5+$C$29)/$C$32</f>
        <v/>
      </c>
      <c r="G44" s="22">
        <f>(G$12/(1+$A$44)^1+H$12/(1+$A$44)^2+I$12/(1+$A$44)^3+J$12/(1+$A$44)^4+K$12/(1+$A$44)^5+K$8*19/(1+$A$44)^5+$C$29)/$C$32</f>
        <v/>
      </c>
    </row>
    <row r="45">
      <c r="A45" s="21" t="n">
        <v>0.1657</v>
      </c>
      <c r="C45" s="22">
        <f>(G$12/(1+$A$45)^1+H$12/(1+$A$45)^2+I$12/(1+$A$45)^3+J$12/(1+$A$45)^4+K$12/(1+$A$45)^5+K$8*11/(1+$A$45)^5+$C$29)/$C$32</f>
        <v/>
      </c>
      <c r="D45" s="22">
        <f>(G$12/(1+$A$45)^1+H$12/(1+$A$45)^2+I$12/(1+$A$45)^3+J$12/(1+$A$45)^4+K$12/(1+$A$45)^5+K$8*13/(1+$A$45)^5+$C$29)/$C$32</f>
        <v/>
      </c>
      <c r="E45" s="22">
        <f>(G$12/(1+$A$45)^1+H$12/(1+$A$45)^2+I$12/(1+$A$45)^3+J$12/(1+$A$45)^4+K$12/(1+$A$45)^5+K$8*15/(1+$A$45)^5+$C$29)/$C$32</f>
        <v/>
      </c>
      <c r="F45" s="22">
        <f>(G$12/(1+$A$45)^1+H$12/(1+$A$45)^2+I$12/(1+$A$45)^3+J$12/(1+$A$45)^4+K$12/(1+$A$45)^5+K$8*17/(1+$A$45)^5+$C$29)/$C$32</f>
        <v/>
      </c>
      <c r="G45" s="22">
        <f>(G$12/(1+$A$45)^1+H$12/(1+$A$45)^2+I$12/(1+$A$45)^3+J$12/(1+$A$45)^4+K$12/(1+$A$45)^5+K$8*19/(1+$A$45)^5+$C$29)/$C$32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2026-03-28T17:22:39Z</dcterms:created>
  <dcterms:modified xmlns:dcterms="http://purl.org/dc/terms/" xmlns:xsi="http://www.w3.org/2001/XMLSchema-instance" xsi:type="dcterms:W3CDTF">2026-03-28T17:22:39Z</dcterms:modified>
</cp:coreProperties>
</file>