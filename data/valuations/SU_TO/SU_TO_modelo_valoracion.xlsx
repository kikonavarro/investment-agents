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Suncor Energy Inc. (SU_TO)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Integrated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62907</v>
      </c>
      <c r="D7" s="5" t="n">
        <v>52206</v>
      </c>
      <c r="E7" s="5" t="n">
        <v>54881</v>
      </c>
      <c r="F7" s="5" t="n">
        <v>52377</v>
      </c>
    </row>
    <row r="8">
      <c r="A8" s="4" t="inlineStr">
        <is>
          <t xml:space="preserve">  Revenue Growth - Base</t>
        </is>
      </c>
      <c r="G8" s="6" t="n">
        <v>0.02</v>
      </c>
      <c r="H8" s="6" t="n">
        <v>0.03</v>
      </c>
      <c r="I8" s="6" t="n">
        <v>0.03</v>
      </c>
      <c r="J8" s="6" t="n">
        <v>0.03</v>
      </c>
      <c r="K8" s="6" t="n">
        <v>0.02</v>
      </c>
    </row>
    <row r="9">
      <c r="A9" s="4" t="inlineStr">
        <is>
          <t xml:space="preserve">  Revenue Growth - Bull</t>
        </is>
      </c>
      <c r="G9" s="6" t="n">
        <v>0.05</v>
      </c>
      <c r="H9" s="6" t="n">
        <v>0.05</v>
      </c>
      <c r="I9" s="6" t="n">
        <v>0.04</v>
      </c>
      <c r="J9" s="6" t="n">
        <v>0.03</v>
      </c>
      <c r="K9" s="6" t="n">
        <v>0.03</v>
      </c>
    </row>
    <row r="10">
      <c r="A10" s="4" t="inlineStr">
        <is>
          <t xml:space="preserve">  Revenue Growth - Bear</t>
        </is>
      </c>
      <c r="G10" s="6" t="n">
        <v>-0.08</v>
      </c>
      <c r="H10" s="6" t="n">
        <v>-0.02</v>
      </c>
      <c r="I10" s="6" t="n">
        <v>0.01</v>
      </c>
      <c r="J10" s="6" t="n">
        <v>0.02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0.47</v>
      </c>
      <c r="H15" s="6" t="n">
        <v>0.47</v>
      </c>
      <c r="I15" s="6" t="n">
        <v>0.47</v>
      </c>
      <c r="J15" s="6" t="n">
        <v>0.47</v>
      </c>
      <c r="K15" s="6" t="n">
        <v>0.47</v>
      </c>
    </row>
    <row r="16">
      <c r="A16" s="4" t="inlineStr">
        <is>
          <t>Gross Margin - Bull</t>
        </is>
      </c>
      <c r="G16" s="6" t="n">
        <v>0.48</v>
      </c>
      <c r="H16" s="6" t="n">
        <v>0.48</v>
      </c>
      <c r="I16" s="6" t="n">
        <v>0.48</v>
      </c>
      <c r="J16" s="6" t="n">
        <v>0.48</v>
      </c>
      <c r="K16" s="6" t="n">
        <v>0.48</v>
      </c>
    </row>
    <row r="17">
      <c r="A17" s="4" t="inlineStr">
        <is>
          <t>Gross Margin - Bear</t>
        </is>
      </c>
      <c r="G17" s="6" t="n">
        <v>0.45</v>
      </c>
      <c r="H17" s="6" t="n">
        <v>0.45</v>
      </c>
      <c r="I17" s="6" t="n">
        <v>0.45</v>
      </c>
      <c r="J17" s="6" t="n">
        <v>0.45</v>
      </c>
      <c r="K17" s="6" t="n">
        <v>0.45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</v>
      </c>
      <c r="H20" s="6" t="n">
        <v>0.3</v>
      </c>
      <c r="I20" s="6" t="n">
        <v>0.3</v>
      </c>
      <c r="J20" s="6" t="n">
        <v>0.3</v>
      </c>
      <c r="K20" s="6" t="n">
        <v>0.3</v>
      </c>
    </row>
    <row r="21">
      <c r="A21" s="4" t="inlineStr">
        <is>
          <t>SG&amp;A % Revenue - Bull</t>
        </is>
      </c>
      <c r="G21" s="6" t="n">
        <v>0.3</v>
      </c>
      <c r="H21" s="6" t="n">
        <v>0.3</v>
      </c>
      <c r="I21" s="6" t="n">
        <v>0.3</v>
      </c>
      <c r="J21" s="6" t="n">
        <v>0.3</v>
      </c>
      <c r="K21" s="6" t="n">
        <v>0.3</v>
      </c>
    </row>
    <row r="22">
      <c r="A22" s="4" t="inlineStr">
        <is>
          <t>SG&amp;A % Revenue - Bear</t>
        </is>
      </c>
      <c r="G22" s="6" t="n">
        <v>0.32</v>
      </c>
      <c r="H22" s="6" t="n">
        <v>0.32</v>
      </c>
      <c r="I22" s="6" t="n">
        <v>0.32</v>
      </c>
      <c r="J22" s="6" t="n">
        <v>0.32</v>
      </c>
      <c r="K22" s="6" t="n">
        <v>0.32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0.13</v>
      </c>
      <c r="H30" s="6" t="n">
        <v>0.13</v>
      </c>
      <c r="I30" s="6" t="n">
        <v>0.13</v>
      </c>
      <c r="J30" s="6" t="n">
        <v>0.13</v>
      </c>
      <c r="K30" s="6" t="n">
        <v>0.13</v>
      </c>
    </row>
    <row r="31">
      <c r="A31" s="4" t="inlineStr">
        <is>
          <t>CapEx % Revenue</t>
        </is>
      </c>
      <c r="G31" s="6" t="n">
        <v>0.113</v>
      </c>
      <c r="H31" s="6" t="n">
        <v>0.113</v>
      </c>
      <c r="I31" s="6" t="n">
        <v>0.113</v>
      </c>
      <c r="J31" s="6" t="n">
        <v>0.113</v>
      </c>
      <c r="K31" s="6" t="n">
        <v>0.113</v>
      </c>
    </row>
    <row r="32">
      <c r="A32" s="4" t="inlineStr">
        <is>
          <t>Tax Rate</t>
        </is>
      </c>
      <c r="G32" s="6" t="n">
        <v>0.25</v>
      </c>
      <c r="H32" s="6" t="n">
        <v>0.25</v>
      </c>
      <c r="I32" s="6" t="n">
        <v>0.25</v>
      </c>
      <c r="J32" s="6" t="n">
        <v>0.25</v>
      </c>
      <c r="K32" s="6" t="n">
        <v>0.25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7.5</v>
      </c>
    </row>
    <row r="41">
      <c r="A41" s="4" t="inlineStr">
        <is>
          <t>Terminal Value Multiple - Bull</t>
        </is>
      </c>
      <c r="C41" s="9" t="n">
        <v>9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Suncor Energy Inc. (SU_TO)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62907</v>
      </c>
      <c r="D6" s="5" t="n">
        <v>52206</v>
      </c>
      <c r="E6" s="5" t="n">
        <v>54881</v>
      </c>
      <c r="F6" s="5" t="n">
        <v>52377</v>
      </c>
    </row>
    <row r="7">
      <c r="A7" s="4" t="inlineStr">
        <is>
          <t>Cost of Revenue</t>
        </is>
      </c>
      <c r="C7" s="5" t="n">
        <v>36033</v>
      </c>
      <c r="D7" s="5" t="n">
        <v>30282</v>
      </c>
      <c r="E7" s="5" t="n">
        <v>32505</v>
      </c>
      <c r="F7" s="5" t="n">
        <v>30703</v>
      </c>
    </row>
    <row r="8">
      <c r="A8" s="2" t="inlineStr">
        <is>
          <t>Gross Profit</t>
        </is>
      </c>
      <c r="C8" s="5" t="n">
        <v>26874</v>
      </c>
      <c r="D8" s="5" t="n">
        <v>21924</v>
      </c>
      <c r="E8" s="5" t="n">
        <v>22376</v>
      </c>
      <c r="F8" s="5" t="n">
        <v>21674</v>
      </c>
    </row>
    <row r="9">
      <c r="A9" s="4" t="inlineStr">
        <is>
          <t xml:space="preserve">  Gross Margin</t>
        </is>
      </c>
      <c r="C9" s="11" t="n">
        <v>0.4272020601840812</v>
      </c>
      <c r="D9" s="11" t="n">
        <v>0.4199517296862429</v>
      </c>
      <c r="E9" s="11" t="n">
        <v>0.4077185182485742</v>
      </c>
      <c r="F9" s="11" t="n">
        <v>0.413807587299769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10381</v>
      </c>
      <c r="D12" s="5" t="n">
        <v>10626</v>
      </c>
      <c r="E12" s="5" t="n">
        <v>11079</v>
      </c>
      <c r="F12" s="5" t="n">
        <v>11124</v>
      </c>
    </row>
    <row r="13">
      <c r="A13" s="2" t="inlineStr">
        <is>
          <t>Operating Income (EBIT)</t>
        </is>
      </c>
      <c r="C13" s="5" t="n">
        <v>13925</v>
      </c>
      <c r="D13" s="5" t="n">
        <v>8953</v>
      </c>
      <c r="E13" s="5" t="n">
        <v>9035</v>
      </c>
      <c r="F13" s="5" t="n">
        <v>7995</v>
      </c>
    </row>
    <row r="14">
      <c r="A14" s="4" t="inlineStr">
        <is>
          <t xml:space="preserve">  EBIT Margin</t>
        </is>
      </c>
      <c r="C14" s="11" t="n">
        <v>0.2213585133609932</v>
      </c>
      <c r="D14" s="11" t="n">
        <v>0.1714936980423706</v>
      </c>
      <c r="E14" s="11" t="n">
        <v>0.1646289244000656</v>
      </c>
      <c r="F14" s="11" t="n">
        <v>0.1526433358153388</v>
      </c>
    </row>
    <row r="16">
      <c r="A16" s="4" t="inlineStr">
        <is>
          <t>Interest Expense</t>
        </is>
      </c>
      <c r="C16" s="5" t="n">
        <v>906</v>
      </c>
      <c r="D16" s="5" t="n">
        <v>786</v>
      </c>
      <c r="E16" s="5" t="n">
        <v>694</v>
      </c>
      <c r="F16" s="5" t="n">
        <v>743</v>
      </c>
    </row>
    <row r="17">
      <c r="A17" s="4" t="inlineStr">
        <is>
          <t>Tax Provision</t>
        </is>
      </c>
      <c r="C17" s="5" t="n">
        <v>3239</v>
      </c>
      <c r="D17" s="5" t="n">
        <v>2294</v>
      </c>
      <c r="E17" s="5" t="n">
        <v>2171</v>
      </c>
      <c r="F17" s="5" t="n">
        <v>2030</v>
      </c>
    </row>
    <row r="18">
      <c r="A18" s="2" t="inlineStr">
        <is>
          <t>Net Income</t>
        </is>
      </c>
      <c r="C18" s="5" t="n">
        <v>9077</v>
      </c>
      <c r="D18" s="5" t="n">
        <v>8295</v>
      </c>
      <c r="E18" s="5" t="n">
        <v>6016</v>
      </c>
      <c r="F18" s="5" t="n">
        <v>5918</v>
      </c>
    </row>
    <row r="19">
      <c r="A19" s="4" t="inlineStr">
        <is>
          <t xml:space="preserve">  Net Margin</t>
        </is>
      </c>
      <c r="C19" s="11" t="n">
        <v>0.1442923680989397</v>
      </c>
      <c r="D19" s="11" t="n">
        <v>0.1588897827835881</v>
      </c>
      <c r="E19" s="11" t="n">
        <v>0.1096189938229988</v>
      </c>
      <c r="F19" s="11" t="n">
        <v>0.112988525497833</v>
      </c>
    </row>
    <row r="21">
      <c r="A21" s="2" t="inlineStr">
        <is>
          <t>EBITDA</t>
        </is>
      </c>
      <c r="C21" s="5" t="n">
        <v>22008</v>
      </c>
      <c r="D21" s="5" t="n">
        <v>17810</v>
      </c>
      <c r="E21" s="5" t="n">
        <v>15835</v>
      </c>
      <c r="F21" s="5" t="n">
        <v>15607</v>
      </c>
    </row>
    <row r="22">
      <c r="A22" s="4" t="inlineStr">
        <is>
          <t xml:space="preserve">  EBITDA Margin</t>
        </is>
      </c>
      <c r="C22" s="11" t="n">
        <v>0.3498497782440746</v>
      </c>
      <c r="D22" s="11" t="n">
        <v>0.341148526989235</v>
      </c>
      <c r="E22" s="11" t="n">
        <v>0.2885333722053169</v>
      </c>
      <c r="F22" s="11" t="n">
        <v>0.2979743016973099</v>
      </c>
    </row>
    <row r="23">
      <c r="A23" s="4" t="inlineStr">
        <is>
          <t>Diluted EPS</t>
        </is>
      </c>
      <c r="C23" s="12" t="n">
        <v>6.53</v>
      </c>
      <c r="D23" s="12" t="n">
        <v>6.33</v>
      </c>
      <c r="E23" s="12" t="n">
        <v>4.72</v>
      </c>
      <c r="F23" s="12" t="n">
        <v>4.85</v>
      </c>
    </row>
    <row r="24">
      <c r="A24" s="4" t="inlineStr">
        <is>
          <t>D&amp;A</t>
        </is>
      </c>
      <c r="C24" s="5" t="n">
        <v>8786</v>
      </c>
      <c r="D24" s="5" t="n">
        <v>6435</v>
      </c>
      <c r="E24" s="5" t="n">
        <v>6954</v>
      </c>
      <c r="F24" s="5" t="n">
        <v>6916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1980</v>
      </c>
      <c r="D28" s="5" t="n">
        <v>1729</v>
      </c>
      <c r="E28" s="5" t="n">
        <v>3484</v>
      </c>
      <c r="F28" s="5" t="n">
        <v>3650</v>
      </c>
    </row>
    <row r="29">
      <c r="A29" s="4" t="inlineStr">
        <is>
          <t>Current Assets</t>
        </is>
      </c>
      <c r="C29" s="5" t="n">
        <v>14536</v>
      </c>
      <c r="D29" s="5" t="n">
        <v>13809</v>
      </c>
      <c r="E29" s="5" t="n">
        <v>14288</v>
      </c>
      <c r="F29" s="5" t="n">
        <v>14229</v>
      </c>
    </row>
    <row r="30">
      <c r="A30" s="4" t="inlineStr">
        <is>
          <t>Net PP&amp;E</t>
        </is>
      </c>
      <c r="C30" s="5" t="n">
        <v>64649</v>
      </c>
      <c r="D30" s="5" t="n">
        <v>69408</v>
      </c>
      <c r="E30" s="5" t="n">
        <v>70254</v>
      </c>
      <c r="F30" s="5" t="n">
        <v>70170</v>
      </c>
    </row>
    <row r="31">
      <c r="A31" s="4" t="inlineStr">
        <is>
          <t>Goodwill</t>
        </is>
      </c>
      <c r="C31" s="5" t="n">
        <v>2892</v>
      </c>
      <c r="D31" s="5" t="n">
        <v>2892</v>
      </c>
      <c r="E31" s="5" t="n">
        <v>2892</v>
      </c>
      <c r="F31" s="5" t="n">
        <v>2892</v>
      </c>
    </row>
    <row r="32">
      <c r="A32" s="2" t="inlineStr">
        <is>
          <t>Total Assets</t>
        </is>
      </c>
      <c r="C32" s="5" t="n">
        <v>84618</v>
      </c>
      <c r="D32" s="5" t="n">
        <v>88539</v>
      </c>
      <c r="E32" s="5" t="n">
        <v>89784</v>
      </c>
      <c r="F32" s="5" t="n">
        <v>89913</v>
      </c>
    </row>
    <row r="34">
      <c r="A34" s="4" t="inlineStr">
        <is>
          <t>Current Liabilities</t>
        </is>
      </c>
      <c r="C34" s="5" t="n">
        <v>12869</v>
      </c>
      <c r="D34" s="5" t="n">
        <v>9597</v>
      </c>
      <c r="E34" s="5" t="n">
        <v>10747</v>
      </c>
      <c r="F34" s="5" t="n">
        <v>10210</v>
      </c>
    </row>
    <row r="35">
      <c r="A35" s="4" t="inlineStr">
        <is>
          <t>Total Debt</t>
        </is>
      </c>
      <c r="C35" s="5" t="n">
        <v>15619</v>
      </c>
      <c r="D35" s="5" t="n">
        <v>15407</v>
      </c>
      <c r="E35" s="5" t="n">
        <v>14689</v>
      </c>
      <c r="F35" s="5" t="n">
        <v>14504</v>
      </c>
    </row>
    <row r="36">
      <c r="A36" s="2" t="inlineStr">
        <is>
          <t>Total Liabilities</t>
        </is>
      </c>
      <c r="C36" s="5" t="n">
        <v>45251</v>
      </c>
      <c r="D36" s="5" t="n">
        <v>45260</v>
      </c>
      <c r="E36" s="5" t="n">
        <v>45270</v>
      </c>
      <c r="F36" s="5" t="n">
        <v>44789</v>
      </c>
    </row>
    <row r="38">
      <c r="A38" s="2" t="inlineStr">
        <is>
          <t>Total Equity</t>
        </is>
      </c>
      <c r="C38" s="5" t="n">
        <v>39367</v>
      </c>
      <c r="D38" s="5" t="n">
        <v>43279</v>
      </c>
      <c r="E38" s="5" t="n">
        <v>44514</v>
      </c>
      <c r="F38" s="5" t="n">
        <v>45124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15680</v>
      </c>
      <c r="D42" s="5" t="n">
        <v>12344</v>
      </c>
      <c r="E42" s="5" t="n">
        <v>15960</v>
      </c>
      <c r="F42" s="5" t="n">
        <v>12781</v>
      </c>
    </row>
    <row r="43">
      <c r="A43" s="4" t="inlineStr">
        <is>
          <t>Capital Expenditure</t>
        </is>
      </c>
      <c r="C43" s="5" t="n">
        <v>-5120</v>
      </c>
      <c r="D43" s="5" t="n">
        <v>-5936</v>
      </c>
      <c r="E43" s="5" t="n">
        <v>-6483</v>
      </c>
      <c r="F43" s="5" t="n">
        <v>-5856</v>
      </c>
    </row>
    <row r="44">
      <c r="A44" s="2" t="inlineStr">
        <is>
          <t>Free Cash Flow</t>
        </is>
      </c>
      <c r="C44" s="5" t="n">
        <v>10560</v>
      </c>
      <c r="D44" s="5" t="n">
        <v>6408</v>
      </c>
      <c r="E44" s="5" t="n">
        <v>9477</v>
      </c>
      <c r="F44" s="5" t="n">
        <v>6925</v>
      </c>
    </row>
    <row r="46">
      <c r="A46" s="4" t="inlineStr">
        <is>
          <t>D&amp;A</t>
        </is>
      </c>
      <c r="C46" s="5" t="n">
        <v>8786</v>
      </c>
      <c r="D46" s="5" t="n">
        <v>6435</v>
      </c>
      <c r="E46" s="5" t="n">
        <v>6954</v>
      </c>
      <c r="F46" s="5" t="n">
        <v>6916</v>
      </c>
    </row>
    <row r="47">
      <c r="A47" s="4" t="inlineStr">
        <is>
          <t>Stock-Based Compensation</t>
        </is>
      </c>
      <c r="C47" s="5" t="n">
        <v>328</v>
      </c>
      <c r="D47" s="5" t="n">
        <v>108</v>
      </c>
      <c r="E47" s="5" t="n">
        <v>-57</v>
      </c>
      <c r="F47" s="5" t="n">
        <v>8</v>
      </c>
    </row>
    <row r="48">
      <c r="A48" s="4" t="inlineStr">
        <is>
          <t>Change in Working Capital</t>
        </is>
      </c>
      <c r="C48" s="5" t="n">
        <v>-2421</v>
      </c>
      <c r="D48" s="5" t="n">
        <v>-981</v>
      </c>
      <c r="E48" s="5" t="n">
        <v>2114</v>
      </c>
      <c r="F48" s="5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Suncor Energy Inc. (SU_TO)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Integrated</t>
        </is>
      </c>
      <c r="C8" s="5" t="n">
        <v>62907</v>
      </c>
      <c r="D8" s="5" t="n">
        <v>52206</v>
      </c>
      <c r="E8" s="5" t="n">
        <v>54881</v>
      </c>
      <c r="F8" s="5" t="n">
        <v>52377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36033</v>
      </c>
      <c r="D16" s="5" t="n">
        <v>30282</v>
      </c>
      <c r="E16" s="5" t="n">
        <v>32505</v>
      </c>
      <c r="F16" s="5" t="n">
        <v>30703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10381</v>
      </c>
      <c r="D20" s="5" t="n">
        <v>10626</v>
      </c>
      <c r="E20" s="5" t="n">
        <v>11079</v>
      </c>
      <c r="F20" s="5" t="n">
        <v>11124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8786</v>
      </c>
      <c r="D22" s="5" t="n">
        <v>6435</v>
      </c>
      <c r="E22" s="5" t="n">
        <v>6954</v>
      </c>
      <c r="F22" s="5" t="n">
        <v>6916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906</v>
      </c>
      <c r="D29" s="5" t="n">
        <v>786</v>
      </c>
      <c r="E29" s="5" t="n">
        <v>694</v>
      </c>
      <c r="F29" s="5" t="n">
        <v>743</v>
      </c>
      <c r="G29" s="5" t="n">
        <v>743</v>
      </c>
      <c r="H29" s="5" t="n">
        <v>743</v>
      </c>
      <c r="I29" s="5" t="n">
        <v>743</v>
      </c>
      <c r="J29" s="5" t="n">
        <v>743</v>
      </c>
      <c r="K29" s="5" t="n">
        <v>743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3239</v>
      </c>
      <c r="D31" s="5" t="n">
        <v>2294</v>
      </c>
      <c r="E31" s="5" t="n">
        <v>2171</v>
      </c>
      <c r="F31" s="5" t="n">
        <v>2030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-2421</v>
      </c>
      <c r="D39" s="5" t="n">
        <v>-981</v>
      </c>
      <c r="E39" s="5" t="n">
        <v>2114</v>
      </c>
      <c r="F39" s="5" t="n">
        <v>-2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-5120</v>
      </c>
      <c r="D42" s="5" t="n">
        <v>-5936</v>
      </c>
      <c r="E42" s="5" t="n">
        <v>-6483</v>
      </c>
      <c r="F42" s="5" t="n">
        <v>-5856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Suncor Energy Inc. (SU_TO)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86.52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-10854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1186.910947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C33/86.52-1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0.07000000000000001</v>
      </c>
      <c r="C39" s="22">
        <f>(G$12/(1+$A$39)^1+H$12/(1+$A$39)^2+I$12/(1+$A$39)^3+J$12/(1+$A$39)^4+K$12/(1+$A$39)^5+K$8*3.5/(1+$A$39)^5+$C$29)/$C$32</f>
        <v/>
      </c>
      <c r="D39" s="22">
        <f>(G$12/(1+$A$39)^1+H$12/(1+$A$39)^2+I$12/(1+$A$39)^3+J$12/(1+$A$39)^4+K$12/(1+$A$39)^5+K$8*5.5/(1+$A$39)^5+$C$29)/$C$32</f>
        <v/>
      </c>
      <c r="E39" s="22">
        <f>(G$12/(1+$A$39)^1+H$12/(1+$A$39)^2+I$12/(1+$A$39)^3+J$12/(1+$A$39)^4+K$12/(1+$A$39)^5+K$8*7.5/(1+$A$39)^5+$C$29)/$C$32</f>
        <v/>
      </c>
      <c r="F39" s="22">
        <f>(G$12/(1+$A$39)^1+H$12/(1+$A$39)^2+I$12/(1+$A$39)^3+J$12/(1+$A$39)^4+K$12/(1+$A$39)^5+K$8*9.5/(1+$A$39)^5+$C$29)/$C$32</f>
        <v/>
      </c>
      <c r="G39" s="22">
        <f>(G$12/(1+$A$39)^1+H$12/(1+$A$39)^2+I$12/(1+$A$39)^3+J$12/(1+$A$39)^4+K$12/(1+$A$39)^5+K$8*11.5/(1+$A$39)^5+$C$29)/$C$32</f>
        <v/>
      </c>
    </row>
    <row r="40">
      <c r="A40" s="21" t="n">
        <v>0.08</v>
      </c>
      <c r="C40" s="22">
        <f>(G$12/(1+$A$40)^1+H$12/(1+$A$40)^2+I$12/(1+$A$40)^3+J$12/(1+$A$40)^4+K$12/(1+$A$40)^5+K$8*3.5/(1+$A$40)^5+$C$29)/$C$32</f>
        <v/>
      </c>
      <c r="D40" s="22">
        <f>(G$12/(1+$A$40)^1+H$12/(1+$A$40)^2+I$12/(1+$A$40)^3+J$12/(1+$A$40)^4+K$12/(1+$A$40)^5+K$8*5.5/(1+$A$40)^5+$C$29)/$C$32</f>
        <v/>
      </c>
      <c r="E40" s="22">
        <f>(G$12/(1+$A$40)^1+H$12/(1+$A$40)^2+I$12/(1+$A$40)^3+J$12/(1+$A$40)^4+K$12/(1+$A$40)^5+K$8*7.5/(1+$A$40)^5+$C$29)/$C$32</f>
        <v/>
      </c>
      <c r="F40" s="22">
        <f>(G$12/(1+$A$40)^1+H$12/(1+$A$40)^2+I$12/(1+$A$40)^3+J$12/(1+$A$40)^4+K$12/(1+$A$40)^5+K$8*9.5/(1+$A$40)^5+$C$29)/$C$32</f>
        <v/>
      </c>
      <c r="G40" s="22">
        <f>(G$12/(1+$A$40)^1+H$12/(1+$A$40)^2+I$12/(1+$A$40)^3+J$12/(1+$A$40)^4+K$12/(1+$A$40)^5+K$8*11.5/(1+$A$40)^5+$C$29)/$C$32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(G$12/(1+$A$41)^1+H$12/(1+$A$41)^2+I$12/(1+$A$41)^3+J$12/(1+$A$41)^4+K$12/(1+$A$41)^5+K$8*3.5/(1+$A$41)^5+$C$29)/$C$32</f>
        <v/>
      </c>
      <c r="D41" s="22">
        <f>(G$12/(1+$A$41)^1+H$12/(1+$A$41)^2+I$12/(1+$A$41)^3+J$12/(1+$A$41)^4+K$12/(1+$A$41)^5+K$8*5.5/(1+$A$41)^5+$C$29)/$C$32</f>
        <v/>
      </c>
      <c r="E41" s="22">
        <f>(G$12/(1+$A$41)^1+H$12/(1+$A$41)^2+I$12/(1+$A$41)^3+J$12/(1+$A$41)^4+K$12/(1+$A$41)^5+K$8*7.5/(1+$A$41)^5+$C$29)/$C$32</f>
        <v/>
      </c>
      <c r="F41" s="22">
        <f>(G$12/(1+$A$41)^1+H$12/(1+$A$41)^2+I$12/(1+$A$41)^3+J$12/(1+$A$41)^4+K$12/(1+$A$41)^5+K$8*9.5/(1+$A$41)^5+$C$29)/$C$32</f>
        <v/>
      </c>
      <c r="G41" s="22">
        <f>(G$12/(1+$A$41)^1+H$12/(1+$A$41)^2+I$12/(1+$A$41)^3+J$12/(1+$A$41)^4+K$12/(1+$A$41)^5+K$8*11.5/(1+$A$41)^5+$C$29)/$C$32</f>
        <v/>
      </c>
    </row>
    <row r="42">
      <c r="A42" s="21" t="n">
        <v>0.1</v>
      </c>
      <c r="C42" s="22">
        <f>(G$12/(1+$A$42)^1+H$12/(1+$A$42)^2+I$12/(1+$A$42)^3+J$12/(1+$A$42)^4+K$12/(1+$A$42)^5+K$8*3.5/(1+$A$42)^5+$C$29)/$C$32</f>
        <v/>
      </c>
      <c r="D42" s="22">
        <f>(G$12/(1+$A$42)^1+H$12/(1+$A$42)^2+I$12/(1+$A$42)^3+J$12/(1+$A$42)^4+K$12/(1+$A$42)^5+K$8*5.5/(1+$A$42)^5+$C$29)/$C$32</f>
        <v/>
      </c>
      <c r="E42" s="23">
        <f>(G$12/(1+$A$42)^1+H$12/(1+$A$42)^2+I$12/(1+$A$42)^3+J$12/(1+$A$42)^4+K$12/(1+$A$42)^5+K$8*7.5/(1+$A$42)^5+$C$29)/$C$32</f>
        <v/>
      </c>
      <c r="F42" s="22">
        <f>(G$12/(1+$A$42)^1+H$12/(1+$A$42)^2+I$12/(1+$A$42)^3+J$12/(1+$A$42)^4+K$12/(1+$A$42)^5+K$8*9.5/(1+$A$42)^5+$C$29)/$C$32</f>
        <v/>
      </c>
      <c r="G42" s="22">
        <f>(G$12/(1+$A$42)^1+H$12/(1+$A$42)^2+I$12/(1+$A$42)^3+J$12/(1+$A$42)^4+K$12/(1+$A$42)^5+K$8*11.5/(1+$A$42)^5+$C$29)/$C$32</f>
        <v/>
      </c>
    </row>
    <row r="43">
      <c r="A43" s="21" t="n">
        <v>0.11</v>
      </c>
      <c r="C43" s="22">
        <f>(G$12/(1+$A$43)^1+H$12/(1+$A$43)^2+I$12/(1+$A$43)^3+J$12/(1+$A$43)^4+K$12/(1+$A$43)^5+K$8*3.5/(1+$A$43)^5+$C$29)/$C$32</f>
        <v/>
      </c>
      <c r="D43" s="22">
        <f>(G$12/(1+$A$43)^1+H$12/(1+$A$43)^2+I$12/(1+$A$43)^3+J$12/(1+$A$43)^4+K$12/(1+$A$43)^5+K$8*5.5/(1+$A$43)^5+$C$29)/$C$32</f>
        <v/>
      </c>
      <c r="E43" s="22">
        <f>(G$12/(1+$A$43)^1+H$12/(1+$A$43)^2+I$12/(1+$A$43)^3+J$12/(1+$A$43)^4+K$12/(1+$A$43)^5+K$8*7.5/(1+$A$43)^5+$C$29)/$C$32</f>
        <v/>
      </c>
      <c r="F43" s="22">
        <f>(G$12/(1+$A$43)^1+H$12/(1+$A$43)^2+I$12/(1+$A$43)^3+J$12/(1+$A$43)^4+K$12/(1+$A$43)^5+K$8*9.5/(1+$A$43)^5+$C$29)/$C$32</f>
        <v/>
      </c>
      <c r="G43" s="22">
        <f>(G$12/(1+$A$43)^1+H$12/(1+$A$43)^2+I$12/(1+$A$43)^3+J$12/(1+$A$43)^4+K$12/(1+$A$43)^5+K$8*11.5/(1+$A$43)^5+$C$29)/$C$32</f>
        <v/>
      </c>
    </row>
    <row r="44">
      <c r="A44" s="21" t="n">
        <v>0.12</v>
      </c>
      <c r="C44" s="22">
        <f>(G$12/(1+$A$44)^1+H$12/(1+$A$44)^2+I$12/(1+$A$44)^3+J$12/(1+$A$44)^4+K$12/(1+$A$44)^5+K$8*3.5/(1+$A$44)^5+$C$29)/$C$32</f>
        <v/>
      </c>
      <c r="D44" s="22">
        <f>(G$12/(1+$A$44)^1+H$12/(1+$A$44)^2+I$12/(1+$A$44)^3+J$12/(1+$A$44)^4+K$12/(1+$A$44)^5+K$8*5.5/(1+$A$44)^5+$C$29)/$C$32</f>
        <v/>
      </c>
      <c r="E44" s="22">
        <f>(G$12/(1+$A$44)^1+H$12/(1+$A$44)^2+I$12/(1+$A$44)^3+J$12/(1+$A$44)^4+K$12/(1+$A$44)^5+K$8*7.5/(1+$A$44)^5+$C$29)/$C$32</f>
        <v/>
      </c>
      <c r="F44" s="22">
        <f>(G$12/(1+$A$44)^1+H$12/(1+$A$44)^2+I$12/(1+$A$44)^3+J$12/(1+$A$44)^4+K$12/(1+$A$44)^5+K$8*9.5/(1+$A$44)^5+$C$29)/$C$32</f>
        <v/>
      </c>
      <c r="G44" s="22">
        <f>(G$12/(1+$A$44)^1+H$12/(1+$A$44)^2+I$12/(1+$A$44)^3+J$12/(1+$A$44)^4+K$12/(1+$A$44)^5+K$8*11.5/(1+$A$44)^5+$C$29)/$C$32</f>
        <v/>
      </c>
    </row>
    <row r="45">
      <c r="A45" s="21" t="n">
        <v>0.13</v>
      </c>
      <c r="C45" s="22">
        <f>(G$12/(1+$A$45)^1+H$12/(1+$A$45)^2+I$12/(1+$A$45)^3+J$12/(1+$A$45)^4+K$12/(1+$A$45)^5+K$8*3.5/(1+$A$45)^5+$C$29)/$C$32</f>
        <v/>
      </c>
      <c r="D45" s="22">
        <f>(G$12/(1+$A$45)^1+H$12/(1+$A$45)^2+I$12/(1+$A$45)^3+J$12/(1+$A$45)^4+K$12/(1+$A$45)^5+K$8*5.5/(1+$A$45)^5+$C$29)/$C$32</f>
        <v/>
      </c>
      <c r="E45" s="22">
        <f>(G$12/(1+$A$45)^1+H$12/(1+$A$45)^2+I$12/(1+$A$45)^3+J$12/(1+$A$45)^4+K$12/(1+$A$45)^5+K$8*7.5/(1+$A$45)^5+$C$29)/$C$32</f>
        <v/>
      </c>
      <c r="F45" s="22">
        <f>(G$12/(1+$A$45)^1+H$12/(1+$A$45)^2+I$12/(1+$A$45)^3+J$12/(1+$A$45)^4+K$12/(1+$A$45)^5+K$8*9.5/(1+$A$45)^5+$C$29)/$C$32</f>
        <v/>
      </c>
      <c r="G45" s="22">
        <f>(G$12/(1+$A$45)^1+H$12/(1+$A$45)^2+I$12/(1+$A$45)^3+J$12/(1+$A$45)^4+K$12/(1+$A$45)^5+K$8*11.5/(1+$A$45)^5+$C$29)/$C$32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2026-04-22T18:13:01Z</dcterms:created>
  <dcterms:modified xmlns:dcterms="http://purl.org/dc/terms/" xmlns:xsi="http://www.w3.org/2001/XMLSchema-instance" xsi:type="dcterms:W3CDTF">2026-04-22T18:13:01Z</dcterms:modified>
</cp:coreProperties>
</file>