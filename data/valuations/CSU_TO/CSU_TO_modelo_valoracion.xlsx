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Constellation Software Inc. (CSU.TO)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Software - Application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6622</v>
      </c>
      <c r="D7" s="5" t="n">
        <v>8405</v>
      </c>
      <c r="E7" s="5" t="n">
        <v>10066</v>
      </c>
      <c r="F7" s="5" t="n">
        <v>11623</v>
      </c>
    </row>
    <row r="8">
      <c r="A8" s="4" t="inlineStr">
        <is>
          <t xml:space="preserve">  Revenue Growth - Base</t>
        </is>
      </c>
      <c r="G8" s="6" t="n">
        <v>0.175</v>
      </c>
      <c r="H8" s="6" t="n">
        <v>0.1575</v>
      </c>
      <c r="I8" s="6" t="n">
        <v>0.14</v>
      </c>
      <c r="J8" s="6" t="n">
        <v>0.1225</v>
      </c>
      <c r="K8" s="6" t="n">
        <v>0.105</v>
      </c>
    </row>
    <row r="9">
      <c r="A9" s="4" t="inlineStr">
        <is>
          <t xml:space="preserve">  Revenue Growth - Bull</t>
        </is>
      </c>
      <c r="G9" s="6" t="n">
        <v>0.20125</v>
      </c>
      <c r="H9" s="6" t="n">
        <v>0.181125</v>
      </c>
      <c r="I9" s="6" t="n">
        <v>0.161</v>
      </c>
      <c r="J9" s="6" t="n">
        <v>0.140875</v>
      </c>
      <c r="K9" s="6" t="n">
        <v>0.12075</v>
      </c>
    </row>
    <row r="10">
      <c r="A10" s="4" t="inlineStr">
        <is>
          <t xml:space="preserve">  Revenue Growth - Bear</t>
        </is>
      </c>
      <c r="G10" s="6" t="n">
        <v>0.14875</v>
      </c>
      <c r="H10" s="6" t="n">
        <v>0.133875</v>
      </c>
      <c r="I10" s="6" t="n">
        <v>0.119</v>
      </c>
      <c r="J10" s="6" t="n">
        <v>0.104125</v>
      </c>
      <c r="K10" s="6" t="n">
        <v>0.08925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0.3590010985749936</v>
      </c>
      <c r="H15" s="6" t="n">
        <v>0.3590010985749936</v>
      </c>
      <c r="I15" s="6" t="n">
        <v>0.3590010985749936</v>
      </c>
      <c r="J15" s="6" t="n">
        <v>0.3590010985749936</v>
      </c>
      <c r="K15" s="6" t="n">
        <v>0.3590010985749936</v>
      </c>
    </row>
    <row r="16">
      <c r="A16" s="4" t="inlineStr">
        <is>
          <t>Gross Margin - Bull</t>
        </is>
      </c>
      <c r="G16" s="6" t="n">
        <v>0.3690010985749936</v>
      </c>
      <c r="H16" s="6" t="n">
        <v>0.3690010985749936</v>
      </c>
      <c r="I16" s="6" t="n">
        <v>0.3690010985749936</v>
      </c>
      <c r="J16" s="6" t="n">
        <v>0.3690010985749936</v>
      </c>
      <c r="K16" s="6" t="n">
        <v>0.3690010985749936</v>
      </c>
    </row>
    <row r="17">
      <c r="A17" s="4" t="inlineStr">
        <is>
          <t>Gross Margin - Bear</t>
        </is>
      </c>
      <c r="G17" s="6" t="n">
        <v>0.3490010985749936</v>
      </c>
      <c r="H17" s="6" t="n">
        <v>0.3490010985749936</v>
      </c>
      <c r="I17" s="6" t="n">
        <v>0.3490010985749936</v>
      </c>
      <c r="J17" s="6" t="n">
        <v>0.3490010985749936</v>
      </c>
      <c r="K17" s="6" t="n">
        <v>0.3490010985749936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0.07293190923548418</v>
      </c>
      <c r="H20" s="6" t="n">
        <v>0.07293190923548418</v>
      </c>
      <c r="I20" s="6" t="n">
        <v>0.07293190923548418</v>
      </c>
      <c r="J20" s="6" t="n">
        <v>0.07293190923548418</v>
      </c>
      <c r="K20" s="6" t="n">
        <v>0.07293190923548418</v>
      </c>
    </row>
    <row r="21">
      <c r="A21" s="4" t="inlineStr">
        <is>
          <t>SG&amp;A % Revenue - Bull</t>
        </is>
      </c>
      <c r="G21" s="6" t="n">
        <v>0.06793190923548417</v>
      </c>
      <c r="H21" s="6" t="n">
        <v>0.06793190923548417</v>
      </c>
      <c r="I21" s="6" t="n">
        <v>0.06793190923548417</v>
      </c>
      <c r="J21" s="6" t="n">
        <v>0.06793190923548417</v>
      </c>
      <c r="K21" s="6" t="n">
        <v>0.06793190923548417</v>
      </c>
    </row>
    <row r="22">
      <c r="A22" s="4" t="inlineStr">
        <is>
          <t>SG&amp;A % Revenue - Bear</t>
        </is>
      </c>
      <c r="G22" s="6" t="n">
        <v>0.07793190923548418</v>
      </c>
      <c r="H22" s="6" t="n">
        <v>0.07793190923548418</v>
      </c>
      <c r="I22" s="6" t="n">
        <v>0.07793190923548418</v>
      </c>
      <c r="J22" s="6" t="n">
        <v>0.07793190923548418</v>
      </c>
      <c r="K22" s="6" t="n">
        <v>0.07793190923548418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0.05</v>
      </c>
      <c r="H25" s="6" t="n">
        <v>0.05</v>
      </c>
      <c r="I25" s="6" t="n">
        <v>0.05</v>
      </c>
      <c r="J25" s="6" t="n">
        <v>0.05</v>
      </c>
      <c r="K25" s="6" t="n">
        <v>0.05</v>
      </c>
    </row>
    <row r="26">
      <c r="A26" s="4" t="inlineStr">
        <is>
          <t>R&amp;D % Revenue - Bull</t>
        </is>
      </c>
      <c r="G26" s="6" t="n">
        <v>0.05</v>
      </c>
      <c r="H26" s="6" t="n">
        <v>0.05</v>
      </c>
      <c r="I26" s="6" t="n">
        <v>0.05</v>
      </c>
      <c r="J26" s="6" t="n">
        <v>0.05</v>
      </c>
      <c r="K26" s="6" t="n">
        <v>0.05</v>
      </c>
    </row>
    <row r="27">
      <c r="A27" s="4" t="inlineStr">
        <is>
          <t>R&amp;D % Revenue - Bear</t>
        </is>
      </c>
      <c r="G27" s="6" t="n">
        <v>0.05</v>
      </c>
      <c r="H27" s="6" t="n">
        <v>0.05</v>
      </c>
      <c r="I27" s="6" t="n">
        <v>0.05</v>
      </c>
      <c r="J27" s="6" t="n">
        <v>0.05</v>
      </c>
      <c r="K27" s="6" t="n">
        <v>0.05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0.121484579428638</v>
      </c>
      <c r="H30" s="6" t="n">
        <v>0.121484579428638</v>
      </c>
      <c r="I30" s="6" t="n">
        <v>0.121484579428638</v>
      </c>
      <c r="J30" s="6" t="n">
        <v>0.121484579428638</v>
      </c>
      <c r="K30" s="6" t="n">
        <v>0.121484579428638</v>
      </c>
    </row>
    <row r="31">
      <c r="A31" s="4" t="inlineStr">
        <is>
          <t>CapEx % Revenue</t>
        </is>
      </c>
      <c r="G31" s="6" t="n">
        <v>0.005923761837990575</v>
      </c>
      <c r="H31" s="6" t="n">
        <v>0.005923761837990575</v>
      </c>
      <c r="I31" s="6" t="n">
        <v>0.005923761837990575</v>
      </c>
      <c r="J31" s="6" t="n">
        <v>0.005923761837990575</v>
      </c>
      <c r="K31" s="6" t="n">
        <v>0.005923761837990575</v>
      </c>
    </row>
    <row r="32">
      <c r="A32" s="4" t="inlineStr">
        <is>
          <t>Tax Rate</t>
        </is>
      </c>
      <c r="G32" s="6" t="n">
        <v>0.1598065580717427</v>
      </c>
      <c r="H32" s="6" t="n">
        <v>0.1598065580717427</v>
      </c>
      <c r="I32" s="6" t="n">
        <v>0.1598065580717427</v>
      </c>
      <c r="J32" s="6" t="n">
        <v>0.1598065580717427</v>
      </c>
      <c r="K32" s="6" t="n">
        <v>0.1598065580717427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0.07729999999999999</v>
      </c>
    </row>
    <row r="36">
      <c r="A36" s="4" t="inlineStr">
        <is>
          <t>WACC - Bull</t>
        </is>
      </c>
      <c r="C36" s="6" t="n">
        <v>0.0673</v>
      </c>
    </row>
    <row r="37">
      <c r="A37" s="4" t="inlineStr">
        <is>
          <t>WACC - Bear</t>
        </is>
      </c>
      <c r="C37" s="6" t="n">
        <v>0.08729999999999999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19</v>
      </c>
    </row>
    <row r="41">
      <c r="A41" s="4" t="inlineStr">
        <is>
          <t>Terminal Value Multiple - Bull</t>
        </is>
      </c>
      <c r="C41" s="9" t="n">
        <v>21</v>
      </c>
    </row>
    <row r="42">
      <c r="A42" s="4" t="inlineStr">
        <is>
          <t>Terminal Value Multiple - Bear</t>
        </is>
      </c>
      <c r="C42" s="9" t="n">
        <v>17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Constellation Software Inc. (CSU.TO)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6622</v>
      </c>
      <c r="D6" s="5" t="n">
        <v>8405</v>
      </c>
      <c r="E6" s="5" t="n">
        <v>10066</v>
      </c>
      <c r="F6" s="5" t="n">
        <v>11623</v>
      </c>
    </row>
    <row r="7">
      <c r="A7" s="4" t="inlineStr">
        <is>
          <t>Cost of Revenue</t>
        </is>
      </c>
      <c r="C7" s="5" t="n">
        <v>4299</v>
      </c>
      <c r="D7" s="5" t="n">
        <v>5461</v>
      </c>
      <c r="E7" s="5" t="n">
        <v>6451</v>
      </c>
      <c r="F7" s="5" t="n">
        <v>7255</v>
      </c>
    </row>
    <row r="8">
      <c r="A8" s="2" t="inlineStr">
        <is>
          <t>Gross Profit</t>
        </is>
      </c>
      <c r="C8" s="5" t="n">
        <v>2323</v>
      </c>
      <c r="D8" s="5" t="n">
        <v>2944</v>
      </c>
      <c r="E8" s="5" t="n">
        <v>3615</v>
      </c>
      <c r="F8" s="5" t="n">
        <v>4368</v>
      </c>
    </row>
    <row r="9">
      <c r="A9" s="4" t="inlineStr">
        <is>
          <t xml:space="preserve">  Gross Margin</t>
        </is>
      </c>
      <c r="C9" s="11" t="n">
        <v>0.3508003624282694</v>
      </c>
      <c r="D9" s="11" t="n">
        <v>0.3502676977989292</v>
      </c>
      <c r="E9" s="11" t="n">
        <v>0.3591297436916352</v>
      </c>
      <c r="F9" s="11" t="n">
        <v>0.3758065903811408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470</v>
      </c>
      <c r="D12" s="5" t="n">
        <v>600</v>
      </c>
      <c r="E12" s="5" t="n">
        <v>744</v>
      </c>
      <c r="F12" s="5" t="n">
        <v>877</v>
      </c>
    </row>
    <row r="13">
      <c r="A13" s="2" t="inlineStr">
        <is>
          <t>Operating Income (EBIT)</t>
        </is>
      </c>
      <c r="C13" s="5" t="n">
        <v>1034</v>
      </c>
      <c r="D13" s="5" t="n">
        <v>1323</v>
      </c>
      <c r="E13" s="5" t="n">
        <v>1645</v>
      </c>
      <c r="F13" s="5" t="n">
        <v>2108</v>
      </c>
    </row>
    <row r="14">
      <c r="A14" s="4" t="inlineStr">
        <is>
          <t xml:space="preserve">  EBIT Margin</t>
        </is>
      </c>
      <c r="C14" s="11" t="n">
        <v>0.1561461794019934</v>
      </c>
      <c r="D14" s="11" t="n">
        <v>0.1574063057703748</v>
      </c>
      <c r="E14" s="11" t="n">
        <v>0.1634214186369958</v>
      </c>
      <c r="F14" s="11" t="n">
        <v>0.181364535834122</v>
      </c>
    </row>
    <row r="16">
      <c r="A16" s="4" t="inlineStr">
        <is>
          <t>Interest Expense</t>
        </is>
      </c>
      <c r="C16" s="5" t="n">
        <v>88</v>
      </c>
      <c r="D16" s="5" t="n">
        <v>163</v>
      </c>
      <c r="E16" s="5" t="n">
        <v>248</v>
      </c>
      <c r="F16" s="5" t="n">
        <v>256</v>
      </c>
    </row>
    <row r="17">
      <c r="A17" s="4" t="inlineStr">
        <is>
          <t>Tax Provision</t>
        </is>
      </c>
      <c r="C17" s="5" t="n">
        <v>175</v>
      </c>
      <c r="D17" s="5" t="n">
        <v>204</v>
      </c>
      <c r="E17" s="5" t="n">
        <v>244</v>
      </c>
      <c r="F17" s="5" t="n">
        <v>353</v>
      </c>
    </row>
    <row r="18">
      <c r="A18" s="2" t="inlineStr">
        <is>
          <t>Net Income</t>
        </is>
      </c>
      <c r="C18" s="5" t="n">
        <v>512</v>
      </c>
      <c r="D18" s="5" t="n">
        <v>565</v>
      </c>
      <c r="E18" s="5" t="n">
        <v>731</v>
      </c>
      <c r="F18" s="5" t="n">
        <v>512</v>
      </c>
    </row>
    <row r="19">
      <c r="A19" s="4" t="inlineStr">
        <is>
          <t xml:space="preserve">  Net Margin</t>
        </is>
      </c>
      <c r="C19" s="11" t="n">
        <v>0.0773180308064029</v>
      </c>
      <c r="D19" s="11" t="n">
        <v>0.06722189173111243</v>
      </c>
      <c r="E19" s="11" t="n">
        <v>0.07262070335783827</v>
      </c>
      <c r="F19" s="11" t="n">
        <v>0.04405058934870516</v>
      </c>
    </row>
    <row r="21">
      <c r="A21" s="2" t="inlineStr">
        <is>
          <t>EBITDA</t>
        </is>
      </c>
      <c r="C21" s="5" t="n">
        <v>1632</v>
      </c>
      <c r="D21" s="5" t="n">
        <v>1449</v>
      </c>
      <c r="E21" s="5" t="n">
        <v>2485</v>
      </c>
      <c r="F21" s="5" t="n">
        <v>2578</v>
      </c>
    </row>
    <row r="22">
      <c r="A22" s="4" t="inlineStr">
        <is>
          <t xml:space="preserve">  EBITDA Margin</t>
        </is>
      </c>
      <c r="C22" s="11" t="n">
        <v>0.2464512231954092</v>
      </c>
      <c r="D22" s="11" t="n">
        <v>0.1723973825104105</v>
      </c>
      <c r="E22" s="11" t="n">
        <v>0.2468706536856745</v>
      </c>
      <c r="F22" s="11" t="n">
        <v>0.2218016002753162</v>
      </c>
    </row>
    <row r="23">
      <c r="A23" s="4" t="inlineStr">
        <is>
          <t>Diluted EPS</t>
        </is>
      </c>
      <c r="C23" s="12" t="n">
        <v>24.18</v>
      </c>
      <c r="D23" s="12" t="n">
        <v>26.67</v>
      </c>
      <c r="E23" s="12" t="n">
        <v>34.48</v>
      </c>
      <c r="F23" s="12" t="n">
        <v>0</v>
      </c>
    </row>
    <row r="24">
      <c r="A24" s="4" t="inlineStr">
        <is>
          <t>D&amp;A</t>
        </is>
      </c>
      <c r="C24" s="5" t="n">
        <v>819</v>
      </c>
      <c r="D24" s="5" t="n">
        <v>1021</v>
      </c>
      <c r="E24" s="5" t="n">
        <v>1226</v>
      </c>
      <c r="F24" s="5" t="n">
        <v>1383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811</v>
      </c>
      <c r="D28" s="5" t="n">
        <v>1284</v>
      </c>
      <c r="E28" s="5" t="n">
        <v>1980</v>
      </c>
      <c r="F28" s="5" t="n">
        <v>3089</v>
      </c>
    </row>
    <row r="29">
      <c r="A29" s="4" t="inlineStr">
        <is>
          <t>Current Assets</t>
        </is>
      </c>
      <c r="C29" s="5" t="n">
        <v>2466</v>
      </c>
      <c r="D29" s="5" t="n">
        <v>3339</v>
      </c>
      <c r="E29" s="5" t="n">
        <v>4291</v>
      </c>
      <c r="F29" s="5" t="n">
        <v>5803</v>
      </c>
    </row>
    <row r="30">
      <c r="A30" s="4" t="inlineStr">
        <is>
          <t>Net PP&amp;E</t>
        </is>
      </c>
      <c r="C30" s="5" t="n">
        <v>412</v>
      </c>
      <c r="D30" s="5" t="n">
        <v>453</v>
      </c>
      <c r="E30" s="5" t="n">
        <v>550</v>
      </c>
      <c r="F30" s="5" t="n">
        <v>624</v>
      </c>
    </row>
    <row r="31">
      <c r="A31" s="4" t="inlineStr">
        <is>
          <t>Goodwill</t>
        </is>
      </c>
      <c r="C31" s="5" t="n">
        <v>792</v>
      </c>
      <c r="D31" s="5" t="n">
        <v>1263</v>
      </c>
      <c r="E31" s="5" t="n">
        <v>1451</v>
      </c>
      <c r="F31" s="5" t="n">
        <v>1781</v>
      </c>
    </row>
    <row r="32">
      <c r="A32" s="2" t="inlineStr">
        <is>
          <t>Total Assets</t>
        </is>
      </c>
      <c r="C32" s="5" t="n">
        <v>7872</v>
      </c>
      <c r="D32" s="5" t="n">
        <v>10862</v>
      </c>
      <c r="E32" s="5" t="n">
        <v>12848</v>
      </c>
      <c r="F32" s="5" t="n">
        <v>16171</v>
      </c>
    </row>
    <row r="34">
      <c r="A34" s="4" t="inlineStr">
        <is>
          <t>Current Liabilities</t>
        </is>
      </c>
      <c r="C34" s="5" t="n">
        <v>3772</v>
      </c>
      <c r="D34" s="5" t="n">
        <v>5483</v>
      </c>
      <c r="E34" s="5" t="n">
        <v>4661</v>
      </c>
      <c r="F34" s="5" t="n">
        <v>6074</v>
      </c>
    </row>
    <row r="35">
      <c r="A35" s="4" t="inlineStr">
        <is>
          <t>Total Debt</t>
        </is>
      </c>
      <c r="C35" s="5" t="n">
        <v>2288</v>
      </c>
      <c r="D35" s="5" t="n">
        <v>3682</v>
      </c>
      <c r="E35" s="5" t="n">
        <v>4533</v>
      </c>
      <c r="F35" s="5" t="n">
        <v>5787</v>
      </c>
    </row>
    <row r="36">
      <c r="A36" s="2" t="inlineStr">
        <is>
          <t>Total Liabilities</t>
        </is>
      </c>
      <c r="C36" s="5" t="n">
        <v>5939</v>
      </c>
      <c r="D36" s="5" t="n">
        <v>8901</v>
      </c>
      <c r="E36" s="5" t="n">
        <v>9561</v>
      </c>
      <c r="F36" s="5" t="n">
        <v>11903</v>
      </c>
    </row>
    <row r="38">
      <c r="A38" s="2" t="inlineStr">
        <is>
          <t>Total Equity</t>
        </is>
      </c>
      <c r="C38" s="5" t="n">
        <v>1933</v>
      </c>
      <c r="D38" s="5" t="n">
        <v>1961</v>
      </c>
      <c r="E38" s="5" t="n">
        <v>3287</v>
      </c>
      <c r="F38" s="5" t="n">
        <v>4268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1297</v>
      </c>
      <c r="D42" s="5" t="n">
        <v>1779</v>
      </c>
      <c r="E42" s="5" t="n">
        <v>2196</v>
      </c>
      <c r="F42" s="5" t="n">
        <v>2732</v>
      </c>
    </row>
    <row r="43">
      <c r="A43" s="4" t="inlineStr">
        <is>
          <t>Capital Expenditure</t>
        </is>
      </c>
      <c r="C43" s="5" t="n">
        <v>-41</v>
      </c>
      <c r="D43" s="5" t="n">
        <v>-42</v>
      </c>
      <c r="E43" s="5" t="n">
        <v>-67</v>
      </c>
      <c r="F43" s="5" t="n">
        <v>-68</v>
      </c>
    </row>
    <row r="44">
      <c r="A44" s="2" t="inlineStr">
        <is>
          <t>Free Cash Flow</t>
        </is>
      </c>
      <c r="C44" s="5" t="n">
        <v>1256</v>
      </c>
      <c r="D44" s="5" t="n">
        <v>1737</v>
      </c>
      <c r="E44" s="5" t="n">
        <v>2129</v>
      </c>
      <c r="F44" s="5" t="n">
        <v>2664</v>
      </c>
    </row>
    <row r="46">
      <c r="A46" s="4" t="inlineStr">
        <is>
          <t>D&amp;A</t>
        </is>
      </c>
      <c r="C46" s="5" t="n">
        <v>819</v>
      </c>
      <c r="D46" s="5" t="n">
        <v>1021</v>
      </c>
      <c r="E46" s="5" t="n">
        <v>1226</v>
      </c>
      <c r="F46" s="5" t="n">
        <v>1383</v>
      </c>
    </row>
    <row r="47">
      <c r="A47" s="4" t="inlineStr">
        <is>
          <t>Stock-Based Compensation</t>
        </is>
      </c>
      <c r="C47" s="5" t="n">
        <v>0</v>
      </c>
      <c r="D47" s="5" t="n">
        <v>0</v>
      </c>
      <c r="E47" s="5" t="n">
        <v>0</v>
      </c>
      <c r="F47" s="5" t="n">
        <v>0</v>
      </c>
    </row>
    <row r="48">
      <c r="A48" s="4" t="inlineStr">
        <is>
          <t>Change in Working Capital</t>
        </is>
      </c>
      <c r="C48" s="5" t="n">
        <v>-61</v>
      </c>
      <c r="D48" s="5" t="n">
        <v>-36</v>
      </c>
      <c r="E48" s="5" t="n">
        <v>-45</v>
      </c>
      <c r="F48" s="5" t="n">
        <v>-6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Constellation Software Inc. (CSU.TO)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Software - Application</t>
        </is>
      </c>
      <c r="C8" s="5" t="n">
        <v>6622</v>
      </c>
      <c r="D8" s="5" t="n">
        <v>8405</v>
      </c>
      <c r="E8" s="5" t="n">
        <v>10066</v>
      </c>
      <c r="F8" s="5" t="n">
        <v>11623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4299</v>
      </c>
      <c r="D16" s="5" t="n">
        <v>5461</v>
      </c>
      <c r="E16" s="5" t="n">
        <v>6451</v>
      </c>
      <c r="F16" s="5" t="n">
        <v>7255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470</v>
      </c>
      <c r="D20" s="5" t="n">
        <v>600</v>
      </c>
      <c r="E20" s="5" t="n">
        <v>744</v>
      </c>
      <c r="F20" s="5" t="n">
        <v>877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819</v>
      </c>
      <c r="D22" s="5" t="n">
        <v>1021</v>
      </c>
      <c r="E22" s="5" t="n">
        <v>1226</v>
      </c>
      <c r="F22" s="5" t="n">
        <v>1383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88</v>
      </c>
      <c r="D29" s="5" t="n">
        <v>163</v>
      </c>
      <c r="E29" s="5" t="n">
        <v>248</v>
      </c>
      <c r="F29" s="5" t="n">
        <v>256</v>
      </c>
      <c r="G29" s="5" t="n">
        <v>256</v>
      </c>
      <c r="H29" s="5" t="n">
        <v>256</v>
      </c>
      <c r="I29" s="5" t="n">
        <v>256</v>
      </c>
      <c r="J29" s="5" t="n">
        <v>256</v>
      </c>
      <c r="K29" s="5" t="n">
        <v>256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175</v>
      </c>
      <c r="D31" s="5" t="n">
        <v>204</v>
      </c>
      <c r="E31" s="5" t="n">
        <v>244</v>
      </c>
      <c r="F31" s="5" t="n">
        <v>353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-61</v>
      </c>
      <c r="D39" s="5" t="n">
        <v>-36</v>
      </c>
      <c r="E39" s="5" t="n">
        <v>-45</v>
      </c>
      <c r="F39" s="5" t="n">
        <v>-6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-41</v>
      </c>
      <c r="D42" s="5" t="n">
        <v>-42</v>
      </c>
      <c r="E42" s="5" t="n">
        <v>-67</v>
      </c>
      <c r="F42" s="5" t="n">
        <v>-68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Constellation Software Inc. (CSU.TO)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2499.22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K12*$C$16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-2698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21.19153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C33/2499.22-1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15x</t>
        </is>
      </c>
      <c r="D38" s="1" t="inlineStr">
        <is>
          <t>17x</t>
        </is>
      </c>
      <c r="E38" s="1" t="inlineStr">
        <is>
          <t>19x</t>
        </is>
      </c>
      <c r="F38" s="1" t="inlineStr">
        <is>
          <t>21x</t>
        </is>
      </c>
      <c r="G38" s="1" t="inlineStr">
        <is>
          <t>23x</t>
        </is>
      </c>
    </row>
    <row r="39">
      <c r="A39" s="21" t="n">
        <v>0.04729999999999999</v>
      </c>
      <c r="C39" s="22">
        <f>(G$12/(1+$A$39)^1+H$12/(1+$A$39)^2+I$12/(1+$A$39)^3+J$12/(1+$A$39)^4+K$12/(1+$A$39)^5+K$12*15/(1+$A$39)^5+$C$29)/$C$32</f>
        <v/>
      </c>
      <c r="D39" s="22">
        <f>(G$12/(1+$A$39)^1+H$12/(1+$A$39)^2+I$12/(1+$A$39)^3+J$12/(1+$A$39)^4+K$12/(1+$A$39)^5+K$12*17/(1+$A$39)^5+$C$29)/$C$32</f>
        <v/>
      </c>
      <c r="E39" s="22">
        <f>(G$12/(1+$A$39)^1+H$12/(1+$A$39)^2+I$12/(1+$A$39)^3+J$12/(1+$A$39)^4+K$12/(1+$A$39)^5+K$12*19/(1+$A$39)^5+$C$29)/$C$32</f>
        <v/>
      </c>
      <c r="F39" s="22">
        <f>(G$12/(1+$A$39)^1+H$12/(1+$A$39)^2+I$12/(1+$A$39)^3+J$12/(1+$A$39)^4+K$12/(1+$A$39)^5+K$12*21/(1+$A$39)^5+$C$29)/$C$32</f>
        <v/>
      </c>
      <c r="G39" s="22">
        <f>(G$12/(1+$A$39)^1+H$12/(1+$A$39)^2+I$12/(1+$A$39)^3+J$12/(1+$A$39)^4+K$12/(1+$A$39)^5+K$12*23/(1+$A$39)^5+$C$29)/$C$32</f>
        <v/>
      </c>
    </row>
    <row r="40">
      <c r="A40" s="21" t="n">
        <v>0.05729999999999999</v>
      </c>
      <c r="C40" s="22">
        <f>(G$12/(1+$A$40)^1+H$12/(1+$A$40)^2+I$12/(1+$A$40)^3+J$12/(1+$A$40)^4+K$12/(1+$A$40)^5+K$12*15/(1+$A$40)^5+$C$29)/$C$32</f>
        <v/>
      </c>
      <c r="D40" s="22">
        <f>(G$12/(1+$A$40)^1+H$12/(1+$A$40)^2+I$12/(1+$A$40)^3+J$12/(1+$A$40)^4+K$12/(1+$A$40)^5+K$12*17/(1+$A$40)^5+$C$29)/$C$32</f>
        <v/>
      </c>
      <c r="E40" s="22">
        <f>(G$12/(1+$A$40)^1+H$12/(1+$A$40)^2+I$12/(1+$A$40)^3+J$12/(1+$A$40)^4+K$12/(1+$A$40)^5+K$12*19/(1+$A$40)^5+$C$29)/$C$32</f>
        <v/>
      </c>
      <c r="F40" s="22">
        <f>(G$12/(1+$A$40)^1+H$12/(1+$A$40)^2+I$12/(1+$A$40)^3+J$12/(1+$A$40)^4+K$12/(1+$A$40)^5+K$12*21/(1+$A$40)^5+$C$29)/$C$32</f>
        <v/>
      </c>
      <c r="G40" s="22">
        <f>(G$12/(1+$A$40)^1+H$12/(1+$A$40)^2+I$12/(1+$A$40)^3+J$12/(1+$A$40)^4+K$12/(1+$A$40)^5+K$12*23/(1+$A$40)^5+$C$29)/$C$32</f>
        <v/>
      </c>
    </row>
    <row r="41">
      <c r="A41" s="21" t="n">
        <v>0.0673</v>
      </c>
      <c r="C41" s="22">
        <f>(G$12/(1+$A$41)^1+H$12/(1+$A$41)^2+I$12/(1+$A$41)^3+J$12/(1+$A$41)^4+K$12/(1+$A$41)^5+K$12*15/(1+$A$41)^5+$C$29)/$C$32</f>
        <v/>
      </c>
      <c r="D41" s="22">
        <f>(G$12/(1+$A$41)^1+H$12/(1+$A$41)^2+I$12/(1+$A$41)^3+J$12/(1+$A$41)^4+K$12/(1+$A$41)^5+K$12*17/(1+$A$41)^5+$C$29)/$C$32</f>
        <v/>
      </c>
      <c r="E41" s="22">
        <f>(G$12/(1+$A$41)^1+H$12/(1+$A$41)^2+I$12/(1+$A$41)^3+J$12/(1+$A$41)^4+K$12/(1+$A$41)^5+K$12*19/(1+$A$41)^5+$C$29)/$C$32</f>
        <v/>
      </c>
      <c r="F41" s="22">
        <f>(G$12/(1+$A$41)^1+H$12/(1+$A$41)^2+I$12/(1+$A$41)^3+J$12/(1+$A$41)^4+K$12/(1+$A$41)^5+K$12*21/(1+$A$41)^5+$C$29)/$C$32</f>
        <v/>
      </c>
      <c r="G41" s="22">
        <f>(G$12/(1+$A$41)^1+H$12/(1+$A$41)^2+I$12/(1+$A$41)^3+J$12/(1+$A$41)^4+K$12/(1+$A$41)^5+K$12*23/(1+$A$41)^5+$C$29)/$C$32</f>
        <v/>
      </c>
    </row>
    <row r="42">
      <c r="A42" s="21" t="n">
        <v>0.07729999999999999</v>
      </c>
      <c r="C42" s="22">
        <f>(G$12/(1+$A$42)^1+H$12/(1+$A$42)^2+I$12/(1+$A$42)^3+J$12/(1+$A$42)^4+K$12/(1+$A$42)^5+K$12*15/(1+$A$42)^5+$C$29)/$C$32</f>
        <v/>
      </c>
      <c r="D42" s="22">
        <f>(G$12/(1+$A$42)^1+H$12/(1+$A$42)^2+I$12/(1+$A$42)^3+J$12/(1+$A$42)^4+K$12/(1+$A$42)^5+K$12*17/(1+$A$42)^5+$C$29)/$C$32</f>
        <v/>
      </c>
      <c r="E42" s="23">
        <f>(G$12/(1+$A$42)^1+H$12/(1+$A$42)^2+I$12/(1+$A$42)^3+J$12/(1+$A$42)^4+K$12/(1+$A$42)^5+K$12*19/(1+$A$42)^5+$C$29)/$C$32</f>
        <v/>
      </c>
      <c r="F42" s="22">
        <f>(G$12/(1+$A$42)^1+H$12/(1+$A$42)^2+I$12/(1+$A$42)^3+J$12/(1+$A$42)^4+K$12/(1+$A$42)^5+K$12*21/(1+$A$42)^5+$C$29)/$C$32</f>
        <v/>
      </c>
      <c r="G42" s="22">
        <f>(G$12/(1+$A$42)^1+H$12/(1+$A$42)^2+I$12/(1+$A$42)^3+J$12/(1+$A$42)^4+K$12/(1+$A$42)^5+K$12*23/(1+$A$42)^5+$C$29)/$C$32</f>
        <v/>
      </c>
    </row>
    <row r="43">
      <c r="A43" s="21" t="n">
        <v>0.08729999999999999</v>
      </c>
      <c r="C43" s="22">
        <f>(G$12/(1+$A$43)^1+H$12/(1+$A$43)^2+I$12/(1+$A$43)^3+J$12/(1+$A$43)^4+K$12/(1+$A$43)^5+K$12*15/(1+$A$43)^5+$C$29)/$C$32</f>
        <v/>
      </c>
      <c r="D43" s="22">
        <f>(G$12/(1+$A$43)^1+H$12/(1+$A$43)^2+I$12/(1+$A$43)^3+J$12/(1+$A$43)^4+K$12/(1+$A$43)^5+K$12*17/(1+$A$43)^5+$C$29)/$C$32</f>
        <v/>
      </c>
      <c r="E43" s="22">
        <f>(G$12/(1+$A$43)^1+H$12/(1+$A$43)^2+I$12/(1+$A$43)^3+J$12/(1+$A$43)^4+K$12/(1+$A$43)^5+K$12*19/(1+$A$43)^5+$C$29)/$C$32</f>
        <v/>
      </c>
      <c r="F43" s="22">
        <f>(G$12/(1+$A$43)^1+H$12/(1+$A$43)^2+I$12/(1+$A$43)^3+J$12/(1+$A$43)^4+K$12/(1+$A$43)^5+K$12*21/(1+$A$43)^5+$C$29)/$C$32</f>
        <v/>
      </c>
      <c r="G43" s="22">
        <f>(G$12/(1+$A$43)^1+H$12/(1+$A$43)^2+I$12/(1+$A$43)^3+J$12/(1+$A$43)^4+K$12/(1+$A$43)^5+K$12*23/(1+$A$43)^5+$C$29)/$C$32</f>
        <v/>
      </c>
    </row>
    <row r="44">
      <c r="A44" s="21" t="n">
        <v>0.0973</v>
      </c>
      <c r="C44" s="22">
        <f>(G$12/(1+$A$44)^1+H$12/(1+$A$44)^2+I$12/(1+$A$44)^3+J$12/(1+$A$44)^4+K$12/(1+$A$44)^5+K$12*15/(1+$A$44)^5+$C$29)/$C$32</f>
        <v/>
      </c>
      <c r="D44" s="22">
        <f>(G$12/(1+$A$44)^1+H$12/(1+$A$44)^2+I$12/(1+$A$44)^3+J$12/(1+$A$44)^4+K$12/(1+$A$44)^5+K$12*17/(1+$A$44)^5+$C$29)/$C$32</f>
        <v/>
      </c>
      <c r="E44" s="22">
        <f>(G$12/(1+$A$44)^1+H$12/(1+$A$44)^2+I$12/(1+$A$44)^3+J$12/(1+$A$44)^4+K$12/(1+$A$44)^5+K$12*19/(1+$A$44)^5+$C$29)/$C$32</f>
        <v/>
      </c>
      <c r="F44" s="22">
        <f>(G$12/(1+$A$44)^1+H$12/(1+$A$44)^2+I$12/(1+$A$44)^3+J$12/(1+$A$44)^4+K$12/(1+$A$44)^5+K$12*21/(1+$A$44)^5+$C$29)/$C$32</f>
        <v/>
      </c>
      <c r="G44" s="22">
        <f>(G$12/(1+$A$44)^1+H$12/(1+$A$44)^2+I$12/(1+$A$44)^3+J$12/(1+$A$44)^4+K$12/(1+$A$44)^5+K$12*23/(1+$A$44)^5+$C$29)/$C$32</f>
        <v/>
      </c>
    </row>
    <row r="45">
      <c r="A45" s="21" t="n">
        <v>0.1073</v>
      </c>
      <c r="C45" s="22">
        <f>(G$12/(1+$A$45)^1+H$12/(1+$A$45)^2+I$12/(1+$A$45)^3+J$12/(1+$A$45)^4+K$12/(1+$A$45)^5+K$12*15/(1+$A$45)^5+$C$29)/$C$32</f>
        <v/>
      </c>
      <c r="D45" s="22">
        <f>(G$12/(1+$A$45)^1+H$12/(1+$A$45)^2+I$12/(1+$A$45)^3+J$12/(1+$A$45)^4+K$12/(1+$A$45)^5+K$12*17/(1+$A$45)^5+$C$29)/$C$32</f>
        <v/>
      </c>
      <c r="E45" s="22">
        <f>(G$12/(1+$A$45)^1+H$12/(1+$A$45)^2+I$12/(1+$A$45)^3+J$12/(1+$A$45)^4+K$12/(1+$A$45)^5+K$12*19/(1+$A$45)^5+$C$29)/$C$32</f>
        <v/>
      </c>
      <c r="F45" s="22">
        <f>(G$12/(1+$A$45)^1+H$12/(1+$A$45)^2+I$12/(1+$A$45)^3+J$12/(1+$A$45)^4+K$12/(1+$A$45)^5+K$12*21/(1+$A$45)^5+$C$29)/$C$32</f>
        <v/>
      </c>
      <c r="G45" s="22">
        <f>(G$12/(1+$A$45)^1+H$12/(1+$A$45)^2+I$12/(1+$A$45)^3+J$12/(1+$A$45)^4+K$12/(1+$A$45)^5+K$12*23/(1+$A$45)^5+$C$29)/$C$32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2026-03-21T10:31:31Z</dcterms:created>
  <dcterms:modified xmlns:dcterms="http://purl.org/dc/terms/" xmlns:xsi="http://www.w3.org/2001/XMLSchema-instance" xsi:type="dcterms:W3CDTF">2026-03-21T10:31:31Z</dcterms:modified>
</cp:coreProperties>
</file>