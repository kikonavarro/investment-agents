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Mastercard Incorporated (MA)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Credit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22237</v>
      </c>
      <c r="D7" s="5" t="n">
        <v>25098</v>
      </c>
      <c r="E7" s="5" t="n">
        <v>28167</v>
      </c>
      <c r="F7" s="5" t="n">
        <v>32791</v>
      </c>
    </row>
    <row r="8">
      <c r="A8" s="4" t="inlineStr">
        <is>
          <t xml:space="preserve">  Revenue Growth - Base</t>
        </is>
      </c>
      <c r="G8" s="6" t="n">
        <v>0.1384</v>
      </c>
      <c r="H8" s="6" t="n">
        <v>0.1246</v>
      </c>
      <c r="I8" s="6" t="n">
        <v>0.1107</v>
      </c>
      <c r="J8" s="6" t="n">
        <v>0.0969</v>
      </c>
      <c r="K8" s="6" t="n">
        <v>0.083</v>
      </c>
    </row>
    <row r="9">
      <c r="A9" s="4" t="inlineStr">
        <is>
          <t xml:space="preserve">  Revenue Growth - Bull</t>
        </is>
      </c>
      <c r="G9" s="6" t="n">
        <v>0.1384</v>
      </c>
      <c r="H9" s="6" t="n">
        <v>0.1246</v>
      </c>
      <c r="I9" s="6" t="n">
        <v>0.1107</v>
      </c>
      <c r="J9" s="6" t="n">
        <v>0.0969</v>
      </c>
      <c r="K9" s="6" t="n">
        <v>0.083</v>
      </c>
    </row>
    <row r="10">
      <c r="A10" s="4" t="inlineStr">
        <is>
          <t xml:space="preserve">  Revenue Growth - Bear</t>
        </is>
      </c>
      <c r="G10" s="6" t="n">
        <v>0.1384</v>
      </c>
      <c r="H10" s="6" t="n">
        <v>0.1246</v>
      </c>
      <c r="I10" s="6" t="n">
        <v>0.1107</v>
      </c>
      <c r="J10" s="6" t="n">
        <v>0.0969</v>
      </c>
      <c r="K10" s="6" t="n">
        <v>0.083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0.7663366914459802</v>
      </c>
      <c r="H15" s="6" t="n">
        <v>0.7663366914459802</v>
      </c>
      <c r="I15" s="6" t="n">
        <v>0.7663366914459802</v>
      </c>
      <c r="J15" s="6" t="n">
        <v>0.7663366914459802</v>
      </c>
      <c r="K15" s="6" t="n">
        <v>0.7663366914459802</v>
      </c>
    </row>
    <row r="16">
      <c r="A16" s="4" t="inlineStr">
        <is>
          <t>Gross Margin - Bull</t>
        </is>
      </c>
      <c r="G16" s="6" t="n">
        <v>0.7663366914459802</v>
      </c>
      <c r="H16" s="6" t="n">
        <v>0.7663366914459802</v>
      </c>
      <c r="I16" s="6" t="n">
        <v>0.7663366914459802</v>
      </c>
      <c r="J16" s="6" t="n">
        <v>0.7663366914459802</v>
      </c>
      <c r="K16" s="6" t="n">
        <v>0.7663366914459802</v>
      </c>
    </row>
    <row r="17">
      <c r="A17" s="4" t="inlineStr">
        <is>
          <t>Gross Margin - Bear</t>
        </is>
      </c>
      <c r="G17" s="6" t="n">
        <v>0.7663366914459802</v>
      </c>
      <c r="H17" s="6" t="n">
        <v>0.7663366914459802</v>
      </c>
      <c r="I17" s="6" t="n">
        <v>0.7663366914459802</v>
      </c>
      <c r="J17" s="6" t="n">
        <v>0.7663366914459802</v>
      </c>
      <c r="K17" s="6" t="n">
        <v>0.7663366914459802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0.1508260765340146</v>
      </c>
      <c r="H20" s="6" t="n">
        <v>0.1508260765340146</v>
      </c>
      <c r="I20" s="6" t="n">
        <v>0.1508260765340146</v>
      </c>
      <c r="J20" s="6" t="n">
        <v>0.1508260765340146</v>
      </c>
      <c r="K20" s="6" t="n">
        <v>0.1508260765340146</v>
      </c>
    </row>
    <row r="21">
      <c r="A21" s="4" t="inlineStr">
        <is>
          <t>SG&amp;A % Revenue - Bull</t>
        </is>
      </c>
      <c r="G21" s="6" t="n">
        <v>0.1508260765340146</v>
      </c>
      <c r="H21" s="6" t="n">
        <v>0.1508260765340146</v>
      </c>
      <c r="I21" s="6" t="n">
        <v>0.1508260765340146</v>
      </c>
      <c r="J21" s="6" t="n">
        <v>0.1508260765340146</v>
      </c>
      <c r="K21" s="6" t="n">
        <v>0.1508260765340146</v>
      </c>
    </row>
    <row r="22">
      <c r="A22" s="4" t="inlineStr">
        <is>
          <t>SG&amp;A % Revenue - Bear</t>
        </is>
      </c>
      <c r="G22" s="6" t="n">
        <v>0.1508260765340146</v>
      </c>
      <c r="H22" s="6" t="n">
        <v>0.1508260765340146</v>
      </c>
      <c r="I22" s="6" t="n">
        <v>0.1508260765340146</v>
      </c>
      <c r="J22" s="6" t="n">
        <v>0.1508260765340146</v>
      </c>
      <c r="K22" s="6" t="n">
        <v>0.1508260765340146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0.03306641989037414</v>
      </c>
      <c r="H30" s="6" t="n">
        <v>0.03306641989037414</v>
      </c>
      <c r="I30" s="6" t="n">
        <v>0.03306641989037414</v>
      </c>
      <c r="J30" s="6" t="n">
        <v>0.03306641989037414</v>
      </c>
      <c r="K30" s="6" t="n">
        <v>0.03306641989037414</v>
      </c>
    </row>
    <row r="31">
      <c r="A31" s="4" t="inlineStr">
        <is>
          <t>CapEx % Revenue</t>
        </is>
      </c>
      <c r="G31" s="6" t="n">
        <v>0.04287004931084464</v>
      </c>
      <c r="H31" s="6" t="n">
        <v>0.04287004931084464</v>
      </c>
      <c r="I31" s="6" t="n">
        <v>0.04287004931084464</v>
      </c>
      <c r="J31" s="6" t="n">
        <v>0.04287004931084464</v>
      </c>
      <c r="K31" s="6" t="n">
        <v>0.04287004931084464</v>
      </c>
    </row>
    <row r="32">
      <c r="A32" s="4" t="inlineStr">
        <is>
          <t>Tax Rate</t>
        </is>
      </c>
      <c r="G32" s="6" t="n">
        <v>0.1598661477960236</v>
      </c>
      <c r="H32" s="6" t="n">
        <v>0.1598661477960236</v>
      </c>
      <c r="I32" s="6" t="n">
        <v>0.1598661477960236</v>
      </c>
      <c r="J32" s="6" t="n">
        <v>0.1598661477960236</v>
      </c>
      <c r="K32" s="6" t="n">
        <v>0.1598661477960236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12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Mastercard Incorporated (MA)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22237</v>
      </c>
      <c r="D6" s="5" t="n">
        <v>25098</v>
      </c>
      <c r="E6" s="5" t="n">
        <v>28167</v>
      </c>
      <c r="F6" s="5" t="n">
        <v>32791</v>
      </c>
    </row>
    <row r="7">
      <c r="A7" s="4" t="inlineStr">
        <is>
          <t>Cost of Revenue</t>
        </is>
      </c>
      <c r="C7" s="5" t="n">
        <v>5263</v>
      </c>
      <c r="D7" s="5" t="n">
        <v>6022</v>
      </c>
      <c r="E7" s="5" t="n">
        <v>6673</v>
      </c>
      <c r="F7" s="5" t="n">
        <v>7251</v>
      </c>
    </row>
    <row r="8">
      <c r="A8" s="2" t="inlineStr">
        <is>
          <t>Gross Profit</t>
        </is>
      </c>
      <c r="C8" s="5" t="n">
        <v>16974</v>
      </c>
      <c r="D8" s="5" t="n">
        <v>19076</v>
      </c>
      <c r="E8" s="5" t="n">
        <v>21494</v>
      </c>
      <c r="F8" s="5" t="n">
        <v>25540</v>
      </c>
    </row>
    <row r="9">
      <c r="A9" s="4" t="inlineStr">
        <is>
          <t xml:space="preserve">  Gross Margin</t>
        </is>
      </c>
      <c r="C9" s="11" t="n">
        <v>0.7633223906102442</v>
      </c>
      <c r="D9" s="11" t="n">
        <v>0.7600605625946291</v>
      </c>
      <c r="E9" s="11" t="n">
        <v>0.7630915610466148</v>
      </c>
      <c r="F9" s="11" t="n">
        <v>0.7788722515324327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3502</v>
      </c>
      <c r="D12" s="5" t="n">
        <v>3647</v>
      </c>
      <c r="E12" s="5" t="n">
        <v>4270</v>
      </c>
      <c r="F12" s="5" t="n">
        <v>4883</v>
      </c>
    </row>
    <row r="13">
      <c r="A13" s="2" t="inlineStr">
        <is>
          <t>Operating Income (EBIT)</t>
        </is>
      </c>
      <c r="C13" s="5" t="n">
        <v>12722</v>
      </c>
      <c r="D13" s="5" t="n">
        <v>14630</v>
      </c>
      <c r="E13" s="5" t="n">
        <v>16327</v>
      </c>
      <c r="F13" s="5" t="n">
        <v>19514</v>
      </c>
    </row>
    <row r="14">
      <c r="A14" s="4" t="inlineStr">
        <is>
          <t xml:space="preserve">  EBIT Margin</t>
        </is>
      </c>
      <c r="C14" s="11" t="n">
        <v>0.5721095471511445</v>
      </c>
      <c r="D14" s="11" t="n">
        <v>0.5829149733046458</v>
      </c>
      <c r="E14" s="11" t="n">
        <v>0.5796499449710655</v>
      </c>
      <c r="F14" s="11" t="n">
        <v>0.5951023146595102</v>
      </c>
    </row>
    <row r="16">
      <c r="A16" s="4" t="inlineStr">
        <is>
          <t>Interest Expense</t>
        </is>
      </c>
      <c r="C16" s="5" t="n">
        <v>471</v>
      </c>
      <c r="D16" s="5" t="n">
        <v>575</v>
      </c>
      <c r="E16" s="5" t="n">
        <v>646</v>
      </c>
      <c r="F16" s="5" t="n">
        <v>722</v>
      </c>
    </row>
    <row r="17">
      <c r="A17" s="4" t="inlineStr">
        <is>
          <t>Tax Provision</t>
        </is>
      </c>
      <c r="C17" s="5" t="n">
        <v>1802</v>
      </c>
      <c r="D17" s="5" t="n">
        <v>2444</v>
      </c>
      <c r="E17" s="5" t="n">
        <v>2380</v>
      </c>
      <c r="F17" s="5" t="n">
        <v>3610</v>
      </c>
    </row>
    <row r="18">
      <c r="A18" s="2" t="inlineStr">
        <is>
          <t>Net Income</t>
        </is>
      </c>
      <c r="C18" s="5" t="n">
        <v>9930</v>
      </c>
      <c r="D18" s="5" t="n">
        <v>11195</v>
      </c>
      <c r="E18" s="5" t="n">
        <v>12874</v>
      </c>
      <c r="F18" s="5" t="n">
        <v>14968</v>
      </c>
    </row>
    <row r="19">
      <c r="A19" s="4" t="inlineStr">
        <is>
          <t xml:space="preserve">  Net Margin</t>
        </is>
      </c>
      <c r="C19" s="11" t="n">
        <v>0.4465530422269191</v>
      </c>
      <c r="D19" s="11" t="n">
        <v>0.4460514782054347</v>
      </c>
      <c r="E19" s="11" t="n">
        <v>0.4570596797671033</v>
      </c>
      <c r="F19" s="11" t="n">
        <v>0.4564667134274649</v>
      </c>
    </row>
    <row r="21">
      <c r="A21" s="2" t="inlineStr">
        <is>
          <t>EBITDA</t>
        </is>
      </c>
      <c r="C21" s="5" t="n">
        <v>12953</v>
      </c>
      <c r="D21" s="5" t="n">
        <v>15013</v>
      </c>
      <c r="E21" s="5" t="n">
        <v>16797</v>
      </c>
      <c r="F21" s="5" t="n">
        <v>20443</v>
      </c>
    </row>
    <row r="22">
      <c r="A22" s="4" t="inlineStr">
        <is>
          <t xml:space="preserve">  EBITDA Margin</t>
        </is>
      </c>
      <c r="C22" s="11" t="n">
        <v>0.5824976390700184</v>
      </c>
      <c r="D22" s="11" t="n">
        <v>0.5981751533986772</v>
      </c>
      <c r="E22" s="11" t="n">
        <v>0.5963361380338694</v>
      </c>
      <c r="F22" s="11" t="n">
        <v>0.6234332591259797</v>
      </c>
    </row>
    <row r="23">
      <c r="A23" s="4" t="inlineStr">
        <is>
          <t>Diluted EPS</t>
        </is>
      </c>
      <c r="C23" s="12" t="n">
        <v>10.22</v>
      </c>
      <c r="D23" s="12" t="n">
        <v>11.83</v>
      </c>
      <c r="E23" s="12" t="n">
        <v>13.89</v>
      </c>
      <c r="F23" s="12" t="n">
        <v>16.52</v>
      </c>
    </row>
    <row r="24">
      <c r="A24" s="4" t="inlineStr">
        <is>
          <t>D&amp;A</t>
        </is>
      </c>
      <c r="C24" s="5" t="n">
        <v>750</v>
      </c>
      <c r="D24" s="5" t="n">
        <v>799</v>
      </c>
      <c r="E24" s="5" t="n">
        <v>897</v>
      </c>
      <c r="F24" s="5" t="n">
        <v>1143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7008</v>
      </c>
      <c r="D28" s="5" t="n">
        <v>8588</v>
      </c>
      <c r="E28" s="5" t="n">
        <v>8442</v>
      </c>
      <c r="F28" s="5" t="n">
        <v>10566</v>
      </c>
    </row>
    <row r="29">
      <c r="A29" s="4" t="inlineStr">
        <is>
          <t>Current Assets</t>
        </is>
      </c>
      <c r="C29" s="5" t="n">
        <v>16606</v>
      </c>
      <c r="D29" s="5" t="n">
        <v>18961</v>
      </c>
      <c r="E29" s="5" t="n">
        <v>19724</v>
      </c>
      <c r="F29" s="5" t="n">
        <v>23558</v>
      </c>
    </row>
    <row r="30">
      <c r="A30" s="4" t="inlineStr">
        <is>
          <t>Net PP&amp;E</t>
        </is>
      </c>
      <c r="C30" s="5" t="n">
        <v>2006</v>
      </c>
      <c r="D30" s="5" t="n">
        <v>2061</v>
      </c>
      <c r="E30" s="5" t="n">
        <v>2138</v>
      </c>
      <c r="F30" s="5" t="n">
        <v>2303</v>
      </c>
    </row>
    <row r="31">
      <c r="A31" s="4" t="inlineStr">
        <is>
          <t>Goodwill</t>
        </is>
      </c>
      <c r="C31" s="5" t="n">
        <v>7522</v>
      </c>
      <c r="D31" s="5" t="n">
        <v>7660</v>
      </c>
      <c r="E31" s="5" t="n">
        <v>9193</v>
      </c>
      <c r="F31" s="5" t="n">
        <v>9560</v>
      </c>
    </row>
    <row r="32">
      <c r="A32" s="2" t="inlineStr">
        <is>
          <t>Total Assets</t>
        </is>
      </c>
      <c r="C32" s="5" t="n">
        <v>38724</v>
      </c>
      <c r="D32" s="5" t="n">
        <v>42448</v>
      </c>
      <c r="E32" s="5" t="n">
        <v>48081</v>
      </c>
      <c r="F32" s="5" t="n">
        <v>54157</v>
      </c>
    </row>
    <row r="34">
      <c r="A34" s="4" t="inlineStr">
        <is>
          <t>Current Liabilities</t>
        </is>
      </c>
      <c r="C34" s="5" t="n">
        <v>14171</v>
      </c>
      <c r="D34" s="5" t="n">
        <v>16264</v>
      </c>
      <c r="E34" s="5" t="n">
        <v>19220</v>
      </c>
      <c r="F34" s="5" t="n">
        <v>22762</v>
      </c>
    </row>
    <row r="35">
      <c r="A35" s="4" t="inlineStr">
        <is>
          <t>Total Debt</t>
        </is>
      </c>
      <c r="C35" s="5" t="n">
        <v>14023</v>
      </c>
      <c r="D35" s="5" t="n">
        <v>15681</v>
      </c>
      <c r="E35" s="5" t="n">
        <v>18226</v>
      </c>
      <c r="F35" s="5" t="n">
        <v>19000</v>
      </c>
    </row>
    <row r="36">
      <c r="A36" s="2" t="inlineStr">
        <is>
          <t>Total Liabilities</t>
        </is>
      </c>
      <c r="C36" s="5" t="n">
        <v>32347</v>
      </c>
      <c r="D36" s="5" t="n">
        <v>35451</v>
      </c>
      <c r="E36" s="5" t="n">
        <v>41566</v>
      </c>
      <c r="F36" s="5" t="n">
        <v>46411</v>
      </c>
    </row>
    <row r="38">
      <c r="A38" s="2" t="inlineStr">
        <is>
          <t>Total Equity</t>
        </is>
      </c>
      <c r="C38" s="5" t="n">
        <v>6377</v>
      </c>
      <c r="D38" s="5" t="n">
        <v>6997</v>
      </c>
      <c r="E38" s="5" t="n">
        <v>6515</v>
      </c>
      <c r="F38" s="5" t="n">
        <v>7746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11195</v>
      </c>
      <c r="D42" s="5" t="n">
        <v>11980</v>
      </c>
      <c r="E42" s="5" t="n">
        <v>14780</v>
      </c>
      <c r="F42" s="5" t="n">
        <v>17648</v>
      </c>
    </row>
    <row r="43">
      <c r="A43" s="4" t="inlineStr">
        <is>
          <t>Capital Expenditure</t>
        </is>
      </c>
      <c r="C43" s="5" t="n">
        <v>-1097</v>
      </c>
      <c r="D43" s="5" t="n">
        <v>-1088</v>
      </c>
      <c r="E43" s="5" t="n">
        <v>-1194</v>
      </c>
      <c r="F43" s="5" t="n">
        <v>-1215</v>
      </c>
    </row>
    <row r="44">
      <c r="A44" s="2" t="inlineStr">
        <is>
          <t>Free Cash Flow</t>
        </is>
      </c>
      <c r="C44" s="5" t="n">
        <v>10098</v>
      </c>
      <c r="D44" s="5" t="n">
        <v>10892</v>
      </c>
      <c r="E44" s="5" t="n">
        <v>13586</v>
      </c>
      <c r="F44" s="5" t="n">
        <v>16433</v>
      </c>
    </row>
    <row r="46">
      <c r="A46" s="4" t="inlineStr">
        <is>
          <t>D&amp;A</t>
        </is>
      </c>
      <c r="C46" s="5" t="n">
        <v>750</v>
      </c>
      <c r="D46" s="5" t="n">
        <v>799</v>
      </c>
      <c r="E46" s="5" t="n">
        <v>897</v>
      </c>
      <c r="F46" s="5" t="n">
        <v>1143</v>
      </c>
    </row>
    <row r="47">
      <c r="A47" s="4" t="inlineStr">
        <is>
          <t>Stock-Based Compensation</t>
        </is>
      </c>
      <c r="C47" s="5" t="n">
        <v>295</v>
      </c>
      <c r="D47" s="5" t="n">
        <v>460</v>
      </c>
      <c r="E47" s="5" t="n">
        <v>526</v>
      </c>
      <c r="F47" s="5" t="n">
        <v>597</v>
      </c>
    </row>
    <row r="48">
      <c r="A48" s="4" t="inlineStr">
        <is>
          <t>Change in Working Capital</t>
        </is>
      </c>
      <c r="C48" s="5" t="n">
        <v>-904</v>
      </c>
      <c r="D48" s="5" t="n">
        <v>-1943</v>
      </c>
      <c r="E48" s="5" t="n">
        <v>-1040</v>
      </c>
      <c r="F48" s="5" t="n">
        <v>-1442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Mastercard Incorporated (MA)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Credit Services</t>
        </is>
      </c>
      <c r="C8" s="5" t="n">
        <v>22237</v>
      </c>
      <c r="D8" s="5" t="n">
        <v>25098</v>
      </c>
      <c r="E8" s="5" t="n">
        <v>28167</v>
      </c>
      <c r="F8" s="5" t="n">
        <v>32791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5263</v>
      </c>
      <c r="D16" s="5" t="n">
        <v>6022</v>
      </c>
      <c r="E16" s="5" t="n">
        <v>6673</v>
      </c>
      <c r="F16" s="5" t="n">
        <v>7251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3502</v>
      </c>
      <c r="D20" s="5" t="n">
        <v>3647</v>
      </c>
      <c r="E20" s="5" t="n">
        <v>4270</v>
      </c>
      <c r="F20" s="5" t="n">
        <v>4883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750</v>
      </c>
      <c r="D22" s="5" t="n">
        <v>799</v>
      </c>
      <c r="E22" s="5" t="n">
        <v>897</v>
      </c>
      <c r="F22" s="5" t="n">
        <v>1143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471</v>
      </c>
      <c r="D29" s="5" t="n">
        <v>575</v>
      </c>
      <c r="E29" s="5" t="n">
        <v>646</v>
      </c>
      <c r="F29" s="5" t="n">
        <v>722</v>
      </c>
      <c r="G29" s="5" t="n">
        <v>722</v>
      </c>
      <c r="H29" s="5" t="n">
        <v>722</v>
      </c>
      <c r="I29" s="5" t="n">
        <v>722</v>
      </c>
      <c r="J29" s="5" t="n">
        <v>722</v>
      </c>
      <c r="K29" s="5" t="n">
        <v>722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1802</v>
      </c>
      <c r="D31" s="5" t="n">
        <v>2444</v>
      </c>
      <c r="E31" s="5" t="n">
        <v>2380</v>
      </c>
      <c r="F31" s="5" t="n">
        <v>3610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-904</v>
      </c>
      <c r="D39" s="5" t="n">
        <v>-1943</v>
      </c>
      <c r="E39" s="5" t="n">
        <v>-1040</v>
      </c>
      <c r="F39" s="5" t="n">
        <v>-1442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-1097</v>
      </c>
      <c r="D42" s="5" t="n">
        <v>-1088</v>
      </c>
      <c r="E42" s="5" t="n">
        <v>-1194</v>
      </c>
      <c r="F42" s="5" t="n">
        <v>-1215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Mastercard Incorporated (MA)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493.01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-8434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877.03623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C33/493.01-1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0.07000000000000001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0.08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0.1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0.11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0.12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0.13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2026-05-27T06:35:03Z</dcterms:created>
  <dcterms:modified xmlns:dcterms="http://purl.org/dc/terms/" xmlns:xsi="http://www.w3.org/2001/XMLSchema-instance" xsi:type="dcterms:W3CDTF">2026-05-27T06:35:03Z</dcterms:modified>
</cp:coreProperties>
</file>