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UnitedHealth Group Incorporated (UNH)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Healthcare Plans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324162</v>
      </c>
      <c r="D7" s="5" t="n">
        <v>371622</v>
      </c>
      <c r="E7" s="5" t="n">
        <v>400278</v>
      </c>
      <c r="F7" s="5" t="n">
        <v>447567</v>
      </c>
    </row>
    <row r="8">
      <c r="A8" s="4" t="inlineStr">
        <is>
          <t xml:space="preserve">  Revenue Growth - Base</t>
        </is>
      </c>
      <c r="G8" s="6" t="n">
        <v>-0.02</v>
      </c>
      <c r="H8" s="6" t="n">
        <v>0.05</v>
      </c>
      <c r="I8" s="6" t="n">
        <v>0.06</v>
      </c>
      <c r="J8" s="6" t="n">
        <v>0.06</v>
      </c>
      <c r="K8" s="6" t="n">
        <v>0.05</v>
      </c>
    </row>
    <row r="9">
      <c r="A9" s="4" t="inlineStr">
        <is>
          <t xml:space="preserve">  Revenue Growth - Bull</t>
        </is>
      </c>
      <c r="G9" s="6" t="n">
        <v>0</v>
      </c>
      <c r="H9" s="6" t="n">
        <v>0.07000000000000001</v>
      </c>
      <c r="I9" s="6" t="n">
        <v>0.08</v>
      </c>
      <c r="J9" s="6" t="n">
        <v>0.07000000000000001</v>
      </c>
      <c r="K9" s="6" t="n">
        <v>0.06</v>
      </c>
    </row>
    <row r="10">
      <c r="A10" s="4" t="inlineStr">
        <is>
          <t xml:space="preserve">  Revenue Growth - Bear</t>
        </is>
      </c>
      <c r="G10" s="6" t="n">
        <v>-0.02</v>
      </c>
      <c r="H10" s="6" t="n">
        <v>0.02</v>
      </c>
      <c r="I10" s="6" t="n">
        <v>0.03</v>
      </c>
      <c r="J10" s="6" t="n">
        <v>0.04</v>
      </c>
      <c r="K10" s="6" t="n">
        <v>0.04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0.225</v>
      </c>
      <c r="H15" s="6" t="n">
        <v>0.225</v>
      </c>
      <c r="I15" s="6" t="n">
        <v>0.225</v>
      </c>
      <c r="J15" s="6" t="n">
        <v>0.225</v>
      </c>
      <c r="K15" s="6" t="n">
        <v>0.225</v>
      </c>
    </row>
    <row r="16">
      <c r="A16" s="4" t="inlineStr">
        <is>
          <t>Gross Margin - Bull</t>
        </is>
      </c>
      <c r="G16" s="6" t="n">
        <v>0.235</v>
      </c>
      <c r="H16" s="6" t="n">
        <v>0.235</v>
      </c>
      <c r="I16" s="6" t="n">
        <v>0.235</v>
      </c>
      <c r="J16" s="6" t="n">
        <v>0.235</v>
      </c>
      <c r="K16" s="6" t="n">
        <v>0.235</v>
      </c>
    </row>
    <row r="17">
      <c r="A17" s="4" t="inlineStr">
        <is>
          <t>Gross Margin - Bear</t>
        </is>
      </c>
      <c r="G17" s="6" t="n">
        <v>0.21</v>
      </c>
      <c r="H17" s="6" t="n">
        <v>0.21</v>
      </c>
      <c r="I17" s="6" t="n">
        <v>0.21</v>
      </c>
      <c r="J17" s="6" t="n">
        <v>0.21</v>
      </c>
      <c r="K17" s="6" t="n">
        <v>0.21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0.15</v>
      </c>
      <c r="H20" s="6" t="n">
        <v>0.15</v>
      </c>
      <c r="I20" s="6" t="n">
        <v>0.15</v>
      </c>
      <c r="J20" s="6" t="n">
        <v>0.15</v>
      </c>
      <c r="K20" s="6" t="n">
        <v>0.15</v>
      </c>
    </row>
    <row r="21">
      <c r="A21" s="4" t="inlineStr">
        <is>
          <t>SG&amp;A % Revenue - Bull</t>
        </is>
      </c>
      <c r="G21" s="6" t="n">
        <v>0.145</v>
      </c>
      <c r="H21" s="6" t="n">
        <v>0.145</v>
      </c>
      <c r="I21" s="6" t="n">
        <v>0.145</v>
      </c>
      <c r="J21" s="6" t="n">
        <v>0.145</v>
      </c>
      <c r="K21" s="6" t="n">
        <v>0.145</v>
      </c>
    </row>
    <row r="22">
      <c r="A22" s="4" t="inlineStr">
        <is>
          <t>SG&amp;A % Revenue - Bear</t>
        </is>
      </c>
      <c r="G22" s="6" t="n">
        <v>0.155</v>
      </c>
      <c r="H22" s="6" t="n">
        <v>0.155</v>
      </c>
      <c r="I22" s="6" t="n">
        <v>0.155</v>
      </c>
      <c r="J22" s="6" t="n">
        <v>0.155</v>
      </c>
      <c r="K22" s="6" t="n">
        <v>0.155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0.011</v>
      </c>
      <c r="H30" s="6" t="n">
        <v>0.011</v>
      </c>
      <c r="I30" s="6" t="n">
        <v>0.011</v>
      </c>
      <c r="J30" s="6" t="n">
        <v>0.011</v>
      </c>
      <c r="K30" s="6" t="n">
        <v>0.011</v>
      </c>
    </row>
    <row r="31">
      <c r="A31" s="4" t="inlineStr">
        <is>
          <t>CapEx % Revenue</t>
        </is>
      </c>
      <c r="G31" s="6" t="n">
        <v>0.011</v>
      </c>
      <c r="H31" s="6" t="n">
        <v>0.011</v>
      </c>
      <c r="I31" s="6" t="n">
        <v>0.011</v>
      </c>
      <c r="J31" s="6" t="n">
        <v>0.011</v>
      </c>
      <c r="K31" s="6" t="n">
        <v>0.011</v>
      </c>
    </row>
    <row r="32">
      <c r="A32" s="4" t="inlineStr">
        <is>
          <t>Tax Rate</t>
        </is>
      </c>
      <c r="G32" s="6" t="n">
        <v>0.22</v>
      </c>
      <c r="H32" s="6" t="n">
        <v>0.22</v>
      </c>
      <c r="I32" s="6" t="n">
        <v>0.22</v>
      </c>
      <c r="J32" s="6" t="n">
        <v>0.22</v>
      </c>
      <c r="K32" s="6" t="n">
        <v>0.22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0.09</v>
      </c>
    </row>
    <row r="36">
      <c r="A36" s="4" t="inlineStr">
        <is>
          <t>WACC - Bull</t>
        </is>
      </c>
      <c r="C36" s="6" t="n">
        <v>0.09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9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UnitedHealth Group Incorporated (UNH)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324162</v>
      </c>
      <c r="D6" s="5" t="n">
        <v>371622</v>
      </c>
      <c r="E6" s="5" t="n">
        <v>400278</v>
      </c>
      <c r="F6" s="5" t="n">
        <v>447567</v>
      </c>
    </row>
    <row r="7">
      <c r="A7" s="4" t="inlineStr">
        <is>
          <t>Cost of Revenue</t>
        </is>
      </c>
      <c r="C7" s="5" t="n">
        <v>244545</v>
      </c>
      <c r="D7" s="5" t="n">
        <v>280664</v>
      </c>
      <c r="E7" s="5" t="n">
        <v>310879</v>
      </c>
      <c r="F7" s="5" t="n">
        <v>364650</v>
      </c>
    </row>
    <row r="8">
      <c r="A8" s="2" t="inlineStr">
        <is>
          <t>Gross Profit</t>
        </is>
      </c>
      <c r="C8" s="5" t="n">
        <v>79617</v>
      </c>
      <c r="D8" s="5" t="n">
        <v>90958</v>
      </c>
      <c r="E8" s="5" t="n">
        <v>89399</v>
      </c>
      <c r="F8" s="5" t="n">
        <v>82917</v>
      </c>
    </row>
    <row r="9">
      <c r="A9" s="4" t="inlineStr">
        <is>
          <t xml:space="preserve">  Gross Margin</t>
        </is>
      </c>
      <c r="C9" s="11" t="n">
        <v>0.24560867714291</v>
      </c>
      <c r="D9" s="11" t="n">
        <v>0.2447594598812772</v>
      </c>
      <c r="E9" s="11" t="n">
        <v>0.2233422771174034</v>
      </c>
      <c r="F9" s="11" t="n">
        <v>0.1852616479767275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0</v>
      </c>
      <c r="D12" s="5" t="n">
        <v>0</v>
      </c>
      <c r="E12" s="5" t="n">
        <v>0</v>
      </c>
      <c r="F12" s="5" t="n">
        <v>0</v>
      </c>
    </row>
    <row r="13">
      <c r="A13" s="2" t="inlineStr">
        <is>
          <t>Operating Income (EBIT)</t>
        </is>
      </c>
      <c r="C13" s="5" t="n">
        <v>28435</v>
      </c>
      <c r="D13" s="5" t="n">
        <v>32358</v>
      </c>
      <c r="E13" s="5" t="n">
        <v>32287</v>
      </c>
      <c r="F13" s="5" t="n">
        <v>18964</v>
      </c>
    </row>
    <row r="14">
      <c r="A14" s="4" t="inlineStr">
        <is>
          <t xml:space="preserve">  EBIT Margin</t>
        </is>
      </c>
      <c r="C14" s="11" t="n">
        <v>0.08771848643579445</v>
      </c>
      <c r="D14" s="11" t="n">
        <v>0.08707234770815506</v>
      </c>
      <c r="E14" s="11" t="n">
        <v>0.08066144029899221</v>
      </c>
      <c r="F14" s="11" t="n">
        <v>0.04237130977038075</v>
      </c>
    </row>
    <row r="16">
      <c r="A16" s="4" t="inlineStr">
        <is>
          <t>Interest Expense</t>
        </is>
      </c>
      <c r="C16" s="5" t="n">
        <v>2092</v>
      </c>
      <c r="D16" s="5" t="n">
        <v>3246</v>
      </c>
      <c r="E16" s="5" t="n">
        <v>3906</v>
      </c>
      <c r="F16" s="5" t="n">
        <v>4002</v>
      </c>
    </row>
    <row r="17">
      <c r="A17" s="4" t="inlineStr">
        <is>
          <t>Tax Provision</t>
        </is>
      </c>
      <c r="C17" s="5" t="n">
        <v>5704</v>
      </c>
      <c r="D17" s="5" t="n">
        <v>5968</v>
      </c>
      <c r="E17" s="5" t="n">
        <v>4829</v>
      </c>
      <c r="F17" s="5" t="n">
        <v>1890</v>
      </c>
    </row>
    <row r="18">
      <c r="A18" s="2" t="inlineStr">
        <is>
          <t>Net Income</t>
        </is>
      </c>
      <c r="C18" s="5" t="n">
        <v>20120</v>
      </c>
      <c r="D18" s="5" t="n">
        <v>22381</v>
      </c>
      <c r="E18" s="5" t="n">
        <v>14405</v>
      </c>
      <c r="F18" s="5" t="n">
        <v>12056</v>
      </c>
    </row>
    <row r="19">
      <c r="A19" s="4" t="inlineStr">
        <is>
          <t xml:space="preserve">  Net Margin</t>
        </is>
      </c>
      <c r="C19" s="11" t="n">
        <v>0.06206773156631561</v>
      </c>
      <c r="D19" s="11" t="n">
        <v>0.06022517504345814</v>
      </c>
      <c r="E19" s="11" t="n">
        <v>0.03598748869535673</v>
      </c>
      <c r="F19" s="11" t="n">
        <v>0.02693674913476642</v>
      </c>
    </row>
    <row r="21">
      <c r="A21" s="2" t="inlineStr">
        <is>
          <t>EBITDA</t>
        </is>
      </c>
      <c r="C21" s="5" t="n">
        <v>31835</v>
      </c>
      <c r="D21" s="5" t="n">
        <v>36330</v>
      </c>
      <c r="E21" s="5" t="n">
        <v>28076</v>
      </c>
      <c r="F21" s="5" t="n">
        <v>23060</v>
      </c>
    </row>
    <row r="22">
      <c r="A22" s="4" t="inlineStr">
        <is>
          <t xml:space="preserve">  EBITDA Margin</t>
        </is>
      </c>
      <c r="C22" s="11" t="n">
        <v>0.09820706930485375</v>
      </c>
      <c r="D22" s="11" t="n">
        <v>0.09776062773463358</v>
      </c>
      <c r="E22" s="11" t="n">
        <v>0.07014125182997817</v>
      </c>
      <c r="F22" s="11" t="n">
        <v>0.05152301219705653</v>
      </c>
    </row>
    <row r="23">
      <c r="A23" s="4" t="inlineStr">
        <is>
          <t>Diluted EPS</t>
        </is>
      </c>
      <c r="C23" s="12" t="n">
        <v>21.18</v>
      </c>
      <c r="D23" s="12" t="n">
        <v>23.86</v>
      </c>
      <c r="E23" s="12" t="n">
        <v>15.51</v>
      </c>
      <c r="F23" s="12" t="n">
        <v>13.23</v>
      </c>
    </row>
    <row r="24">
      <c r="A24" s="4" t="inlineStr">
        <is>
          <t>D&amp;A</t>
        </is>
      </c>
      <c r="C24" s="5" t="n">
        <v>3400</v>
      </c>
      <c r="D24" s="5" t="n">
        <v>3972</v>
      </c>
      <c r="E24" s="5" t="n">
        <v>4099</v>
      </c>
      <c r="F24" s="5" t="n">
        <v>4361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23365</v>
      </c>
      <c r="D28" s="5" t="n">
        <v>25427</v>
      </c>
      <c r="E28" s="5" t="n">
        <v>25312</v>
      </c>
      <c r="F28" s="5" t="n">
        <v>24365</v>
      </c>
    </row>
    <row r="29">
      <c r="A29" s="4" t="inlineStr">
        <is>
          <t>Current Assets</t>
        </is>
      </c>
      <c r="C29" s="5" t="n">
        <v>69069</v>
      </c>
      <c r="D29" s="5" t="n">
        <v>78437</v>
      </c>
      <c r="E29" s="5" t="n">
        <v>85779</v>
      </c>
      <c r="F29" s="5" t="n">
        <v>90582</v>
      </c>
    </row>
    <row r="30">
      <c r="A30" s="4" t="inlineStr">
        <is>
          <t>Net PP&amp;E</t>
        </is>
      </c>
      <c r="C30" s="5" t="n">
        <v>10128</v>
      </c>
      <c r="D30" s="5" t="n">
        <v>11450</v>
      </c>
      <c r="E30" s="5" t="n">
        <v>10553</v>
      </c>
      <c r="F30" s="5" t="n">
        <v>10762</v>
      </c>
    </row>
    <row r="31">
      <c r="A31" s="4" t="inlineStr">
        <is>
          <t>Goodwill</t>
        </is>
      </c>
      <c r="C31" s="5" t="n">
        <v>93352</v>
      </c>
      <c r="D31" s="5" t="n">
        <v>103732</v>
      </c>
      <c r="E31" s="5" t="n">
        <v>106734</v>
      </c>
      <c r="F31" s="5" t="n">
        <v>110499</v>
      </c>
    </row>
    <row r="32">
      <c r="A32" s="2" t="inlineStr">
        <is>
          <t>Total Assets</t>
        </is>
      </c>
      <c r="C32" s="5" t="n">
        <v>245705</v>
      </c>
      <c r="D32" s="5" t="n">
        <v>273720</v>
      </c>
      <c r="E32" s="5" t="n">
        <v>298278</v>
      </c>
      <c r="F32" s="5" t="n">
        <v>309581</v>
      </c>
    </row>
    <row r="34">
      <c r="A34" s="4" t="inlineStr">
        <is>
          <t>Current Liabilities</t>
        </is>
      </c>
      <c r="C34" s="5" t="n">
        <v>89237</v>
      </c>
      <c r="D34" s="5" t="n">
        <v>99054</v>
      </c>
      <c r="E34" s="5" t="n">
        <v>103769</v>
      </c>
      <c r="F34" s="5" t="n">
        <v>114897</v>
      </c>
    </row>
    <row r="35">
      <c r="A35" s="4" t="inlineStr">
        <is>
          <t>Total Debt</t>
        </is>
      </c>
      <c r="C35" s="5" t="n">
        <v>57623</v>
      </c>
      <c r="D35" s="5" t="n">
        <v>62537</v>
      </c>
      <c r="E35" s="5" t="n">
        <v>76904</v>
      </c>
      <c r="F35" s="5" t="n">
        <v>78389</v>
      </c>
    </row>
    <row r="36">
      <c r="A36" s="2" t="inlineStr">
        <is>
          <t>Total Liabilities</t>
        </is>
      </c>
      <c r="C36" s="5" t="n">
        <v>159358</v>
      </c>
      <c r="D36" s="5" t="n">
        <v>174801</v>
      </c>
      <c r="E36" s="5" t="n">
        <v>195687</v>
      </c>
      <c r="F36" s="5" t="n">
        <v>207883</v>
      </c>
    </row>
    <row r="38">
      <c r="A38" s="2" t="inlineStr">
        <is>
          <t>Total Equity</t>
        </is>
      </c>
      <c r="C38" s="5" t="n">
        <v>86347</v>
      </c>
      <c r="D38" s="5" t="n">
        <v>98919</v>
      </c>
      <c r="E38" s="5" t="n">
        <v>102591</v>
      </c>
      <c r="F38" s="5" t="n">
        <v>101698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26206</v>
      </c>
      <c r="D42" s="5" t="n">
        <v>29068</v>
      </c>
      <c r="E42" s="5" t="n">
        <v>24204</v>
      </c>
      <c r="F42" s="5" t="n">
        <v>19697</v>
      </c>
    </row>
    <row r="43">
      <c r="A43" s="4" t="inlineStr">
        <is>
          <t>Capital Expenditure</t>
        </is>
      </c>
      <c r="C43" s="5" t="n">
        <v>-2802</v>
      </c>
      <c r="D43" s="5" t="n">
        <v>-3386</v>
      </c>
      <c r="E43" s="5" t="n">
        <v>-3499</v>
      </c>
      <c r="F43" s="5" t="n">
        <v>-3622</v>
      </c>
    </row>
    <row r="44">
      <c r="A44" s="2" t="inlineStr">
        <is>
          <t>Free Cash Flow</t>
        </is>
      </c>
      <c r="C44" s="5" t="n">
        <v>23404</v>
      </c>
      <c r="D44" s="5" t="n">
        <v>25682</v>
      </c>
      <c r="E44" s="5" t="n">
        <v>20705</v>
      </c>
      <c r="F44" s="5" t="n">
        <v>16075</v>
      </c>
    </row>
    <row r="46">
      <c r="A46" s="4" t="inlineStr">
        <is>
          <t>D&amp;A</t>
        </is>
      </c>
      <c r="C46" s="5" t="n">
        <v>3400</v>
      </c>
      <c r="D46" s="5" t="n">
        <v>3972</v>
      </c>
      <c r="E46" s="5" t="n">
        <v>4099</v>
      </c>
      <c r="F46" s="5" t="n">
        <v>4361</v>
      </c>
    </row>
    <row r="47">
      <c r="A47" s="4" t="inlineStr">
        <is>
          <t>Stock-Based Compensation</t>
        </is>
      </c>
      <c r="C47" s="5" t="n">
        <v>925</v>
      </c>
      <c r="D47" s="5" t="n">
        <v>1059</v>
      </c>
      <c r="E47" s="5" t="n">
        <v>1018</v>
      </c>
      <c r="F47" s="5" t="n">
        <v>971</v>
      </c>
    </row>
    <row r="48">
      <c r="A48" s="4" t="inlineStr">
        <is>
          <t>Change in Working Capital</t>
        </is>
      </c>
      <c r="C48" s="5" t="n">
        <v>2246</v>
      </c>
      <c r="D48" s="5" t="n">
        <v>1643</v>
      </c>
      <c r="E48" s="5" t="n">
        <v>-808</v>
      </c>
      <c r="F48" s="5" t="n">
        <v>2282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UnitedHealth Group Incorporated (UNH)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Healthcare Plans</t>
        </is>
      </c>
      <c r="C8" s="5" t="n">
        <v>324162</v>
      </c>
      <c r="D8" s="5" t="n">
        <v>371622</v>
      </c>
      <c r="E8" s="5" t="n">
        <v>400278</v>
      </c>
      <c r="F8" s="5" t="n">
        <v>447567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244545</v>
      </c>
      <c r="D16" s="5" t="n">
        <v>280664</v>
      </c>
      <c r="E16" s="5" t="n">
        <v>310879</v>
      </c>
      <c r="F16" s="5" t="n">
        <v>364650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3400</v>
      </c>
      <c r="D22" s="5" t="n">
        <v>3972</v>
      </c>
      <c r="E22" s="5" t="n">
        <v>4099</v>
      </c>
      <c r="F22" s="5" t="n">
        <v>4361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2092</v>
      </c>
      <c r="D29" s="5" t="n">
        <v>3246</v>
      </c>
      <c r="E29" s="5" t="n">
        <v>3906</v>
      </c>
      <c r="F29" s="5" t="n">
        <v>4002</v>
      </c>
      <c r="G29" s="5" t="n">
        <v>4002</v>
      </c>
      <c r="H29" s="5" t="n">
        <v>4002</v>
      </c>
      <c r="I29" s="5" t="n">
        <v>4002</v>
      </c>
      <c r="J29" s="5" t="n">
        <v>4002</v>
      </c>
      <c r="K29" s="5" t="n">
        <v>4002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5704</v>
      </c>
      <c r="D31" s="5" t="n">
        <v>5968</v>
      </c>
      <c r="E31" s="5" t="n">
        <v>4829</v>
      </c>
      <c r="F31" s="5" t="n">
        <v>1890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2246</v>
      </c>
      <c r="D39" s="5" t="n">
        <v>1643</v>
      </c>
      <c r="E39" s="5" t="n">
        <v>-808</v>
      </c>
      <c r="F39" s="5" t="n">
        <v>2282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-2802</v>
      </c>
      <c r="D42" s="5" t="n">
        <v>-3386</v>
      </c>
      <c r="E42" s="5" t="n">
        <v>-3499</v>
      </c>
      <c r="F42" s="5" t="n">
        <v>-3622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UnitedHealth Group Incorporated (UNH)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376.86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-54024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908.144404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C33/376.86-1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0.06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0.06999999999999999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0.08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0.09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0.09999999999999999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0.11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0.12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2026-05-26T20:45:57Z</dcterms:created>
  <dcterms:modified xmlns:dcterms="http://purl.org/dc/terms/" xmlns:xsi="http://www.w3.org/2001/XMLSchema-instance" xsi:type="dcterms:W3CDTF">2026-05-26T20:45:57Z</dcterms:modified>
</cp:coreProperties>
</file>