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TOYA S.A. (TOA.WA)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Tools &amp; Accessories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762.59</v>
      </c>
      <c r="D7" s="5" t="n">
        <v>732.396</v>
      </c>
      <c r="E7" s="5" t="n">
        <v>821.008</v>
      </c>
      <c r="F7" s="5" t="n">
        <v>907.705</v>
      </c>
    </row>
    <row r="8">
      <c r="A8" s="4" t="inlineStr">
        <is>
          <t xml:space="preserve">  Revenue Growth - Base</t>
        </is>
      </c>
      <c r="G8" s="6" t="n">
        <v>0.04</v>
      </c>
      <c r="H8" s="6" t="n">
        <v>0.05</v>
      </c>
      <c r="I8" s="6" t="n">
        <v>0.05</v>
      </c>
      <c r="J8" s="6" t="n">
        <v>0.045</v>
      </c>
      <c r="K8" s="6" t="n">
        <v>0.04</v>
      </c>
    </row>
    <row r="9">
      <c r="A9" s="4" t="inlineStr">
        <is>
          <t xml:space="preserve">  Revenue Growth - Bull</t>
        </is>
      </c>
      <c r="G9" s="6" t="n">
        <v>0.08</v>
      </c>
      <c r="H9" s="6" t="n">
        <v>0.07000000000000001</v>
      </c>
      <c r="I9" s="6" t="n">
        <v>0.06</v>
      </c>
      <c r="J9" s="6" t="n">
        <v>0.055</v>
      </c>
      <c r="K9" s="6" t="n">
        <v>0.05</v>
      </c>
    </row>
    <row r="10">
      <c r="A10" s="4" t="inlineStr">
        <is>
          <t xml:space="preserve">  Revenue Growth - Bear</t>
        </is>
      </c>
      <c r="G10" s="6" t="n">
        <v>-0.05</v>
      </c>
      <c r="H10" s="6" t="n">
        <v>-0.04</v>
      </c>
      <c r="I10" s="6" t="n">
        <v>-0.02</v>
      </c>
      <c r="J10" s="6" t="n">
        <v>0.01</v>
      </c>
      <c r="K10" s="6" t="n">
        <v>0.02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0.335</v>
      </c>
      <c r="H15" s="6" t="n">
        <v>0.335</v>
      </c>
      <c r="I15" s="6" t="n">
        <v>0.335</v>
      </c>
      <c r="J15" s="6" t="n">
        <v>0.335</v>
      </c>
      <c r="K15" s="6" t="n">
        <v>0.335</v>
      </c>
    </row>
    <row r="16">
      <c r="A16" s="4" t="inlineStr">
        <is>
          <t>Gross Margin - Bull</t>
        </is>
      </c>
      <c r="G16" s="6" t="n">
        <v>0.342</v>
      </c>
      <c r="H16" s="6" t="n">
        <v>0.342</v>
      </c>
      <c r="I16" s="6" t="n">
        <v>0.342</v>
      </c>
      <c r="J16" s="6" t="n">
        <v>0.342</v>
      </c>
      <c r="K16" s="6" t="n">
        <v>0.342</v>
      </c>
    </row>
    <row r="17">
      <c r="A17" s="4" t="inlineStr">
        <is>
          <t>Gross Margin - Bear</t>
        </is>
      </c>
      <c r="G17" s="6" t="n">
        <v>0.325</v>
      </c>
      <c r="H17" s="6" t="n">
        <v>0.325</v>
      </c>
      <c r="I17" s="6" t="n">
        <v>0.325</v>
      </c>
      <c r="J17" s="6" t="n">
        <v>0.325</v>
      </c>
      <c r="K17" s="6" t="n">
        <v>0.325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0.22</v>
      </c>
      <c r="H20" s="6" t="n">
        <v>0.22</v>
      </c>
      <c r="I20" s="6" t="n">
        <v>0.22</v>
      </c>
      <c r="J20" s="6" t="n">
        <v>0.22</v>
      </c>
      <c r="K20" s="6" t="n">
        <v>0.22</v>
      </c>
    </row>
    <row r="21">
      <c r="A21" s="4" t="inlineStr">
        <is>
          <t>SG&amp;A % Revenue - Bull</t>
        </is>
      </c>
      <c r="G21" s="6" t="n">
        <v>0.205</v>
      </c>
      <c r="H21" s="6" t="n">
        <v>0.205</v>
      </c>
      <c r="I21" s="6" t="n">
        <v>0.205</v>
      </c>
      <c r="J21" s="6" t="n">
        <v>0.205</v>
      </c>
      <c r="K21" s="6" t="n">
        <v>0.205</v>
      </c>
    </row>
    <row r="22">
      <c r="A22" s="4" t="inlineStr">
        <is>
          <t>SG&amp;A % Revenue - Bear</t>
        </is>
      </c>
      <c r="G22" s="6" t="n">
        <v>0.235</v>
      </c>
      <c r="H22" s="6" t="n">
        <v>0.235</v>
      </c>
      <c r="I22" s="6" t="n">
        <v>0.235</v>
      </c>
      <c r="J22" s="6" t="n">
        <v>0.235</v>
      </c>
      <c r="K22" s="6" t="n">
        <v>0.235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0.022</v>
      </c>
      <c r="H30" s="6" t="n">
        <v>0.022</v>
      </c>
      <c r="I30" s="6" t="n">
        <v>0.022</v>
      </c>
      <c r="J30" s="6" t="n">
        <v>0.022</v>
      </c>
      <c r="K30" s="6" t="n">
        <v>0.022</v>
      </c>
    </row>
    <row r="31">
      <c r="A31" s="4" t="inlineStr">
        <is>
          <t>CapEx % Revenue</t>
        </is>
      </c>
      <c r="G31" s="6" t="n">
        <v>0.018</v>
      </c>
      <c r="H31" s="6" t="n">
        <v>0.018</v>
      </c>
      <c r="I31" s="6" t="n">
        <v>0.018</v>
      </c>
      <c r="J31" s="6" t="n">
        <v>0.018</v>
      </c>
      <c r="K31" s="6" t="n">
        <v>0.018</v>
      </c>
    </row>
    <row r="32">
      <c r="A32" s="4" t="inlineStr">
        <is>
          <t>Tax Rate</t>
        </is>
      </c>
      <c r="G32" s="6" t="n">
        <v>0.2</v>
      </c>
      <c r="H32" s="6" t="n">
        <v>0.2</v>
      </c>
      <c r="I32" s="6" t="n">
        <v>0.2</v>
      </c>
      <c r="J32" s="6" t="n">
        <v>0.2</v>
      </c>
      <c r="K32" s="6" t="n">
        <v>0.2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0.125</v>
      </c>
    </row>
    <row r="36">
      <c r="A36" s="4" t="inlineStr">
        <is>
          <t>WACC - Bull</t>
        </is>
      </c>
      <c r="C36" s="6" t="n">
        <v>0.115</v>
      </c>
    </row>
    <row r="37">
      <c r="A37" s="4" t="inlineStr">
        <is>
          <t>WACC - Bear</t>
        </is>
      </c>
      <c r="C37" s="6" t="n">
        <v>0.135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6</v>
      </c>
    </row>
    <row r="41">
      <c r="A41" s="4" t="inlineStr">
        <is>
          <t>Terminal Value Multiple - Bull</t>
        </is>
      </c>
      <c r="C41" s="9" t="n">
        <v>7.5</v>
      </c>
    </row>
    <row r="42">
      <c r="A42" s="4" t="inlineStr">
        <is>
          <t>Terminal Value Multiple - Bear</t>
        </is>
      </c>
      <c r="C42" s="9" t="n">
        <v>3.75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TOYA S.A. (TOA.WA)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762.59</v>
      </c>
      <c r="D6" s="5" t="n">
        <v>732.396</v>
      </c>
      <c r="E6" s="5" t="n">
        <v>821.008</v>
      </c>
      <c r="F6" s="5" t="n">
        <v>907.705</v>
      </c>
    </row>
    <row r="7">
      <c r="A7" s="4" t="inlineStr">
        <is>
          <t>Cost of Revenue</t>
        </is>
      </c>
      <c r="C7" s="5" t="n">
        <v>519.925</v>
      </c>
      <c r="D7" s="5" t="n">
        <v>488.345</v>
      </c>
      <c r="E7" s="5" t="n">
        <v>542.626</v>
      </c>
      <c r="F7" s="5" t="n">
        <v>599.1849999999999</v>
      </c>
    </row>
    <row r="8">
      <c r="A8" s="2" t="inlineStr">
        <is>
          <t>Gross Profit</t>
        </is>
      </c>
      <c r="C8" s="5" t="n">
        <v>242.665</v>
      </c>
      <c r="D8" s="5" t="n">
        <v>244.051</v>
      </c>
      <c r="E8" s="5" t="n">
        <v>278.382</v>
      </c>
      <c r="F8" s="5" t="n">
        <v>308.52</v>
      </c>
    </row>
    <row r="9">
      <c r="A9" s="4" t="inlineStr">
        <is>
          <t xml:space="preserve">  Gross Margin</t>
        </is>
      </c>
      <c r="C9" s="11" t="n">
        <v>0.318211620923432</v>
      </c>
      <c r="D9" s="11" t="n">
        <v>0.3332227374262011</v>
      </c>
      <c r="E9" s="11" t="n">
        <v>0.3390734316839787</v>
      </c>
      <c r="F9" s="11" t="n">
        <v>0.3398901625528117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149.46</v>
      </c>
      <c r="D12" s="5" t="n">
        <v>65.001</v>
      </c>
      <c r="E12" s="5" t="n">
        <v>85</v>
      </c>
      <c r="F12" s="5" t="n">
        <v>82.05200000000001</v>
      </c>
    </row>
    <row r="13">
      <c r="A13" s="2" t="inlineStr">
        <is>
          <t>Operating Income (EBIT)</t>
        </is>
      </c>
      <c r="C13" s="5" t="n">
        <v>94.113</v>
      </c>
      <c r="D13" s="5" t="n">
        <v>85.78400000000001</v>
      </c>
      <c r="E13" s="5" t="n">
        <v>82.556</v>
      </c>
      <c r="F13" s="5" t="n">
        <v>104.192</v>
      </c>
    </row>
    <row r="14">
      <c r="A14" s="4" t="inlineStr">
        <is>
          <t xml:space="preserve">  EBIT Margin</t>
        </is>
      </c>
      <c r="C14" s="11" t="n">
        <v>0.1234123185460077</v>
      </c>
      <c r="D14" s="11" t="n">
        <v>0.1171278925608551</v>
      </c>
      <c r="E14" s="11" t="n">
        <v>0.1005544403952215</v>
      </c>
      <c r="F14" s="11" t="n">
        <v>0.1147861915490165</v>
      </c>
    </row>
    <row r="16">
      <c r="A16" s="4" t="inlineStr">
        <is>
          <t>Interest Expense</t>
        </is>
      </c>
      <c r="C16" s="5" t="n">
        <v>9.574</v>
      </c>
      <c r="D16" s="5" t="n">
        <v>4.296</v>
      </c>
      <c r="E16" s="5" t="n">
        <v>2.577</v>
      </c>
      <c r="F16" s="5" t="n">
        <v>2.239</v>
      </c>
    </row>
    <row r="17">
      <c r="A17" s="4" t="inlineStr">
        <is>
          <t>Tax Provision</t>
        </is>
      </c>
      <c r="C17" s="5" t="n">
        <v>18.129</v>
      </c>
      <c r="D17" s="5" t="n">
        <v>16.694</v>
      </c>
      <c r="E17" s="5" t="n">
        <v>17.465</v>
      </c>
      <c r="F17" s="5" t="n">
        <v>21.909</v>
      </c>
    </row>
    <row r="18">
      <c r="A18" s="2" t="inlineStr">
        <is>
          <t>Net Income</t>
        </is>
      </c>
      <c r="C18" s="5" t="n">
        <v>70.22</v>
      </c>
      <c r="D18" s="5" t="n">
        <v>68.318</v>
      </c>
      <c r="E18" s="5" t="n">
        <v>68.41800000000001</v>
      </c>
      <c r="F18" s="5" t="n">
        <v>87.196</v>
      </c>
    </row>
    <row r="19">
      <c r="A19" s="4" t="inlineStr">
        <is>
          <t xml:space="preserve">  Net Margin</t>
        </is>
      </c>
      <c r="C19" s="11" t="n">
        <v>0.09208093470934578</v>
      </c>
      <c r="D19" s="11" t="n">
        <v>0.09328013806738431</v>
      </c>
      <c r="E19" s="11" t="n">
        <v>0.08333414534328533</v>
      </c>
      <c r="F19" s="11" t="n">
        <v>0.0960620465900265</v>
      </c>
    </row>
    <row r="21">
      <c r="A21" s="2" t="inlineStr">
        <is>
          <t>EBITDA</t>
        </is>
      </c>
      <c r="C21" s="5" t="n">
        <v>113.064</v>
      </c>
      <c r="D21" s="5" t="n">
        <v>105.663</v>
      </c>
      <c r="E21" s="5" t="n">
        <v>107.892</v>
      </c>
      <c r="F21" s="5" t="n">
        <v>131.481</v>
      </c>
    </row>
    <row r="22">
      <c r="A22" s="4" t="inlineStr">
        <is>
          <t xml:space="preserve">  EBITDA Margin</t>
        </is>
      </c>
      <c r="C22" s="11" t="n">
        <v>0.1482631558242306</v>
      </c>
      <c r="D22" s="11" t="n">
        <v>0.14427031278161</v>
      </c>
      <c r="E22" s="11" t="n">
        <v>0.1314140666108004</v>
      </c>
      <c r="F22" s="11" t="n">
        <v>0.1448499237086939</v>
      </c>
    </row>
    <row r="23">
      <c r="A23" s="4" t="inlineStr">
        <is>
          <t>Diluted EPS</t>
        </is>
      </c>
      <c r="C23" s="12" t="n">
        <v>0.9399999999999999</v>
      </c>
      <c r="D23" s="12" t="n">
        <v>0.91</v>
      </c>
      <c r="E23" s="12" t="n">
        <v>0.91</v>
      </c>
      <c r="F23" s="12" t="n">
        <v>1.16</v>
      </c>
    </row>
    <row r="24">
      <c r="A24" s="4" t="inlineStr">
        <is>
          <t>D&amp;A</t>
        </is>
      </c>
      <c r="C24" s="5" t="n">
        <v>15.141</v>
      </c>
      <c r="D24" s="5" t="n">
        <v>16.355</v>
      </c>
      <c r="E24" s="5" t="n">
        <v>19.432</v>
      </c>
      <c r="F24" s="5" t="n">
        <v>20.137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38.836</v>
      </c>
      <c r="D28" s="5" t="n">
        <v>69.92700000000001</v>
      </c>
      <c r="E28" s="5" t="n">
        <v>39.128</v>
      </c>
      <c r="F28" s="5" t="n">
        <v>63.406</v>
      </c>
    </row>
    <row r="29">
      <c r="A29" s="4" t="inlineStr">
        <is>
          <t>Current Assets</t>
        </is>
      </c>
      <c r="C29" s="5" t="n">
        <v>486.208</v>
      </c>
      <c r="D29" s="5" t="n">
        <v>445.482</v>
      </c>
      <c r="E29" s="5" t="n">
        <v>673.9</v>
      </c>
      <c r="F29" s="5" t="n">
        <v>650.299</v>
      </c>
    </row>
    <row r="30">
      <c r="A30" s="4" t="inlineStr">
        <is>
          <t>Net PP&amp;E</t>
        </is>
      </c>
      <c r="C30" s="5" t="n">
        <v>94.39700000000001</v>
      </c>
      <c r="D30" s="5" t="n">
        <v>98.274</v>
      </c>
      <c r="E30" s="5" t="n">
        <v>102.616</v>
      </c>
      <c r="F30" s="5" t="n">
        <v>87.72499999999999</v>
      </c>
    </row>
    <row r="31">
      <c r="A31" s="4" t="inlineStr">
        <is>
          <t>Goodwill</t>
        </is>
      </c>
      <c r="C31" s="5" t="n">
        <v>0.83</v>
      </c>
      <c r="D31" s="5" t="n">
        <v>0.723</v>
      </c>
      <c r="E31" s="5" t="n">
        <v>0.735</v>
      </c>
      <c r="F31" s="5" t="n">
        <v>0.674</v>
      </c>
    </row>
    <row r="32">
      <c r="A32" s="2" t="inlineStr">
        <is>
          <t>Total Assets</t>
        </is>
      </c>
      <c r="C32" s="5" t="n">
        <v>590.798</v>
      </c>
      <c r="D32" s="5" t="n">
        <v>553.428</v>
      </c>
      <c r="E32" s="5" t="n">
        <v>787.155</v>
      </c>
      <c r="F32" s="5" t="n">
        <v>748.2569999999999</v>
      </c>
    </row>
    <row r="34">
      <c r="A34" s="4" t="inlineStr">
        <is>
          <t>Current Liabilities</t>
        </is>
      </c>
      <c r="C34" s="5" t="n">
        <v>184.574</v>
      </c>
      <c r="D34" s="5" t="n">
        <v>106.883</v>
      </c>
      <c r="E34" s="5" t="n">
        <v>276.442</v>
      </c>
      <c r="F34" s="5" t="n">
        <v>178.663</v>
      </c>
    </row>
    <row r="35">
      <c r="A35" s="4" t="inlineStr">
        <is>
          <t>Total Debt</t>
        </is>
      </c>
      <c r="C35" s="5" t="n">
        <v>108.101</v>
      </c>
      <c r="D35" s="5" t="n">
        <v>31.937</v>
      </c>
      <c r="E35" s="5" t="n">
        <v>63.751</v>
      </c>
      <c r="F35" s="5" t="n">
        <v>37.815</v>
      </c>
    </row>
    <row r="36">
      <c r="A36" s="2" t="inlineStr">
        <is>
          <t>Total Liabilities</t>
        </is>
      </c>
      <c r="C36" s="5" t="n">
        <v>220.104</v>
      </c>
      <c r="D36" s="5" t="n">
        <v>133.477</v>
      </c>
      <c r="E36" s="5" t="n">
        <v>297.264</v>
      </c>
      <c r="F36" s="5" t="n">
        <v>191.964</v>
      </c>
    </row>
    <row r="38">
      <c r="A38" s="2" t="inlineStr">
        <is>
          <t>Total Equity</t>
        </is>
      </c>
      <c r="C38" s="5" t="n">
        <v>370.694</v>
      </c>
      <c r="D38" s="5" t="n">
        <v>419.951</v>
      </c>
      <c r="E38" s="5" t="n">
        <v>489.891</v>
      </c>
      <c r="F38" s="5" t="n">
        <v>556.293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55.508</v>
      </c>
      <c r="D42" s="5" t="n">
        <v>140.345</v>
      </c>
      <c r="E42" s="5" t="n">
        <v>-40.084</v>
      </c>
      <c r="F42" s="5" t="n">
        <v>67.80200000000001</v>
      </c>
    </row>
    <row r="43">
      <c r="A43" s="4" t="inlineStr">
        <is>
          <t>Capital Expenditure</t>
        </is>
      </c>
      <c r="C43" s="5" t="n">
        <v>-21.736</v>
      </c>
      <c r="D43" s="5" t="n">
        <v>-11.086</v>
      </c>
      <c r="E43" s="5" t="n">
        <v>-17.659</v>
      </c>
      <c r="F43" s="5" t="n">
        <v>-6.844</v>
      </c>
    </row>
    <row r="44">
      <c r="A44" s="2" t="inlineStr">
        <is>
          <t>Free Cash Flow</t>
        </is>
      </c>
      <c r="C44" s="5" t="n">
        <v>33.772</v>
      </c>
      <c r="D44" s="5" t="n">
        <v>129.259</v>
      </c>
      <c r="E44" s="5" t="n">
        <v>-57.743</v>
      </c>
      <c r="F44" s="5" t="n">
        <v>60.958</v>
      </c>
    </row>
    <row r="46">
      <c r="A46" s="4" t="inlineStr">
        <is>
          <t>D&amp;A</t>
        </is>
      </c>
      <c r="C46" s="5" t="n">
        <v>15.141</v>
      </c>
      <c r="D46" s="5" t="n">
        <v>16.355</v>
      </c>
      <c r="E46" s="5" t="n">
        <v>19.432</v>
      </c>
      <c r="F46" s="5" t="n">
        <v>20.137</v>
      </c>
    </row>
    <row r="47">
      <c r="A47" s="4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-33.028</v>
      </c>
      <c r="D48" s="5" t="n">
        <v>50.338</v>
      </c>
      <c r="E48" s="5" t="n">
        <v>-127.874</v>
      </c>
      <c r="F48" s="5" t="n">
        <v>-41.799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TOYA S.A. (TOA.WA)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Tools &amp; Accessories</t>
        </is>
      </c>
      <c r="C8" s="5" t="n">
        <v>762.59</v>
      </c>
      <c r="D8" s="5" t="n">
        <v>732.396</v>
      </c>
      <c r="E8" s="5" t="n">
        <v>821.008</v>
      </c>
      <c r="F8" s="5" t="n">
        <v>907.705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519.925</v>
      </c>
      <c r="D16" s="5" t="n">
        <v>488.345</v>
      </c>
      <c r="E16" s="5" t="n">
        <v>542.626</v>
      </c>
      <c r="F16" s="5" t="n">
        <v>599.1849999999999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149.46</v>
      </c>
      <c r="D20" s="5" t="n">
        <v>65.001</v>
      </c>
      <c r="E20" s="5" t="n">
        <v>85</v>
      </c>
      <c r="F20" s="5" t="n">
        <v>82.05200000000001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15.141</v>
      </c>
      <c r="D22" s="5" t="n">
        <v>16.355</v>
      </c>
      <c r="E22" s="5" t="n">
        <v>19.432</v>
      </c>
      <c r="F22" s="5" t="n">
        <v>20.137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9.574</v>
      </c>
      <c r="D29" s="5" t="n">
        <v>4.296</v>
      </c>
      <c r="E29" s="5" t="n">
        <v>2.577</v>
      </c>
      <c r="F29" s="5" t="n">
        <v>2.239</v>
      </c>
      <c r="G29" s="5" t="n">
        <v>2.239</v>
      </c>
      <c r="H29" s="5" t="n">
        <v>2.239</v>
      </c>
      <c r="I29" s="5" t="n">
        <v>2.239</v>
      </c>
      <c r="J29" s="5" t="n">
        <v>2.239</v>
      </c>
      <c r="K29" s="5" t="n">
        <v>2.239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18.129</v>
      </c>
      <c r="D31" s="5" t="n">
        <v>16.694</v>
      </c>
      <c r="E31" s="5" t="n">
        <v>17.465</v>
      </c>
      <c r="F31" s="5" t="n">
        <v>21.909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-33.028</v>
      </c>
      <c r="D39" s="5" t="n">
        <v>50.338</v>
      </c>
      <c r="E39" s="5" t="n">
        <v>-127.874</v>
      </c>
      <c r="F39" s="5" t="n">
        <v>-41.799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-21.736</v>
      </c>
      <c r="D42" s="5" t="n">
        <v>-11.086</v>
      </c>
      <c r="E42" s="5" t="n">
        <v>-17.659</v>
      </c>
      <c r="F42" s="5" t="n">
        <v>-6.844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TOYA S.A. (TOA.WA)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8.800000000000001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25.591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74.03724699999999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C33/8.8-1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2x</t>
        </is>
      </c>
      <c r="D38" s="1" t="inlineStr">
        <is>
          <t>4x</t>
        </is>
      </c>
      <c r="E38" s="1" t="inlineStr">
        <is>
          <t>6x</t>
        </is>
      </c>
      <c r="F38" s="1" t="inlineStr">
        <is>
          <t>8x</t>
        </is>
      </c>
      <c r="G38" s="1" t="inlineStr">
        <is>
          <t>10x</t>
        </is>
      </c>
    </row>
    <row r="39">
      <c r="A39" s="21" t="n">
        <v>0.095</v>
      </c>
      <c r="C39" s="22">
        <f>(G$12/(1+$A$39)^1+H$12/(1+$A$39)^2+I$12/(1+$A$39)^3+J$12/(1+$A$39)^4+K$12/(1+$A$39)^5+K$8*2.0/(1+$A$39)^5+$C$29)/$C$32</f>
        <v/>
      </c>
      <c r="D39" s="22">
        <f>(G$12/(1+$A$39)^1+H$12/(1+$A$39)^2+I$12/(1+$A$39)^3+J$12/(1+$A$39)^4+K$12/(1+$A$39)^5+K$8*4.0/(1+$A$39)^5+$C$29)/$C$32</f>
        <v/>
      </c>
      <c r="E39" s="22">
        <f>(G$12/(1+$A$39)^1+H$12/(1+$A$39)^2+I$12/(1+$A$39)^3+J$12/(1+$A$39)^4+K$12/(1+$A$39)^5+K$8*6.0/(1+$A$39)^5+$C$29)/$C$32</f>
        <v/>
      </c>
      <c r="F39" s="22">
        <f>(G$12/(1+$A$39)^1+H$12/(1+$A$39)^2+I$12/(1+$A$39)^3+J$12/(1+$A$39)^4+K$12/(1+$A$39)^5+K$8*8.0/(1+$A$39)^5+$C$29)/$C$32</f>
        <v/>
      </c>
      <c r="G39" s="22">
        <f>(G$12/(1+$A$39)^1+H$12/(1+$A$39)^2+I$12/(1+$A$39)^3+J$12/(1+$A$39)^4+K$12/(1+$A$39)^5+K$8*10.0/(1+$A$39)^5+$C$29)/$C$32</f>
        <v/>
      </c>
    </row>
    <row r="40">
      <c r="A40" s="21" t="n">
        <v>0.105</v>
      </c>
      <c r="C40" s="22">
        <f>(G$12/(1+$A$40)^1+H$12/(1+$A$40)^2+I$12/(1+$A$40)^3+J$12/(1+$A$40)^4+K$12/(1+$A$40)^5+K$8*2.0/(1+$A$40)^5+$C$29)/$C$32</f>
        <v/>
      </c>
      <c r="D40" s="22">
        <f>(G$12/(1+$A$40)^1+H$12/(1+$A$40)^2+I$12/(1+$A$40)^3+J$12/(1+$A$40)^4+K$12/(1+$A$40)^5+K$8*4.0/(1+$A$40)^5+$C$29)/$C$32</f>
        <v/>
      </c>
      <c r="E40" s="22">
        <f>(G$12/(1+$A$40)^1+H$12/(1+$A$40)^2+I$12/(1+$A$40)^3+J$12/(1+$A$40)^4+K$12/(1+$A$40)^5+K$8*6.0/(1+$A$40)^5+$C$29)/$C$32</f>
        <v/>
      </c>
      <c r="F40" s="22">
        <f>(G$12/(1+$A$40)^1+H$12/(1+$A$40)^2+I$12/(1+$A$40)^3+J$12/(1+$A$40)^4+K$12/(1+$A$40)^5+K$8*8.0/(1+$A$40)^5+$C$29)/$C$32</f>
        <v/>
      </c>
      <c r="G40" s="22">
        <f>(G$12/(1+$A$40)^1+H$12/(1+$A$40)^2+I$12/(1+$A$40)^3+J$12/(1+$A$40)^4+K$12/(1+$A$40)^5+K$8*10.0/(1+$A$40)^5+$C$29)/$C$32</f>
        <v/>
      </c>
    </row>
    <row r="41">
      <c r="A41" s="21" t="n">
        <v>0.115</v>
      </c>
      <c r="C41" s="22">
        <f>(G$12/(1+$A$41)^1+H$12/(1+$A$41)^2+I$12/(1+$A$41)^3+J$12/(1+$A$41)^4+K$12/(1+$A$41)^5+K$8*2.0/(1+$A$41)^5+$C$29)/$C$32</f>
        <v/>
      </c>
      <c r="D41" s="22">
        <f>(G$12/(1+$A$41)^1+H$12/(1+$A$41)^2+I$12/(1+$A$41)^3+J$12/(1+$A$41)^4+K$12/(1+$A$41)^5+K$8*4.0/(1+$A$41)^5+$C$29)/$C$32</f>
        <v/>
      </c>
      <c r="E41" s="22">
        <f>(G$12/(1+$A$41)^1+H$12/(1+$A$41)^2+I$12/(1+$A$41)^3+J$12/(1+$A$41)^4+K$12/(1+$A$41)^5+K$8*6.0/(1+$A$41)^5+$C$29)/$C$32</f>
        <v/>
      </c>
      <c r="F41" s="22">
        <f>(G$12/(1+$A$41)^1+H$12/(1+$A$41)^2+I$12/(1+$A$41)^3+J$12/(1+$A$41)^4+K$12/(1+$A$41)^5+K$8*8.0/(1+$A$41)^5+$C$29)/$C$32</f>
        <v/>
      </c>
      <c r="G41" s="22">
        <f>(G$12/(1+$A$41)^1+H$12/(1+$A$41)^2+I$12/(1+$A$41)^3+J$12/(1+$A$41)^4+K$12/(1+$A$41)^5+K$8*10.0/(1+$A$41)^5+$C$29)/$C$32</f>
        <v/>
      </c>
    </row>
    <row r="42">
      <c r="A42" s="21" t="n">
        <v>0.125</v>
      </c>
      <c r="C42" s="22">
        <f>(G$12/(1+$A$42)^1+H$12/(1+$A$42)^2+I$12/(1+$A$42)^3+J$12/(1+$A$42)^4+K$12/(1+$A$42)^5+K$8*2.0/(1+$A$42)^5+$C$29)/$C$32</f>
        <v/>
      </c>
      <c r="D42" s="22">
        <f>(G$12/(1+$A$42)^1+H$12/(1+$A$42)^2+I$12/(1+$A$42)^3+J$12/(1+$A$42)^4+K$12/(1+$A$42)^5+K$8*4.0/(1+$A$42)^5+$C$29)/$C$32</f>
        <v/>
      </c>
      <c r="E42" s="23">
        <f>(G$12/(1+$A$42)^1+H$12/(1+$A$42)^2+I$12/(1+$A$42)^3+J$12/(1+$A$42)^4+K$12/(1+$A$42)^5+K$8*6.0/(1+$A$42)^5+$C$29)/$C$32</f>
        <v/>
      </c>
      <c r="F42" s="22">
        <f>(G$12/(1+$A$42)^1+H$12/(1+$A$42)^2+I$12/(1+$A$42)^3+J$12/(1+$A$42)^4+K$12/(1+$A$42)^5+K$8*8.0/(1+$A$42)^5+$C$29)/$C$32</f>
        <v/>
      </c>
      <c r="G42" s="22">
        <f>(G$12/(1+$A$42)^1+H$12/(1+$A$42)^2+I$12/(1+$A$42)^3+J$12/(1+$A$42)^4+K$12/(1+$A$42)^5+K$8*10.0/(1+$A$42)^5+$C$29)/$C$32</f>
        <v/>
      </c>
    </row>
    <row r="43">
      <c r="A43" s="21" t="n">
        <v>0.135</v>
      </c>
      <c r="C43" s="22">
        <f>(G$12/(1+$A$43)^1+H$12/(1+$A$43)^2+I$12/(1+$A$43)^3+J$12/(1+$A$43)^4+K$12/(1+$A$43)^5+K$8*2.0/(1+$A$43)^5+$C$29)/$C$32</f>
        <v/>
      </c>
      <c r="D43" s="22">
        <f>(G$12/(1+$A$43)^1+H$12/(1+$A$43)^2+I$12/(1+$A$43)^3+J$12/(1+$A$43)^4+K$12/(1+$A$43)^5+K$8*4.0/(1+$A$43)^5+$C$29)/$C$32</f>
        <v/>
      </c>
      <c r="E43" s="22">
        <f>(G$12/(1+$A$43)^1+H$12/(1+$A$43)^2+I$12/(1+$A$43)^3+J$12/(1+$A$43)^4+K$12/(1+$A$43)^5+K$8*6.0/(1+$A$43)^5+$C$29)/$C$32</f>
        <v/>
      </c>
      <c r="F43" s="22">
        <f>(G$12/(1+$A$43)^1+H$12/(1+$A$43)^2+I$12/(1+$A$43)^3+J$12/(1+$A$43)^4+K$12/(1+$A$43)^5+K$8*8.0/(1+$A$43)^5+$C$29)/$C$32</f>
        <v/>
      </c>
      <c r="G43" s="22">
        <f>(G$12/(1+$A$43)^1+H$12/(1+$A$43)^2+I$12/(1+$A$43)^3+J$12/(1+$A$43)^4+K$12/(1+$A$43)^5+K$8*10.0/(1+$A$43)^5+$C$29)/$C$32</f>
        <v/>
      </c>
    </row>
    <row r="44">
      <c r="A44" s="21" t="n">
        <v>0.145</v>
      </c>
      <c r="C44" s="22">
        <f>(G$12/(1+$A$44)^1+H$12/(1+$A$44)^2+I$12/(1+$A$44)^3+J$12/(1+$A$44)^4+K$12/(1+$A$44)^5+K$8*2.0/(1+$A$44)^5+$C$29)/$C$32</f>
        <v/>
      </c>
      <c r="D44" s="22">
        <f>(G$12/(1+$A$44)^1+H$12/(1+$A$44)^2+I$12/(1+$A$44)^3+J$12/(1+$A$44)^4+K$12/(1+$A$44)^5+K$8*4.0/(1+$A$44)^5+$C$29)/$C$32</f>
        <v/>
      </c>
      <c r="E44" s="22">
        <f>(G$12/(1+$A$44)^1+H$12/(1+$A$44)^2+I$12/(1+$A$44)^3+J$12/(1+$A$44)^4+K$12/(1+$A$44)^5+K$8*6.0/(1+$A$44)^5+$C$29)/$C$32</f>
        <v/>
      </c>
      <c r="F44" s="22">
        <f>(G$12/(1+$A$44)^1+H$12/(1+$A$44)^2+I$12/(1+$A$44)^3+J$12/(1+$A$44)^4+K$12/(1+$A$44)^5+K$8*8.0/(1+$A$44)^5+$C$29)/$C$32</f>
        <v/>
      </c>
      <c r="G44" s="22">
        <f>(G$12/(1+$A$44)^1+H$12/(1+$A$44)^2+I$12/(1+$A$44)^3+J$12/(1+$A$44)^4+K$12/(1+$A$44)^5+K$8*10.0/(1+$A$44)^5+$C$29)/$C$32</f>
        <v/>
      </c>
    </row>
    <row r="45">
      <c r="A45" s="21" t="n">
        <v>0.155</v>
      </c>
      <c r="C45" s="22">
        <f>(G$12/(1+$A$45)^1+H$12/(1+$A$45)^2+I$12/(1+$A$45)^3+J$12/(1+$A$45)^4+K$12/(1+$A$45)^5+K$8*2.0/(1+$A$45)^5+$C$29)/$C$32</f>
        <v/>
      </c>
      <c r="D45" s="22">
        <f>(G$12/(1+$A$45)^1+H$12/(1+$A$45)^2+I$12/(1+$A$45)^3+J$12/(1+$A$45)^4+K$12/(1+$A$45)^5+K$8*4.0/(1+$A$45)^5+$C$29)/$C$32</f>
        <v/>
      </c>
      <c r="E45" s="22">
        <f>(G$12/(1+$A$45)^1+H$12/(1+$A$45)^2+I$12/(1+$A$45)^3+J$12/(1+$A$45)^4+K$12/(1+$A$45)^5+K$8*6.0/(1+$A$45)^5+$C$29)/$C$32</f>
        <v/>
      </c>
      <c r="F45" s="22">
        <f>(G$12/(1+$A$45)^1+H$12/(1+$A$45)^2+I$12/(1+$A$45)^3+J$12/(1+$A$45)^4+K$12/(1+$A$45)^5+K$8*8.0/(1+$A$45)^5+$C$29)/$C$32</f>
        <v/>
      </c>
      <c r="G45" s="22">
        <f>(G$12/(1+$A$45)^1+H$12/(1+$A$45)^2+I$12/(1+$A$45)^3+J$12/(1+$A$45)^4+K$12/(1+$A$45)^5+K$8*10.0/(1+$A$45)^5+$C$29)/$C$32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2026-05-18T21:26:26Z</dcterms:created>
  <dcterms:modified xmlns:dcterms="http://purl.org/dc/terms/" xmlns:xsi="http://www.w3.org/2001/XMLSchema-instance" xsi:type="dcterms:W3CDTF">2026-05-18T21:26:26Z</dcterms:modified>
</cp:coreProperties>
</file>