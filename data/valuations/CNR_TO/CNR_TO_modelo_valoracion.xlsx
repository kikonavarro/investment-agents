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Canadian National Railway Company (CNR_TO)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Railroads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17107</v>
      </c>
      <c r="D7" s="5" t="n">
        <v>16828</v>
      </c>
      <c r="E7" s="5" t="n">
        <v>17046</v>
      </c>
      <c r="F7" s="5" t="n">
        <v>17304</v>
      </c>
    </row>
    <row r="8">
      <c r="A8" s="4" t="inlineStr">
        <is>
          <t xml:space="preserve">  Revenue Growth - Base</t>
        </is>
      </c>
      <c r="G8" s="6" t="n">
        <v>0.02</v>
      </c>
      <c r="H8" s="6" t="n">
        <v>0.03</v>
      </c>
      <c r="I8" s="6" t="n">
        <v>0.03</v>
      </c>
      <c r="J8" s="6" t="n">
        <v>0.02</v>
      </c>
      <c r="K8" s="6" t="n">
        <v>0.02</v>
      </c>
    </row>
    <row r="9">
      <c r="A9" s="4" t="inlineStr">
        <is>
          <t xml:space="preserve">  Revenue Growth - Bull</t>
        </is>
      </c>
      <c r="G9" s="6" t="n">
        <v>0.04</v>
      </c>
      <c r="H9" s="6" t="n">
        <v>0.05</v>
      </c>
      <c r="I9" s="6" t="n">
        <v>0.04</v>
      </c>
      <c r="J9" s="6" t="n">
        <v>0.03</v>
      </c>
      <c r="K9" s="6" t="n">
        <v>0.03</v>
      </c>
    </row>
    <row r="10">
      <c r="A10" s="4" t="inlineStr">
        <is>
          <t xml:space="preserve">  Revenue Growth - Bear</t>
        </is>
      </c>
      <c r="G10" s="6" t="n">
        <v>-0.02</v>
      </c>
      <c r="H10" s="6" t="n">
        <v>0</v>
      </c>
      <c r="I10" s="6" t="n">
        <v>0.01</v>
      </c>
      <c r="J10" s="6" t="n">
        <v>0.02</v>
      </c>
      <c r="K10" s="6" t="n">
        <v>0.02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0.42</v>
      </c>
      <c r="H15" s="6" t="n">
        <v>0.42</v>
      </c>
      <c r="I15" s="6" t="n">
        <v>0.42</v>
      </c>
      <c r="J15" s="6" t="n">
        <v>0.42</v>
      </c>
      <c r="K15" s="6" t="n">
        <v>0.42</v>
      </c>
    </row>
    <row r="16">
      <c r="A16" s="4" t="inlineStr">
        <is>
          <t>Gross Margin - Bull</t>
        </is>
      </c>
      <c r="G16" s="6" t="n">
        <v>0.45</v>
      </c>
      <c r="H16" s="6" t="n">
        <v>0.45</v>
      </c>
      <c r="I16" s="6" t="n">
        <v>0.45</v>
      </c>
      <c r="J16" s="6" t="n">
        <v>0.45</v>
      </c>
      <c r="K16" s="6" t="n">
        <v>0.45</v>
      </c>
    </row>
    <row r="17">
      <c r="A17" s="4" t="inlineStr">
        <is>
          <t>Gross Margin - Bear</t>
        </is>
      </c>
      <c r="G17" s="6" t="n">
        <v>0.39</v>
      </c>
      <c r="H17" s="6" t="n">
        <v>0.39</v>
      </c>
      <c r="I17" s="6" t="n">
        <v>0.39</v>
      </c>
      <c r="J17" s="6" t="n">
        <v>0.39</v>
      </c>
      <c r="K17" s="6" t="n">
        <v>0.39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0.029</v>
      </c>
      <c r="H20" s="6" t="n">
        <v>0.029</v>
      </c>
      <c r="I20" s="6" t="n">
        <v>0.029</v>
      </c>
      <c r="J20" s="6" t="n">
        <v>0.029</v>
      </c>
      <c r="K20" s="6" t="n">
        <v>0.029</v>
      </c>
    </row>
    <row r="21">
      <c r="A21" s="4" t="inlineStr">
        <is>
          <t>SG&amp;A % Revenue - Bull</t>
        </is>
      </c>
      <c r="G21" s="6" t="n">
        <v>0.026</v>
      </c>
      <c r="H21" s="6" t="n">
        <v>0.026</v>
      </c>
      <c r="I21" s="6" t="n">
        <v>0.026</v>
      </c>
      <c r="J21" s="6" t="n">
        <v>0.026</v>
      </c>
      <c r="K21" s="6" t="n">
        <v>0.026</v>
      </c>
    </row>
    <row r="22">
      <c r="A22" s="4" t="inlineStr">
        <is>
          <t>SG&amp;A % Revenue - Bear</t>
        </is>
      </c>
      <c r="G22" s="6" t="n">
        <v>0.032</v>
      </c>
      <c r="H22" s="6" t="n">
        <v>0.032</v>
      </c>
      <c r="I22" s="6" t="n">
        <v>0.032</v>
      </c>
      <c r="J22" s="6" t="n">
        <v>0.032</v>
      </c>
      <c r="K22" s="6" t="n">
        <v>0.032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0.108</v>
      </c>
      <c r="H30" s="6" t="n">
        <v>0.108</v>
      </c>
      <c r="I30" s="6" t="n">
        <v>0.108</v>
      </c>
      <c r="J30" s="6" t="n">
        <v>0.108</v>
      </c>
      <c r="K30" s="6" t="n">
        <v>0.108</v>
      </c>
    </row>
    <row r="31">
      <c r="A31" s="4" t="inlineStr">
        <is>
          <t>CapEx % Revenue</t>
        </is>
      </c>
      <c r="G31" s="6" t="n">
        <v>0.17</v>
      </c>
      <c r="H31" s="6" t="n">
        <v>0.17</v>
      </c>
      <c r="I31" s="6" t="n">
        <v>0.17</v>
      </c>
      <c r="J31" s="6" t="n">
        <v>0.17</v>
      </c>
      <c r="K31" s="6" t="n">
        <v>0.17</v>
      </c>
    </row>
    <row r="32">
      <c r="A32" s="4" t="inlineStr">
        <is>
          <t>Tax Rate</t>
        </is>
      </c>
      <c r="G32" s="6" t="n">
        <v>0.21</v>
      </c>
      <c r="H32" s="6" t="n">
        <v>0.21</v>
      </c>
      <c r="I32" s="6" t="n">
        <v>0.21</v>
      </c>
      <c r="J32" s="6" t="n">
        <v>0.21</v>
      </c>
      <c r="K32" s="6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0.105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Canadian National Railway Company (CNR_TO)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17107</v>
      </c>
      <c r="D6" s="5" t="n">
        <v>16828</v>
      </c>
      <c r="E6" s="5" t="n">
        <v>17046</v>
      </c>
      <c r="F6" s="5" t="n">
        <v>17304</v>
      </c>
    </row>
    <row r="7">
      <c r="A7" s="4" t="inlineStr">
        <is>
          <t>Cost of Revenue</t>
        </is>
      </c>
      <c r="C7" s="5" t="n">
        <v>9711</v>
      </c>
      <c r="D7" s="5" t="n">
        <v>9677</v>
      </c>
      <c r="E7" s="5" t="n">
        <v>10079</v>
      </c>
      <c r="F7" s="5" t="n">
        <v>9972</v>
      </c>
    </row>
    <row r="8">
      <c r="A8" s="2" t="inlineStr">
        <is>
          <t>Gross Profit</t>
        </is>
      </c>
      <c r="C8" s="5" t="n">
        <v>7396</v>
      </c>
      <c r="D8" s="5" t="n">
        <v>7151</v>
      </c>
      <c r="E8" s="5" t="n">
        <v>6967</v>
      </c>
      <c r="F8" s="5" t="n">
        <v>7332</v>
      </c>
    </row>
    <row r="9">
      <c r="A9" s="4" t="inlineStr">
        <is>
          <t xml:space="preserve">  Gross Margin</t>
        </is>
      </c>
      <c r="C9" s="11" t="n">
        <v>0.4323376395627521</v>
      </c>
      <c r="D9" s="11" t="n">
        <v>0.4249465177085809</v>
      </c>
      <c r="E9" s="11" t="n">
        <v>0.4087175877038601</v>
      </c>
      <c r="F9" s="11" t="n">
        <v>0.4237170596393897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-498</v>
      </c>
      <c r="D12" s="5" t="n">
        <v>-479</v>
      </c>
      <c r="E12" s="5" t="n">
        <v>0</v>
      </c>
      <c r="F12" s="5" t="n">
        <v>0</v>
      </c>
    </row>
    <row r="13">
      <c r="A13" s="2" t="inlineStr">
        <is>
          <t>Operating Income (EBIT)</t>
        </is>
      </c>
      <c r="C13" s="5" t="n">
        <v>6840</v>
      </c>
      <c r="D13" s="5" t="n">
        <v>6597</v>
      </c>
      <c r="E13" s="5" t="n">
        <v>6325</v>
      </c>
      <c r="F13" s="5" t="n">
        <v>6587</v>
      </c>
    </row>
    <row r="14">
      <c r="A14" s="4" t="inlineStr">
        <is>
          <t xml:space="preserve">  EBIT Margin</t>
        </is>
      </c>
      <c r="C14" s="11" t="n">
        <v>0.3998363243116853</v>
      </c>
      <c r="D14" s="11" t="n">
        <v>0.3920251961017352</v>
      </c>
      <c r="E14" s="11" t="n">
        <v>0.3710547929132935</v>
      </c>
      <c r="F14" s="11" t="n">
        <v>0.380663430420712</v>
      </c>
    </row>
    <row r="16">
      <c r="A16" s="4" t="inlineStr">
        <is>
          <t>Interest Expense</t>
        </is>
      </c>
      <c r="C16" s="5" t="n">
        <v>548</v>
      </c>
      <c r="D16" s="5" t="n">
        <v>722</v>
      </c>
      <c r="E16" s="5" t="n">
        <v>891</v>
      </c>
      <c r="F16" s="5" t="n">
        <v>913</v>
      </c>
    </row>
    <row r="17">
      <c r="A17" s="4" t="inlineStr">
        <is>
          <t>Tax Provision</t>
        </is>
      </c>
      <c r="C17" s="5" t="n">
        <v>1645</v>
      </c>
      <c r="D17" s="5" t="n">
        <v>863</v>
      </c>
      <c r="E17" s="5" t="n">
        <v>1404</v>
      </c>
      <c r="F17" s="5" t="n">
        <v>1544</v>
      </c>
    </row>
    <row r="18">
      <c r="A18" s="2" t="inlineStr">
        <is>
          <t>Net Income</t>
        </is>
      </c>
      <c r="C18" s="5" t="n">
        <v>5118</v>
      </c>
      <c r="D18" s="5" t="n">
        <v>5625</v>
      </c>
      <c r="E18" s="5" t="n">
        <v>4448</v>
      </c>
      <c r="F18" s="5" t="n">
        <v>4720</v>
      </c>
    </row>
    <row r="19">
      <c r="A19" s="4" t="inlineStr">
        <is>
          <t xml:space="preserve">  Net Margin</t>
        </is>
      </c>
      <c r="C19" s="11" t="n">
        <v>0.2991757759981294</v>
      </c>
      <c r="D19" s="11" t="n">
        <v>0.3342643213691466</v>
      </c>
      <c r="E19" s="11" t="n">
        <v>0.2609409832218703</v>
      </c>
      <c r="F19" s="11" t="n">
        <v>0.2727693018955155</v>
      </c>
    </row>
    <row r="21">
      <c r="A21" s="2" t="inlineStr">
        <is>
          <t>EBITDA</t>
        </is>
      </c>
      <c r="C21" s="5" t="n">
        <v>9040</v>
      </c>
      <c r="D21" s="5" t="n">
        <v>9027</v>
      </c>
      <c r="E21" s="5" t="n">
        <v>8635</v>
      </c>
      <c r="F21" s="5" t="n">
        <v>9115</v>
      </c>
    </row>
    <row r="22">
      <c r="A22" s="4" t="inlineStr">
        <is>
          <t xml:space="preserve">  EBITDA Margin</t>
        </is>
      </c>
      <c r="C22" s="11" t="n">
        <v>0.5284386508446834</v>
      </c>
      <c r="D22" s="11" t="n">
        <v>0.5364273829332066</v>
      </c>
      <c r="E22" s="11" t="n">
        <v>0.5065704564120614</v>
      </c>
      <c r="F22" s="11" t="n">
        <v>0.5267568192325474</v>
      </c>
    </row>
    <row r="23">
      <c r="A23" s="4" t="inlineStr">
        <is>
          <t>Diluted EPS</t>
        </is>
      </c>
      <c r="C23" s="12" t="n">
        <v>7.44</v>
      </c>
      <c r="D23" s="12" t="n">
        <v>8.529999999999999</v>
      </c>
      <c r="E23" s="12" t="n">
        <v>7.01</v>
      </c>
      <c r="F23" s="12" t="n">
        <v>7.57</v>
      </c>
    </row>
    <row r="24">
      <c r="A24" s="4" t="inlineStr">
        <is>
          <t>D&amp;A</t>
        </is>
      </c>
      <c r="C24" s="5" t="n">
        <v>1729</v>
      </c>
      <c r="D24" s="5" t="n">
        <v>1817</v>
      </c>
      <c r="E24" s="5" t="n">
        <v>1892</v>
      </c>
      <c r="F24" s="5" t="n">
        <v>1938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328</v>
      </c>
      <c r="D28" s="5" t="n">
        <v>475</v>
      </c>
      <c r="E28" s="5" t="n">
        <v>389</v>
      </c>
      <c r="F28" s="5" t="n">
        <v>350</v>
      </c>
    </row>
    <row r="29">
      <c r="A29" s="4" t="inlineStr">
        <is>
          <t>Current Assets</t>
        </is>
      </c>
      <c r="C29" s="5" t="n">
        <v>3217</v>
      </c>
      <c r="D29" s="5" t="n">
        <v>3089</v>
      </c>
      <c r="E29" s="5" t="n">
        <v>2619</v>
      </c>
      <c r="F29" s="5" t="n">
        <v>2471</v>
      </c>
    </row>
    <row r="30">
      <c r="A30" s="4" t="inlineStr">
        <is>
          <t>Net PP&amp;E</t>
        </is>
      </c>
      <c r="C30" s="5" t="n">
        <v>44007</v>
      </c>
      <c r="D30" s="5" t="n">
        <v>45041</v>
      </c>
      <c r="E30" s="5" t="n">
        <v>48445</v>
      </c>
      <c r="F30" s="5" t="n">
        <v>49588</v>
      </c>
    </row>
    <row r="31">
      <c r="A31" s="4" t="inlineStr">
        <is>
          <t>Goodwill</t>
        </is>
      </c>
      <c r="C31" s="5" t="n">
        <v>70</v>
      </c>
      <c r="D31" s="5" t="n">
        <v>70</v>
      </c>
      <c r="E31" s="5" t="n">
        <v>71</v>
      </c>
      <c r="F31" s="5" t="n">
        <v>100</v>
      </c>
    </row>
    <row r="32">
      <c r="A32" s="2" t="inlineStr">
        <is>
          <t>Total Assets</t>
        </is>
      </c>
      <c r="C32" s="5" t="n">
        <v>50662</v>
      </c>
      <c r="D32" s="5" t="n">
        <v>52666</v>
      </c>
      <c r="E32" s="5" t="n">
        <v>57067</v>
      </c>
      <c r="F32" s="5" t="n">
        <v>58555</v>
      </c>
    </row>
    <row r="34">
      <c r="A34" s="4" t="inlineStr">
        <is>
          <t>Current Liabilities</t>
        </is>
      </c>
      <c r="C34" s="5" t="n">
        <v>3842</v>
      </c>
      <c r="D34" s="5" t="n">
        <v>5035</v>
      </c>
      <c r="E34" s="5" t="n">
        <v>3976</v>
      </c>
      <c r="F34" s="5" t="n">
        <v>3696</v>
      </c>
    </row>
    <row r="35">
      <c r="A35" s="4" t="inlineStr">
        <is>
          <t>Total Debt</t>
        </is>
      </c>
      <c r="C35" s="5" t="n">
        <v>15895</v>
      </c>
      <c r="D35" s="5" t="n">
        <v>18888</v>
      </c>
      <c r="E35" s="5" t="n">
        <v>21371</v>
      </c>
      <c r="F35" s="5" t="n">
        <v>21630</v>
      </c>
    </row>
    <row r="36">
      <c r="A36" s="2" t="inlineStr">
        <is>
          <t>Total Liabilities</t>
        </is>
      </c>
      <c r="C36" s="5" t="n">
        <v>29278</v>
      </c>
      <c r="D36" s="5" t="n">
        <v>32549</v>
      </c>
      <c r="E36" s="5" t="n">
        <v>36016</v>
      </c>
      <c r="F36" s="5" t="n">
        <v>36987</v>
      </c>
    </row>
    <row r="38">
      <c r="A38" s="2" t="inlineStr">
        <is>
          <t>Total Equity</t>
        </is>
      </c>
      <c r="C38" s="5" t="n">
        <v>21384</v>
      </c>
      <c r="D38" s="5" t="n">
        <v>20117</v>
      </c>
      <c r="E38" s="5" t="n">
        <v>21051</v>
      </c>
      <c r="F38" s="5" t="n">
        <v>21568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6667</v>
      </c>
      <c r="D42" s="5" t="n">
        <v>6965</v>
      </c>
      <c r="E42" s="5" t="n">
        <v>6699</v>
      </c>
      <c r="F42" s="5" t="n">
        <v>7049</v>
      </c>
    </row>
    <row r="43">
      <c r="A43" s="4" t="inlineStr">
        <is>
          <t>Capital Expenditure</t>
        </is>
      </c>
      <c r="C43" s="5" t="n">
        <v>-2750</v>
      </c>
      <c r="D43" s="5" t="n">
        <v>-3187</v>
      </c>
      <c r="E43" s="5" t="n">
        <v>-3549</v>
      </c>
      <c r="F43" s="5" t="n">
        <v>-3658</v>
      </c>
    </row>
    <row r="44">
      <c r="A44" s="2" t="inlineStr">
        <is>
          <t>Free Cash Flow</t>
        </is>
      </c>
      <c r="C44" s="5" t="n">
        <v>3917</v>
      </c>
      <c r="D44" s="5" t="n">
        <v>3778</v>
      </c>
      <c r="E44" s="5" t="n">
        <v>3150</v>
      </c>
      <c r="F44" s="5" t="n">
        <v>3391</v>
      </c>
    </row>
    <row r="46">
      <c r="A46" s="4" t="inlineStr">
        <is>
          <t>D&amp;A</t>
        </is>
      </c>
      <c r="C46" s="5" t="n">
        <v>1729</v>
      </c>
      <c r="D46" s="5" t="n">
        <v>1817</v>
      </c>
      <c r="E46" s="5" t="n">
        <v>1892</v>
      </c>
      <c r="F46" s="5" t="n">
        <v>1938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-411</v>
      </c>
      <c r="D48" s="5" t="n">
        <v>-53</v>
      </c>
      <c r="E48" s="5" t="n">
        <v>92</v>
      </c>
      <c r="F48" s="5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Canadian National Railway Company (CNR_TO)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Railroads</t>
        </is>
      </c>
      <c r="C8" s="5" t="n">
        <v>17107</v>
      </c>
      <c r="D8" s="5" t="n">
        <v>16828</v>
      </c>
      <c r="E8" s="5" t="n">
        <v>17046</v>
      </c>
      <c r="F8" s="5" t="n">
        <v>17304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9711</v>
      </c>
      <c r="D16" s="5" t="n">
        <v>9677</v>
      </c>
      <c r="E16" s="5" t="n">
        <v>10079</v>
      </c>
      <c r="F16" s="5" t="n">
        <v>9972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-498</v>
      </c>
      <c r="D20" s="5" t="n">
        <v>-479</v>
      </c>
      <c r="E20" s="5" t="n">
        <v>0</v>
      </c>
      <c r="F20" s="5" t="n">
        <v>0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1729</v>
      </c>
      <c r="D22" s="5" t="n">
        <v>1817</v>
      </c>
      <c r="E22" s="5" t="n">
        <v>1892</v>
      </c>
      <c r="F22" s="5" t="n">
        <v>1938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548</v>
      </c>
      <c r="D29" s="5" t="n">
        <v>722</v>
      </c>
      <c r="E29" s="5" t="n">
        <v>891</v>
      </c>
      <c r="F29" s="5" t="n">
        <v>913</v>
      </c>
      <c r="G29" s="5" t="n">
        <v>913</v>
      </c>
      <c r="H29" s="5" t="n">
        <v>913</v>
      </c>
      <c r="I29" s="5" t="n">
        <v>913</v>
      </c>
      <c r="J29" s="5" t="n">
        <v>913</v>
      </c>
      <c r="K29" s="5" t="n">
        <v>913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1645</v>
      </c>
      <c r="D31" s="5" t="n">
        <v>863</v>
      </c>
      <c r="E31" s="5" t="n">
        <v>1404</v>
      </c>
      <c r="F31" s="5" t="n">
        <v>1544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-411</v>
      </c>
      <c r="D39" s="5" t="n">
        <v>-53</v>
      </c>
      <c r="E39" s="5" t="n">
        <v>92</v>
      </c>
      <c r="F39" s="5" t="n">
        <v>165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-2750</v>
      </c>
      <c r="D42" s="5" t="n">
        <v>-3187</v>
      </c>
      <c r="E42" s="5" t="n">
        <v>-3549</v>
      </c>
      <c r="F42" s="5" t="n">
        <v>-3658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Canadian National Railway Company (CNR_TO)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154.21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-21280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611.4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C33/154.21-1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0.07000000000000001</v>
      </c>
      <c r="C39" s="22">
        <f>(G$12/(1+$A$39)^1+H$12/(1+$A$39)^2+I$12/(1+$A$39)^3+J$12/(1+$A$39)^4+K$12/(1+$A$39)^5+K$8*8.0/(1+$A$39)^5+$C$29)/$C$32</f>
        <v/>
      </c>
      <c r="D39" s="22">
        <f>(G$12/(1+$A$39)^1+H$12/(1+$A$39)^2+I$12/(1+$A$39)^3+J$12/(1+$A$39)^4+K$12/(1+$A$39)^5+K$8*10.0/(1+$A$39)^5+$C$29)/$C$32</f>
        <v/>
      </c>
      <c r="E39" s="22">
        <f>(G$12/(1+$A$39)^1+H$12/(1+$A$39)^2+I$12/(1+$A$39)^3+J$12/(1+$A$39)^4+K$12/(1+$A$39)^5+K$8*12.0/(1+$A$39)^5+$C$29)/$C$32</f>
        <v/>
      </c>
      <c r="F39" s="22">
        <f>(G$12/(1+$A$39)^1+H$12/(1+$A$39)^2+I$12/(1+$A$39)^3+J$12/(1+$A$39)^4+K$12/(1+$A$39)^5+K$8*14.0/(1+$A$39)^5+$C$29)/$C$32</f>
        <v/>
      </c>
      <c r="G39" s="22">
        <f>(G$12/(1+$A$39)^1+H$12/(1+$A$39)^2+I$12/(1+$A$39)^3+J$12/(1+$A$39)^4+K$12/(1+$A$39)^5+K$8*16.0/(1+$A$39)^5+$C$29)/$C$32</f>
        <v/>
      </c>
    </row>
    <row r="40">
      <c r="A40" s="21" t="n">
        <v>0.08</v>
      </c>
      <c r="C40" s="22">
        <f>(G$12/(1+$A$40)^1+H$12/(1+$A$40)^2+I$12/(1+$A$40)^3+J$12/(1+$A$40)^4+K$12/(1+$A$40)^5+K$8*8.0/(1+$A$40)^5+$C$29)/$C$32</f>
        <v/>
      </c>
      <c r="D40" s="22">
        <f>(G$12/(1+$A$40)^1+H$12/(1+$A$40)^2+I$12/(1+$A$40)^3+J$12/(1+$A$40)^4+K$12/(1+$A$40)^5+K$8*10.0/(1+$A$40)^5+$C$29)/$C$32</f>
        <v/>
      </c>
      <c r="E40" s="22">
        <f>(G$12/(1+$A$40)^1+H$12/(1+$A$40)^2+I$12/(1+$A$40)^3+J$12/(1+$A$40)^4+K$12/(1+$A$40)^5+K$8*12.0/(1+$A$40)^5+$C$29)/$C$32</f>
        <v/>
      </c>
      <c r="F40" s="22">
        <f>(G$12/(1+$A$40)^1+H$12/(1+$A$40)^2+I$12/(1+$A$40)^3+J$12/(1+$A$40)^4+K$12/(1+$A$40)^5+K$8*14.0/(1+$A$40)^5+$C$29)/$C$32</f>
        <v/>
      </c>
      <c r="G40" s="22">
        <f>(G$12/(1+$A$40)^1+H$12/(1+$A$40)^2+I$12/(1+$A$40)^3+J$12/(1+$A$40)^4+K$12/(1+$A$40)^5+K$8*16.0/(1+$A$40)^5+$C$29)/$C$32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(G$12/(1+$A$41)^1+H$12/(1+$A$41)^2+I$12/(1+$A$41)^3+J$12/(1+$A$41)^4+K$12/(1+$A$41)^5+K$8*8.0/(1+$A$41)^5+$C$29)/$C$32</f>
        <v/>
      </c>
      <c r="D41" s="22">
        <f>(G$12/(1+$A$41)^1+H$12/(1+$A$41)^2+I$12/(1+$A$41)^3+J$12/(1+$A$41)^4+K$12/(1+$A$41)^5+K$8*10.0/(1+$A$41)^5+$C$29)/$C$32</f>
        <v/>
      </c>
      <c r="E41" s="22">
        <f>(G$12/(1+$A$41)^1+H$12/(1+$A$41)^2+I$12/(1+$A$41)^3+J$12/(1+$A$41)^4+K$12/(1+$A$41)^5+K$8*12.0/(1+$A$41)^5+$C$29)/$C$32</f>
        <v/>
      </c>
      <c r="F41" s="22">
        <f>(G$12/(1+$A$41)^1+H$12/(1+$A$41)^2+I$12/(1+$A$41)^3+J$12/(1+$A$41)^4+K$12/(1+$A$41)^5+K$8*14.0/(1+$A$41)^5+$C$29)/$C$32</f>
        <v/>
      </c>
      <c r="G41" s="22">
        <f>(G$12/(1+$A$41)^1+H$12/(1+$A$41)^2+I$12/(1+$A$41)^3+J$12/(1+$A$41)^4+K$12/(1+$A$41)^5+K$8*16.0/(1+$A$41)^5+$C$29)/$C$32</f>
        <v/>
      </c>
    </row>
    <row r="42">
      <c r="A42" s="21" t="n">
        <v>0.1</v>
      </c>
      <c r="C42" s="22">
        <f>(G$12/(1+$A$42)^1+H$12/(1+$A$42)^2+I$12/(1+$A$42)^3+J$12/(1+$A$42)^4+K$12/(1+$A$42)^5+K$8*8.0/(1+$A$42)^5+$C$29)/$C$32</f>
        <v/>
      </c>
      <c r="D42" s="22">
        <f>(G$12/(1+$A$42)^1+H$12/(1+$A$42)^2+I$12/(1+$A$42)^3+J$12/(1+$A$42)^4+K$12/(1+$A$42)^5+K$8*10.0/(1+$A$42)^5+$C$29)/$C$32</f>
        <v/>
      </c>
      <c r="E42" s="23">
        <f>(G$12/(1+$A$42)^1+H$12/(1+$A$42)^2+I$12/(1+$A$42)^3+J$12/(1+$A$42)^4+K$12/(1+$A$42)^5+K$8*12.0/(1+$A$42)^5+$C$29)/$C$32</f>
        <v/>
      </c>
      <c r="F42" s="22">
        <f>(G$12/(1+$A$42)^1+H$12/(1+$A$42)^2+I$12/(1+$A$42)^3+J$12/(1+$A$42)^4+K$12/(1+$A$42)^5+K$8*14.0/(1+$A$42)^5+$C$29)/$C$32</f>
        <v/>
      </c>
      <c r="G42" s="22">
        <f>(G$12/(1+$A$42)^1+H$12/(1+$A$42)^2+I$12/(1+$A$42)^3+J$12/(1+$A$42)^4+K$12/(1+$A$42)^5+K$8*16.0/(1+$A$42)^5+$C$29)/$C$32</f>
        <v/>
      </c>
    </row>
    <row r="43">
      <c r="A43" s="21" t="n">
        <v>0.11</v>
      </c>
      <c r="C43" s="22">
        <f>(G$12/(1+$A$43)^1+H$12/(1+$A$43)^2+I$12/(1+$A$43)^3+J$12/(1+$A$43)^4+K$12/(1+$A$43)^5+K$8*8.0/(1+$A$43)^5+$C$29)/$C$32</f>
        <v/>
      </c>
      <c r="D43" s="22">
        <f>(G$12/(1+$A$43)^1+H$12/(1+$A$43)^2+I$12/(1+$A$43)^3+J$12/(1+$A$43)^4+K$12/(1+$A$43)^5+K$8*10.0/(1+$A$43)^5+$C$29)/$C$32</f>
        <v/>
      </c>
      <c r="E43" s="22">
        <f>(G$12/(1+$A$43)^1+H$12/(1+$A$43)^2+I$12/(1+$A$43)^3+J$12/(1+$A$43)^4+K$12/(1+$A$43)^5+K$8*12.0/(1+$A$43)^5+$C$29)/$C$32</f>
        <v/>
      </c>
      <c r="F43" s="22">
        <f>(G$12/(1+$A$43)^1+H$12/(1+$A$43)^2+I$12/(1+$A$43)^3+J$12/(1+$A$43)^4+K$12/(1+$A$43)^5+K$8*14.0/(1+$A$43)^5+$C$29)/$C$32</f>
        <v/>
      </c>
      <c r="G43" s="22">
        <f>(G$12/(1+$A$43)^1+H$12/(1+$A$43)^2+I$12/(1+$A$43)^3+J$12/(1+$A$43)^4+K$12/(1+$A$43)^5+K$8*16.0/(1+$A$43)^5+$C$29)/$C$32</f>
        <v/>
      </c>
    </row>
    <row r="44">
      <c r="A44" s="21" t="n">
        <v>0.12</v>
      </c>
      <c r="C44" s="22">
        <f>(G$12/(1+$A$44)^1+H$12/(1+$A$44)^2+I$12/(1+$A$44)^3+J$12/(1+$A$44)^4+K$12/(1+$A$44)^5+K$8*8.0/(1+$A$44)^5+$C$29)/$C$32</f>
        <v/>
      </c>
      <c r="D44" s="22">
        <f>(G$12/(1+$A$44)^1+H$12/(1+$A$44)^2+I$12/(1+$A$44)^3+J$12/(1+$A$44)^4+K$12/(1+$A$44)^5+K$8*10.0/(1+$A$44)^5+$C$29)/$C$32</f>
        <v/>
      </c>
      <c r="E44" s="22">
        <f>(G$12/(1+$A$44)^1+H$12/(1+$A$44)^2+I$12/(1+$A$44)^3+J$12/(1+$A$44)^4+K$12/(1+$A$44)^5+K$8*12.0/(1+$A$44)^5+$C$29)/$C$32</f>
        <v/>
      </c>
      <c r="F44" s="22">
        <f>(G$12/(1+$A$44)^1+H$12/(1+$A$44)^2+I$12/(1+$A$44)^3+J$12/(1+$A$44)^4+K$12/(1+$A$44)^5+K$8*14.0/(1+$A$44)^5+$C$29)/$C$32</f>
        <v/>
      </c>
      <c r="G44" s="22">
        <f>(G$12/(1+$A$44)^1+H$12/(1+$A$44)^2+I$12/(1+$A$44)^3+J$12/(1+$A$44)^4+K$12/(1+$A$44)^5+K$8*16.0/(1+$A$44)^5+$C$29)/$C$32</f>
        <v/>
      </c>
    </row>
    <row r="45">
      <c r="A45" s="21" t="n">
        <v>0.13</v>
      </c>
      <c r="C45" s="22">
        <f>(G$12/(1+$A$45)^1+H$12/(1+$A$45)^2+I$12/(1+$A$45)^3+J$12/(1+$A$45)^4+K$12/(1+$A$45)^5+K$8*8.0/(1+$A$45)^5+$C$29)/$C$32</f>
        <v/>
      </c>
      <c r="D45" s="22">
        <f>(G$12/(1+$A$45)^1+H$12/(1+$A$45)^2+I$12/(1+$A$45)^3+J$12/(1+$A$45)^4+K$12/(1+$A$45)^5+K$8*10.0/(1+$A$45)^5+$C$29)/$C$32</f>
        <v/>
      </c>
      <c r="E45" s="22">
        <f>(G$12/(1+$A$45)^1+H$12/(1+$A$45)^2+I$12/(1+$A$45)^3+J$12/(1+$A$45)^4+K$12/(1+$A$45)^5+K$8*12.0/(1+$A$45)^5+$C$29)/$C$32</f>
        <v/>
      </c>
      <c r="F45" s="22">
        <f>(G$12/(1+$A$45)^1+H$12/(1+$A$45)^2+I$12/(1+$A$45)^3+J$12/(1+$A$45)^4+K$12/(1+$A$45)^5+K$8*14.0/(1+$A$45)^5+$C$29)/$C$32</f>
        <v/>
      </c>
      <c r="G45" s="22">
        <f>(G$12/(1+$A$45)^1+H$12/(1+$A$45)^2+I$12/(1+$A$45)^3+J$12/(1+$A$45)^4+K$12/(1+$A$45)^5+K$8*16.0/(1+$A$45)^5+$C$29)/$C$32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2026-04-14T22:36:15Z</dcterms:created>
  <dcterms:modified xmlns:dcterms="http://purl.org/dc/terms/" xmlns:xsi="http://www.w3.org/2001/XMLSchema-instance" xsi:type="dcterms:W3CDTF">2026-04-14T22:36:15Z</dcterms:modified>
</cp:coreProperties>
</file>