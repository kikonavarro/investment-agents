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Watches of Switzerland Group PLC (WOSG.L)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1238</v>
      </c>
      <c r="D7" s="5" t="n">
        <v>1542.8</v>
      </c>
      <c r="E7" s="5" t="n">
        <v>1537.9</v>
      </c>
      <c r="F7" s="5" t="n">
        <v>1651.5</v>
      </c>
    </row>
    <row r="8">
      <c r="A8" s="4" t="inlineStr">
        <is>
          <t xml:space="preserve">  Revenue Growth - Base</t>
        </is>
      </c>
      <c r="G8" s="6" t="n">
        <v>0.077</v>
      </c>
      <c r="H8" s="6" t="n">
        <v>0.0693</v>
      </c>
      <c r="I8" s="6" t="n">
        <v>0.0616</v>
      </c>
      <c r="J8" s="6" t="n">
        <v>0.0539</v>
      </c>
      <c r="K8" s="6" t="n">
        <v>0.0462</v>
      </c>
    </row>
    <row r="9">
      <c r="A9" s="4" t="inlineStr">
        <is>
          <t xml:space="preserve">  Revenue Growth - Bull</t>
        </is>
      </c>
      <c r="G9" s="6" t="n">
        <v>0.107</v>
      </c>
      <c r="H9" s="6" t="n">
        <v>0.0963</v>
      </c>
      <c r="I9" s="6" t="n">
        <v>0.08560000000000001</v>
      </c>
      <c r="J9" s="6" t="n">
        <v>0.07489999999999999</v>
      </c>
      <c r="K9" s="6" t="n">
        <v>0.06419999999999999</v>
      </c>
    </row>
    <row r="10">
      <c r="A10" s="4" t="inlineStr">
        <is>
          <t xml:space="preserve">  Revenue Growth - Bear</t>
        </is>
      </c>
      <c r="G10" s="6" t="n">
        <v>0.047</v>
      </c>
      <c r="H10" s="6" t="n">
        <v>0.0423</v>
      </c>
      <c r="I10" s="6" t="n">
        <v>0.0376</v>
      </c>
      <c r="J10" s="6" t="n">
        <v>0.0329</v>
      </c>
      <c r="K10" s="6" t="n">
        <v>0.0282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0.1348912357312765</v>
      </c>
      <c r="H15" s="6" t="n">
        <v>0.1348912357312765</v>
      </c>
      <c r="I15" s="6" t="n">
        <v>0.1348912357312765</v>
      </c>
      <c r="J15" s="6" t="n">
        <v>0.1348912357312765</v>
      </c>
      <c r="K15" s="6" t="n">
        <v>0.1348912357312765</v>
      </c>
    </row>
    <row r="16">
      <c r="A16" s="4" t="inlineStr">
        <is>
          <t>Gross Margin - Bull</t>
        </is>
      </c>
      <c r="G16" s="6" t="n">
        <v>0.1548912357312765</v>
      </c>
      <c r="H16" s="6" t="n">
        <v>0.1548912357312765</v>
      </c>
      <c r="I16" s="6" t="n">
        <v>0.1548912357312765</v>
      </c>
      <c r="J16" s="6" t="n">
        <v>0.1548912357312765</v>
      </c>
      <c r="K16" s="6" t="n">
        <v>0.1548912357312765</v>
      </c>
    </row>
    <row r="17">
      <c r="A17" s="4" t="inlineStr">
        <is>
          <t>Gross Margin - Bear</t>
        </is>
      </c>
      <c r="G17" s="6" t="n">
        <v>0.1148912357312765</v>
      </c>
      <c r="H17" s="6" t="n">
        <v>0.1148912357312765</v>
      </c>
      <c r="I17" s="6" t="n">
        <v>0.1148912357312765</v>
      </c>
      <c r="J17" s="6" t="n">
        <v>0.1148912357312765</v>
      </c>
      <c r="K17" s="6" t="n">
        <v>0.1148912357312765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0.0267544445841845</v>
      </c>
      <c r="H20" s="6" t="n">
        <v>0.0267544445841845</v>
      </c>
      <c r="I20" s="6" t="n">
        <v>0.0267544445841845</v>
      </c>
      <c r="J20" s="6" t="n">
        <v>0.0267544445841845</v>
      </c>
      <c r="K20" s="6" t="n">
        <v>0.0267544445841845</v>
      </c>
    </row>
    <row r="21">
      <c r="A21" s="4" t="inlineStr">
        <is>
          <t>SG&amp;A % Revenue - Bull</t>
        </is>
      </c>
      <c r="G21" s="6" t="n">
        <v>0.0167544445841845</v>
      </c>
      <c r="H21" s="6" t="n">
        <v>0.0167544445841845</v>
      </c>
      <c r="I21" s="6" t="n">
        <v>0.0167544445841845</v>
      </c>
      <c r="J21" s="6" t="n">
        <v>0.0167544445841845</v>
      </c>
      <c r="K21" s="6" t="n">
        <v>0.0167544445841845</v>
      </c>
    </row>
    <row r="22">
      <c r="A22" s="4" t="inlineStr">
        <is>
          <t>SG&amp;A % Revenue - Bear</t>
        </is>
      </c>
      <c r="G22" s="6" t="n">
        <v>0.0367544445841845</v>
      </c>
      <c r="H22" s="6" t="n">
        <v>0.0367544445841845</v>
      </c>
      <c r="I22" s="6" t="n">
        <v>0.0367544445841845</v>
      </c>
      <c r="J22" s="6" t="n">
        <v>0.0367544445841845</v>
      </c>
      <c r="K22" s="6" t="n">
        <v>0.0367544445841845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0.0595510744488769</v>
      </c>
      <c r="H30" s="6" t="n">
        <v>0.0595510744488769</v>
      </c>
      <c r="I30" s="6" t="n">
        <v>0.0595510744488769</v>
      </c>
      <c r="J30" s="6" t="n">
        <v>0.0595510744488769</v>
      </c>
      <c r="K30" s="6" t="n">
        <v>0.0595510744488769</v>
      </c>
    </row>
    <row r="31">
      <c r="A31" s="4" t="inlineStr">
        <is>
          <t>CapEx % Revenue</t>
        </is>
      </c>
      <c r="G31" s="6" t="n">
        <v>0.04654489322222098</v>
      </c>
      <c r="H31" s="6" t="n">
        <v>0.04654489322222098</v>
      </c>
      <c r="I31" s="6" t="n">
        <v>0.04654489322222098</v>
      </c>
      <c r="J31" s="6" t="n">
        <v>0.04654489322222098</v>
      </c>
      <c r="K31" s="6" t="n">
        <v>0.04654489322222098</v>
      </c>
    </row>
    <row r="32">
      <c r="A32" s="4" t="inlineStr">
        <is>
          <t>Tax Rate</t>
        </is>
      </c>
      <c r="G32" s="6" t="n">
        <v>0.1770815277766916</v>
      </c>
      <c r="H32" s="6" t="n">
        <v>0.1770815277766916</v>
      </c>
      <c r="I32" s="6" t="n">
        <v>0.1770815277766916</v>
      </c>
      <c r="J32" s="6" t="n">
        <v>0.1770815277766916</v>
      </c>
      <c r="K32" s="6" t="n">
        <v>0.1770815277766916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0.1084</v>
      </c>
    </row>
    <row r="36">
      <c r="A36" s="4" t="inlineStr">
        <is>
          <t>WACC - Bull</t>
        </is>
      </c>
      <c r="C36" s="6" t="n">
        <v>0.0984</v>
      </c>
    </row>
    <row r="37">
      <c r="A37" s="4" t="inlineStr">
        <is>
          <t>WACC - Bear</t>
        </is>
      </c>
      <c r="C37" s="6" t="n">
        <v>0.1284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Watches of Switzerland Group PLC (WOSG.L)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1238</v>
      </c>
      <c r="D6" s="5" t="n">
        <v>1542.8</v>
      </c>
      <c r="E6" s="5" t="n">
        <v>1537.9</v>
      </c>
      <c r="F6" s="5" t="n">
        <v>1651.5</v>
      </c>
    </row>
    <row r="7">
      <c r="A7" s="4" t="inlineStr">
        <is>
          <t>Cost of Revenue</t>
        </is>
      </c>
      <c r="C7" s="5" t="n">
        <v>1056.7</v>
      </c>
      <c r="D7" s="5" t="n">
        <v>1324.1</v>
      </c>
      <c r="E7" s="5" t="n">
        <v>1348</v>
      </c>
      <c r="F7" s="5" t="n">
        <v>1440.3</v>
      </c>
    </row>
    <row r="8">
      <c r="A8" s="2" t="inlineStr">
        <is>
          <t>Gross Profit</t>
        </is>
      </c>
      <c r="C8" s="5" t="n">
        <v>181.3</v>
      </c>
      <c r="D8" s="5" t="n">
        <v>218.7</v>
      </c>
      <c r="E8" s="5" t="n">
        <v>189.9</v>
      </c>
      <c r="F8" s="5" t="n">
        <v>211.2</v>
      </c>
    </row>
    <row r="9">
      <c r="A9" s="4" t="inlineStr">
        <is>
          <t xml:space="preserve">  Gross Margin</t>
        </is>
      </c>
      <c r="C9" s="11" t="n">
        <v>0.1464458804523425</v>
      </c>
      <c r="D9" s="11" t="n">
        <v>0.1417552501944516</v>
      </c>
      <c r="E9" s="11" t="n">
        <v>0.1234800702256324</v>
      </c>
      <c r="F9" s="11" t="n">
        <v>0.1278837420526794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37.6</v>
      </c>
      <c r="D12" s="5" t="n">
        <v>39.9</v>
      </c>
      <c r="E12" s="5" t="n">
        <v>37.5</v>
      </c>
      <c r="F12" s="5" t="n">
        <v>43.6</v>
      </c>
    </row>
    <row r="13">
      <c r="A13" s="2" t="inlineStr">
        <is>
          <t>Operating Income (EBIT)</t>
        </is>
      </c>
      <c r="C13" s="5" t="n">
        <v>143.7</v>
      </c>
      <c r="D13" s="5" t="n">
        <v>178.8</v>
      </c>
      <c r="E13" s="5" t="n">
        <v>152.4</v>
      </c>
      <c r="F13" s="5" t="n">
        <v>167.6</v>
      </c>
    </row>
    <row r="14">
      <c r="A14" s="4" t="inlineStr">
        <is>
          <t xml:space="preserve">  EBIT Margin</t>
        </is>
      </c>
      <c r="C14" s="11" t="n">
        <v>0.1160743134087237</v>
      </c>
      <c r="D14" s="11" t="n">
        <v>0.1158931812289344</v>
      </c>
      <c r="E14" s="11" t="n">
        <v>0.09909617010208727</v>
      </c>
      <c r="F14" s="11" t="n">
        <v>0.1014834998486225</v>
      </c>
    </row>
    <row r="16">
      <c r="A16" s="4" t="inlineStr">
        <is>
          <t>Interest Expense</t>
        </is>
      </c>
      <c r="C16" s="5" t="n">
        <v>15.3</v>
      </c>
      <c r="D16" s="5" t="n">
        <v>23.2</v>
      </c>
      <c r="E16" s="5" t="n">
        <v>28.7</v>
      </c>
      <c r="F16" s="5" t="n">
        <v>37.1</v>
      </c>
    </row>
    <row r="17">
      <c r="A17" s="4" t="inlineStr">
        <is>
          <t>Tax Provision</t>
        </is>
      </c>
      <c r="C17" s="5" t="n">
        <v>25.2</v>
      </c>
      <c r="D17" s="5" t="n">
        <v>33</v>
      </c>
      <c r="E17" s="5" t="n">
        <v>33</v>
      </c>
      <c r="F17" s="5" t="n">
        <v>22.1</v>
      </c>
    </row>
    <row r="18">
      <c r="A18" s="2" t="inlineStr">
        <is>
          <t>Net Income</t>
        </is>
      </c>
      <c r="C18" s="5" t="n">
        <v>101</v>
      </c>
      <c r="D18" s="5" t="n">
        <v>121.8</v>
      </c>
      <c r="E18" s="5" t="n">
        <v>59.1</v>
      </c>
      <c r="F18" s="5" t="n">
        <v>53.8</v>
      </c>
    </row>
    <row r="19">
      <c r="A19" s="4" t="inlineStr">
        <is>
          <t xml:space="preserve">  Net Margin</t>
        </is>
      </c>
      <c r="C19" s="11" t="n">
        <v>0.0815831987075929</v>
      </c>
      <c r="D19" s="11" t="n">
        <v>0.07894736842105263</v>
      </c>
      <c r="E19" s="11" t="n">
        <v>0.03842902659470707</v>
      </c>
      <c r="F19" s="11" t="n">
        <v>0.03257644565546473</v>
      </c>
    </row>
    <row r="21">
      <c r="A21" s="2" t="inlineStr">
        <is>
          <t>EBITDA</t>
        </is>
      </c>
      <c r="C21" s="5" t="n">
        <v>212.2</v>
      </c>
      <c r="D21" s="5" t="n">
        <v>263.8</v>
      </c>
      <c r="E21" s="5" t="n">
        <v>220.1</v>
      </c>
      <c r="F21" s="5" t="n">
        <v>213.6</v>
      </c>
    </row>
    <row r="22">
      <c r="A22" s="4" t="inlineStr">
        <is>
          <t xml:space="preserve">  EBITDA Margin</t>
        </is>
      </c>
      <c r="C22" s="11" t="n">
        <v>0.17140549273021</v>
      </c>
      <c r="D22" s="11" t="n">
        <v>0.1709878143634949</v>
      </c>
      <c r="E22" s="11" t="n">
        <v>0.143117237791794</v>
      </c>
      <c r="F22" s="11" t="n">
        <v>0.1293369663941871</v>
      </c>
    </row>
    <row r="23">
      <c r="A23" s="4" t="inlineStr">
        <is>
          <t>Diluted EPS</t>
        </is>
      </c>
      <c r="C23" s="12" t="n">
        <v>0.42</v>
      </c>
      <c r="D23" s="12" t="n">
        <v>0.509</v>
      </c>
      <c r="E23" s="12" t="n">
        <v>0.248</v>
      </c>
      <c r="F23" s="12" t="n">
        <v>0.227</v>
      </c>
    </row>
    <row r="24">
      <c r="A24" s="4" t="inlineStr">
        <is>
          <t>D&amp;A</t>
        </is>
      </c>
      <c r="C24" s="5" t="n">
        <v>70.7</v>
      </c>
      <c r="D24" s="5" t="n">
        <v>85.8</v>
      </c>
      <c r="E24" s="5" t="n">
        <v>99.3</v>
      </c>
      <c r="F24" s="5" t="n">
        <v>100.6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92.09999999999999</v>
      </c>
      <c r="D28" s="5" t="n">
        <v>121.6</v>
      </c>
      <c r="E28" s="5" t="n">
        <v>99.3</v>
      </c>
      <c r="F28" s="5" t="n">
        <v>79.7</v>
      </c>
    </row>
    <row r="29">
      <c r="A29" s="4" t="inlineStr">
        <is>
          <t>Current Assets</t>
        </is>
      </c>
      <c r="C29" s="5" t="n">
        <v>428.7</v>
      </c>
      <c r="D29" s="5" t="n">
        <v>512.7</v>
      </c>
      <c r="E29" s="5" t="n">
        <v>536</v>
      </c>
      <c r="F29" s="5" t="n">
        <v>610.9</v>
      </c>
    </row>
    <row r="30">
      <c r="A30" s="4" t="inlineStr">
        <is>
          <t>Net PP&amp;E</t>
        </is>
      </c>
      <c r="C30" s="5" t="n">
        <v>406.1</v>
      </c>
      <c r="D30" s="5" t="n">
        <v>513.5</v>
      </c>
      <c r="E30" s="5" t="n">
        <v>573.2</v>
      </c>
      <c r="F30" s="5" t="n">
        <v>551</v>
      </c>
    </row>
    <row r="31">
      <c r="A31" s="4" t="inlineStr">
        <is>
          <t>Goodwill</t>
        </is>
      </c>
      <c r="C31" s="5" t="n">
        <v>165.1</v>
      </c>
      <c r="D31" s="5" t="n">
        <v>182.8</v>
      </c>
      <c r="E31" s="5" t="n">
        <v>199.3</v>
      </c>
      <c r="F31" s="5" t="n">
        <v>231.2</v>
      </c>
    </row>
    <row r="32">
      <c r="A32" s="2" t="inlineStr">
        <is>
          <t>Total Assets</t>
        </is>
      </c>
      <c r="C32" s="5" t="n">
        <v>1030</v>
      </c>
      <c r="D32" s="5" t="n">
        <v>1235</v>
      </c>
      <c r="E32" s="5" t="n">
        <v>1327.4</v>
      </c>
      <c r="F32" s="5" t="n">
        <v>1475.6</v>
      </c>
    </row>
    <row r="34">
      <c r="A34" s="4" t="inlineStr">
        <is>
          <t>Current Liabilities</t>
        </is>
      </c>
      <c r="C34" s="5" t="n">
        <v>249.8</v>
      </c>
      <c r="D34" s="5" t="n">
        <v>272.8</v>
      </c>
      <c r="E34" s="5" t="n">
        <v>274.3</v>
      </c>
      <c r="F34" s="5" t="n">
        <v>313.8</v>
      </c>
    </row>
    <row r="35">
      <c r="A35" s="4" t="inlineStr">
        <is>
          <t>Total Debt</t>
        </is>
      </c>
      <c r="C35" s="5" t="n">
        <v>459.2</v>
      </c>
      <c r="D35" s="5" t="n">
        <v>530.4</v>
      </c>
      <c r="E35" s="5" t="n">
        <v>573.7</v>
      </c>
      <c r="F35" s="5" t="n">
        <v>647.4</v>
      </c>
    </row>
    <row r="36">
      <c r="A36" s="2" t="inlineStr">
        <is>
          <t>Total Liabilities</t>
        </is>
      </c>
      <c r="C36" s="5" t="n">
        <v>668.7</v>
      </c>
      <c r="D36" s="5" t="n">
        <v>765.7</v>
      </c>
      <c r="E36" s="5" t="n">
        <v>804.4</v>
      </c>
      <c r="F36" s="5" t="n">
        <v>936</v>
      </c>
    </row>
    <row r="38">
      <c r="A38" s="2" t="inlineStr">
        <is>
          <t>Total Equity</t>
        </is>
      </c>
      <c r="C38" s="5" t="n">
        <v>361.3</v>
      </c>
      <c r="D38" s="5" t="n">
        <v>469.3</v>
      </c>
      <c r="E38" s="5" t="n">
        <v>523</v>
      </c>
      <c r="F38" s="5" t="n">
        <v>539.6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170.3</v>
      </c>
      <c r="D42" s="5" t="n">
        <v>211.9</v>
      </c>
      <c r="E42" s="5" t="n">
        <v>191.3</v>
      </c>
      <c r="F42" s="5" t="n">
        <v>183.7</v>
      </c>
    </row>
    <row r="43">
      <c r="A43" s="4" t="inlineStr">
        <is>
          <t>Capital Expenditure</t>
        </is>
      </c>
      <c r="C43" s="5" t="n">
        <v>-44</v>
      </c>
      <c r="D43" s="5" t="n">
        <v>-77.7</v>
      </c>
      <c r="E43" s="5" t="n">
        <v>-84</v>
      </c>
      <c r="F43" s="5" t="n">
        <v>-75.40000000000001</v>
      </c>
    </row>
    <row r="44">
      <c r="A44" s="2" t="inlineStr">
        <is>
          <t>Free Cash Flow</t>
        </is>
      </c>
      <c r="C44" s="5" t="n">
        <v>126.3</v>
      </c>
      <c r="D44" s="5" t="n">
        <v>134.2</v>
      </c>
      <c r="E44" s="5" t="n">
        <v>107.3</v>
      </c>
      <c r="F44" s="5" t="n">
        <v>108.3</v>
      </c>
    </row>
    <row r="46">
      <c r="A46" s="4" t="inlineStr">
        <is>
          <t>D&amp;A</t>
        </is>
      </c>
      <c r="C46" s="5" t="n">
        <v>70.7</v>
      </c>
      <c r="D46" s="5" t="n">
        <v>85.8</v>
      </c>
      <c r="E46" s="5" t="n">
        <v>99.3</v>
      </c>
      <c r="F46" s="5" t="n">
        <v>100.6</v>
      </c>
    </row>
    <row r="47">
      <c r="A47" s="4" t="inlineStr">
        <is>
          <t>Stock-Based Compensation</t>
        </is>
      </c>
      <c r="C47" s="5" t="n">
        <v>3.2</v>
      </c>
      <c r="D47" s="5" t="n">
        <v>3.5</v>
      </c>
      <c r="E47" s="5" t="n">
        <v>2.1</v>
      </c>
      <c r="F47" s="5" t="n">
        <v>1.8</v>
      </c>
    </row>
    <row r="48">
      <c r="A48" s="4" t="inlineStr">
        <is>
          <t>Change in Working Capital</t>
        </is>
      </c>
      <c r="C48" s="5" t="n">
        <v>-29.6</v>
      </c>
      <c r="D48" s="5" t="n">
        <v>-27.9</v>
      </c>
      <c r="E48" s="5" t="n">
        <v>-22.4</v>
      </c>
      <c r="F48" s="5" t="n">
        <v>-44.4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Watches of Switzerland Group PLC (WOSG.L)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1238</v>
      </c>
      <c r="D8" s="5" t="n">
        <v>1542.8</v>
      </c>
      <c r="E8" s="5" t="n">
        <v>1537.9</v>
      </c>
      <c r="F8" s="5" t="n">
        <v>1651.5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1056.7</v>
      </c>
      <c r="D16" s="5" t="n">
        <v>1324.1</v>
      </c>
      <c r="E16" s="5" t="n">
        <v>1348</v>
      </c>
      <c r="F16" s="5" t="n">
        <v>1440.3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37.6</v>
      </c>
      <c r="D20" s="5" t="n">
        <v>39.9</v>
      </c>
      <c r="E20" s="5" t="n">
        <v>37.5</v>
      </c>
      <c r="F20" s="5" t="n">
        <v>43.6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70.7</v>
      </c>
      <c r="D22" s="5" t="n">
        <v>85.8</v>
      </c>
      <c r="E22" s="5" t="n">
        <v>99.3</v>
      </c>
      <c r="F22" s="5" t="n">
        <v>100.6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15.3</v>
      </c>
      <c r="D29" s="5" t="n">
        <v>23.2</v>
      </c>
      <c r="E29" s="5" t="n">
        <v>28.7</v>
      </c>
      <c r="F29" s="5" t="n">
        <v>37.1</v>
      </c>
      <c r="G29" s="5" t="n">
        <v>37.1</v>
      </c>
      <c r="H29" s="5" t="n">
        <v>37.1</v>
      </c>
      <c r="I29" s="5" t="n">
        <v>37.1</v>
      </c>
      <c r="J29" s="5" t="n">
        <v>37.1</v>
      </c>
      <c r="K29" s="5" t="n">
        <v>37.1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25.2</v>
      </c>
      <c r="D31" s="5" t="n">
        <v>33</v>
      </c>
      <c r="E31" s="5" t="n">
        <v>33</v>
      </c>
      <c r="F31" s="5" t="n">
        <v>22.1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-29.6</v>
      </c>
      <c r="D39" s="5" t="n">
        <v>-27.9</v>
      </c>
      <c r="E39" s="5" t="n">
        <v>-22.4</v>
      </c>
      <c r="F39" s="5" t="n">
        <v>-44.4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-44</v>
      </c>
      <c r="D42" s="5" t="n">
        <v>-77.7</v>
      </c>
      <c r="E42" s="5" t="n">
        <v>-84</v>
      </c>
      <c r="F42" s="5" t="n">
        <v>-75.40000000000001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Watches of Switzerland Group PLC (WOSG.L)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477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-567.7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231.412113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C33/477.0-1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0.0784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0.08839999999999999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0.0984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0.1084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0.1184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0.1284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0.1384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2026-03-11T22:43:02Z</dcterms:created>
  <dcterms:modified xmlns:dcterms="http://purl.org/dc/terms/" xmlns:xsi="http://www.w3.org/2001/XMLSchema-instance" xsi:type="dcterms:W3CDTF">2026-03-11T22:43:02Z</dcterms:modified>
</cp:coreProperties>
</file>