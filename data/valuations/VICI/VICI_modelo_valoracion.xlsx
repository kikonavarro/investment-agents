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VICI Properties Inc. (VICI)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REIT - Diversified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2600.697</v>
      </c>
      <c r="D7" s="5" t="n">
        <v>3611.988</v>
      </c>
      <c r="E7" s="5" t="n">
        <v>3849.205</v>
      </c>
      <c r="F7" s="5" t="n">
        <v>4006.116</v>
      </c>
    </row>
    <row r="8">
      <c r="A8" s="4" t="inlineStr">
        <is>
          <t xml:space="preserve">  Revenue Growth - Base</t>
        </is>
      </c>
      <c r="G8" s="6" t="n">
        <v>0.038</v>
      </c>
      <c r="H8" s="6" t="n">
        <v>0.0342</v>
      </c>
      <c r="I8" s="6" t="n">
        <v>0.0304</v>
      </c>
      <c r="J8" s="6" t="n">
        <v>0.0266</v>
      </c>
      <c r="K8" s="6" t="n">
        <v>0.0228</v>
      </c>
    </row>
    <row r="9">
      <c r="A9" s="4" t="inlineStr">
        <is>
          <t xml:space="preserve">  Revenue Growth - Bull</t>
        </is>
      </c>
      <c r="G9" s="6" t="n">
        <v>0.053</v>
      </c>
      <c r="H9" s="6" t="n">
        <v>0.0477</v>
      </c>
      <c r="I9" s="6" t="n">
        <v>0.0424</v>
      </c>
      <c r="J9" s="6" t="n">
        <v>0.03709999999999999</v>
      </c>
      <c r="K9" s="6" t="n">
        <v>0.03179999999999999</v>
      </c>
    </row>
    <row r="10">
      <c r="A10" s="4" t="inlineStr">
        <is>
          <t xml:space="preserve">  Revenue Growth - Bear</t>
        </is>
      </c>
      <c r="G10" s="6" t="n">
        <v>0.023</v>
      </c>
      <c r="H10" s="6" t="n">
        <v>0.0207</v>
      </c>
      <c r="I10" s="6" t="n">
        <v>0.0184</v>
      </c>
      <c r="J10" s="6" t="n">
        <v>0.0161</v>
      </c>
      <c r="K10" s="6" t="n">
        <v>0.0138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0.95</v>
      </c>
      <c r="H15" s="6" t="n">
        <v>0.95</v>
      </c>
      <c r="I15" s="6" t="n">
        <v>0.95</v>
      </c>
      <c r="J15" s="6" t="n">
        <v>0.95</v>
      </c>
      <c r="K15" s="6" t="n">
        <v>0.95</v>
      </c>
    </row>
    <row r="16">
      <c r="A16" s="4" t="inlineStr">
        <is>
          <t>Gross Margin - Bull</t>
        </is>
      </c>
      <c r="G16" s="6" t="n">
        <v>0.95</v>
      </c>
      <c r="H16" s="6" t="n">
        <v>0.95</v>
      </c>
      <c r="I16" s="6" t="n">
        <v>0.95</v>
      </c>
      <c r="J16" s="6" t="n">
        <v>0.95</v>
      </c>
      <c r="K16" s="6" t="n">
        <v>0.95</v>
      </c>
    </row>
    <row r="17">
      <c r="A17" s="4" t="inlineStr">
        <is>
          <t>Gross Margin - Bear</t>
        </is>
      </c>
      <c r="G17" s="6" t="n">
        <v>0.95</v>
      </c>
      <c r="H17" s="6" t="n">
        <v>0.95</v>
      </c>
      <c r="I17" s="6" t="n">
        <v>0.95</v>
      </c>
      <c r="J17" s="6" t="n">
        <v>0.95</v>
      </c>
      <c r="K17" s="6" t="n">
        <v>0.95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0.01732213033906427</v>
      </c>
      <c r="H20" s="6" t="n">
        <v>0.01732213033906427</v>
      </c>
      <c r="I20" s="6" t="n">
        <v>0.01732213033906427</v>
      </c>
      <c r="J20" s="6" t="n">
        <v>0.01732213033906427</v>
      </c>
      <c r="K20" s="6" t="n">
        <v>0.01732213033906427</v>
      </c>
    </row>
    <row r="21">
      <c r="A21" s="4" t="inlineStr">
        <is>
          <t>SG&amp;A % Revenue - Bull</t>
        </is>
      </c>
      <c r="G21" s="6" t="n">
        <v>0.01232213033906427</v>
      </c>
      <c r="H21" s="6" t="n">
        <v>0.01232213033906427</v>
      </c>
      <c r="I21" s="6" t="n">
        <v>0.01232213033906427</v>
      </c>
      <c r="J21" s="6" t="n">
        <v>0.01232213033906427</v>
      </c>
      <c r="K21" s="6" t="n">
        <v>0.01232213033906427</v>
      </c>
    </row>
    <row r="22">
      <c r="A22" s="4" t="inlineStr">
        <is>
          <t>SG&amp;A % Revenue - Bear</t>
        </is>
      </c>
      <c r="G22" s="6" t="n">
        <v>0.02232213033906427</v>
      </c>
      <c r="H22" s="6" t="n">
        <v>0.02232213033906427</v>
      </c>
      <c r="I22" s="6" t="n">
        <v>0.02232213033906427</v>
      </c>
      <c r="J22" s="6" t="n">
        <v>0.02232213033906427</v>
      </c>
      <c r="K22" s="6" t="n">
        <v>0.02232213033906427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0.001098239082520027</v>
      </c>
      <c r="H30" s="6" t="n">
        <v>0.001098239082520027</v>
      </c>
      <c r="I30" s="6" t="n">
        <v>0.001098239082520027</v>
      </c>
      <c r="J30" s="6" t="n">
        <v>0.001098239082520027</v>
      </c>
      <c r="K30" s="6" t="n">
        <v>0.001098239082520027</v>
      </c>
    </row>
    <row r="31">
      <c r="A31" s="4" t="inlineStr">
        <is>
          <t>CapEx % Revenue</t>
        </is>
      </c>
      <c r="G31" s="6" t="n">
        <v>0.0009192292157294802</v>
      </c>
      <c r="H31" s="6" t="n">
        <v>0.0009192292157294802</v>
      </c>
      <c r="I31" s="6" t="n">
        <v>0.0009192292157294802</v>
      </c>
      <c r="J31" s="6" t="n">
        <v>0.0009192292157294802</v>
      </c>
      <c r="K31" s="6" t="n">
        <v>0.0009192292157294802</v>
      </c>
    </row>
    <row r="32">
      <c r="A32" s="4" t="inlineStr">
        <is>
          <t>Tax Rate</t>
        </is>
      </c>
      <c r="G32" s="6" t="n">
        <v>0.001750327587286244</v>
      </c>
      <c r="H32" s="6" t="n">
        <v>0.001750327587286244</v>
      </c>
      <c r="I32" s="6" t="n">
        <v>0.001750327587286244</v>
      </c>
      <c r="J32" s="6" t="n">
        <v>0.001750327587286244</v>
      </c>
      <c r="K32" s="6" t="n">
        <v>0.001750327587286244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0.0711</v>
      </c>
    </row>
    <row r="36">
      <c r="A36" s="4" t="inlineStr">
        <is>
          <t>WACC - Bull</t>
        </is>
      </c>
      <c r="C36" s="6" t="n">
        <v>0.06109999999999999</v>
      </c>
    </row>
    <row r="37">
      <c r="A37" s="4" t="inlineStr">
        <is>
          <t>WACC - Bear</t>
        </is>
      </c>
      <c r="C37" s="6" t="n">
        <v>0.08109999999999999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14</v>
      </c>
    </row>
    <row r="42">
      <c r="A42" s="4" t="inlineStr">
        <is>
          <t>Terminal Value Multiple - Bear</t>
        </is>
      </c>
      <c r="C42" s="9" t="n">
        <v>10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VICI Properties Inc. (VICI)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2600.697</v>
      </c>
      <c r="D6" s="5" t="n">
        <v>3611.988</v>
      </c>
      <c r="E6" s="5" t="n">
        <v>3849.205</v>
      </c>
      <c r="F6" s="5" t="n">
        <v>4006.116</v>
      </c>
    </row>
    <row r="7">
      <c r="A7" s="4" t="inlineStr">
        <is>
          <t>Cost of Revenue</t>
        </is>
      </c>
      <c r="C7" s="5" t="n">
        <v>22.602</v>
      </c>
      <c r="D7" s="5" t="n">
        <v>27.089</v>
      </c>
      <c r="E7" s="5" t="n">
        <v>26.895</v>
      </c>
      <c r="F7" s="5" t="n">
        <v>26.73</v>
      </c>
    </row>
    <row r="8">
      <c r="A8" s="2" t="inlineStr">
        <is>
          <t>Gross Profit</t>
        </is>
      </c>
      <c r="C8" s="5" t="n">
        <v>2578.095</v>
      </c>
      <c r="D8" s="5" t="n">
        <v>3584.899</v>
      </c>
      <c r="E8" s="5" t="n">
        <v>3822.31</v>
      </c>
      <c r="F8" s="5" t="n">
        <v>3979.386</v>
      </c>
    </row>
    <row r="9">
      <c r="A9" s="4" t="inlineStr">
        <is>
          <t xml:space="preserve">  Gross Margin</t>
        </is>
      </c>
      <c r="C9" s="11" t="n">
        <v>0.9913092528656741</v>
      </c>
      <c r="D9" s="11" t="n">
        <v>0.9925002519388215</v>
      </c>
      <c r="E9" s="11" t="n">
        <v>0.9930128429117181</v>
      </c>
      <c r="F9" s="11" t="n">
        <v>0.993327701943728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48.34</v>
      </c>
      <c r="D12" s="5" t="n">
        <v>59.603</v>
      </c>
      <c r="E12" s="5" t="n">
        <v>69.10899999999999</v>
      </c>
      <c r="F12" s="5" t="n">
        <v>65.08199999999999</v>
      </c>
    </row>
    <row r="13">
      <c r="A13" s="2" t="inlineStr">
        <is>
          <t>Operating Income (EBIT)</t>
        </is>
      </c>
      <c r="C13" s="5" t="n">
        <v>1632.45</v>
      </c>
      <c r="D13" s="5" t="n">
        <v>3344.848</v>
      </c>
      <c r="E13" s="5" t="n">
        <v>3544.934</v>
      </c>
      <c r="F13" s="5" t="n">
        <v>3655.301</v>
      </c>
    </row>
    <row r="14">
      <c r="A14" s="4" t="inlineStr">
        <is>
          <t xml:space="preserve">  EBIT Margin</t>
        </is>
      </c>
      <c r="C14" s="11" t="n">
        <v>0.627697113504572</v>
      </c>
      <c r="D14" s="11" t="n">
        <v>0.9260407288174822</v>
      </c>
      <c r="E14" s="11" t="n">
        <v>0.9209522485812005</v>
      </c>
      <c r="F14" s="11" t="n">
        <v>0.912430144309351</v>
      </c>
    </row>
    <row r="16">
      <c r="A16" s="4" t="inlineStr">
        <is>
          <t>Interest Expense</t>
        </is>
      </c>
      <c r="C16" s="5" t="n">
        <v>539.953</v>
      </c>
      <c r="D16" s="5" t="n">
        <v>818.056</v>
      </c>
      <c r="E16" s="5" t="n">
        <v>826.097</v>
      </c>
      <c r="F16" s="5" t="n">
        <v>843.614</v>
      </c>
    </row>
    <row r="17">
      <c r="A17" s="4" t="inlineStr">
        <is>
          <t>Tax Provision</t>
        </is>
      </c>
      <c r="C17" s="5" t="n">
        <v>2.876</v>
      </c>
      <c r="D17" s="5" t="n">
        <v>-6.141</v>
      </c>
      <c r="E17" s="5" t="n">
        <v>9.704000000000001</v>
      </c>
      <c r="F17" s="5" t="n">
        <v>2.435</v>
      </c>
    </row>
    <row r="18">
      <c r="A18" s="2" t="inlineStr">
        <is>
          <t>Net Income</t>
        </is>
      </c>
      <c r="C18" s="5" t="n">
        <v>1117.635</v>
      </c>
      <c r="D18" s="5" t="n">
        <v>2513.54</v>
      </c>
      <c r="E18" s="5" t="n">
        <v>2678.81</v>
      </c>
      <c r="F18" s="5" t="n">
        <v>2775.493</v>
      </c>
    </row>
    <row r="19">
      <c r="A19" s="4" t="inlineStr">
        <is>
          <t xml:space="preserve">  Net Margin</t>
        </is>
      </c>
      <c r="C19" s="11" t="n">
        <v>0.4297444108252518</v>
      </c>
      <c r="D19" s="11" t="n">
        <v>0.6958882476907454</v>
      </c>
      <c r="E19" s="11" t="n">
        <v>0.6959385119784475</v>
      </c>
      <c r="F19" s="11" t="n">
        <v>0.6928139374895784</v>
      </c>
    </row>
    <row r="21">
      <c r="A21" s="2" t="inlineStr">
        <is>
          <t>EBITDA</t>
        </is>
      </c>
      <c r="C21" s="5" t="n">
        <v>1682.278</v>
      </c>
      <c r="D21" s="5" t="n">
        <v>3370.835</v>
      </c>
      <c r="E21" s="5" t="n">
        <v>3561.168</v>
      </c>
      <c r="F21" s="5" t="n">
        <v>3668.23</v>
      </c>
    </row>
    <row r="22">
      <c r="A22" s="4" t="inlineStr">
        <is>
          <t xml:space="preserve">  EBITDA Margin</t>
        </is>
      </c>
      <c r="C22" s="11" t="n">
        <v>0.6468565926749636</v>
      </c>
      <c r="D22" s="11" t="n">
        <v>0.93323538173438</v>
      </c>
      <c r="E22" s="11" t="n">
        <v>0.9251697428430027</v>
      </c>
      <c r="F22" s="11" t="n">
        <v>0.9156574597440513</v>
      </c>
    </row>
    <row r="23">
      <c r="A23" s="4" t="inlineStr">
        <is>
          <t>Diluted EPS</t>
        </is>
      </c>
      <c r="C23" s="12" t="n">
        <v>1.27</v>
      </c>
      <c r="D23" s="12" t="n">
        <v>2.47</v>
      </c>
      <c r="E23" s="12" t="n">
        <v>2.56</v>
      </c>
      <c r="F23" s="12" t="n">
        <v>2.61</v>
      </c>
    </row>
    <row r="24">
      <c r="A24" s="4" t="inlineStr">
        <is>
          <t>D&amp;A</t>
        </is>
      </c>
      <c r="C24" s="5" t="n">
        <v>3.182</v>
      </c>
      <c r="D24" s="5" t="n">
        <v>4.298</v>
      </c>
      <c r="E24" s="5" t="n">
        <v>4.125</v>
      </c>
      <c r="F24" s="5" t="n">
        <v>3.637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208.933</v>
      </c>
      <c r="D28" s="5" t="n">
        <v>522.574</v>
      </c>
      <c r="E28" s="5" t="n">
        <v>524.615</v>
      </c>
      <c r="F28" s="5" t="n">
        <v>563.479</v>
      </c>
    </row>
    <row r="29">
      <c r="A29" s="4" t="inlineStr">
        <is>
          <t>Current Assets</t>
        </is>
      </c>
      <c r="C29" s="5" t="n">
        <v>17193.276</v>
      </c>
      <c r="D29" s="5" t="n">
        <v>18763.651</v>
      </c>
      <c r="E29" s="5" t="n">
        <v>18980.881</v>
      </c>
      <c r="F29" s="5" t="n">
        <v>19339.997</v>
      </c>
    </row>
    <row r="30">
      <c r="A30" s="4" t="inlineStr">
        <is>
          <t>Net PP&amp;E</t>
        </is>
      </c>
      <c r="C30" s="5" t="n">
        <v>876.726</v>
      </c>
      <c r="D30" s="5" t="n">
        <v>952.621</v>
      </c>
      <c r="E30" s="5" t="n">
        <v>967.2670000000001</v>
      </c>
      <c r="F30" s="5" t="n">
        <v>960.926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37575.826</v>
      </c>
      <c r="D32" s="5" t="n">
        <v>44059.841</v>
      </c>
      <c r="E32" s="5" t="n">
        <v>45368.94</v>
      </c>
      <c r="F32" s="5" t="n">
        <v>46724.168</v>
      </c>
    </row>
    <row r="34">
      <c r="A34" s="4" t="inlineStr">
        <is>
          <t>Current Liabilities</t>
        </is>
      </c>
      <c r="C34" s="5" t="n">
        <v>593.566</v>
      </c>
      <c r="D34" s="5" t="n">
        <v>664.84</v>
      </c>
      <c r="E34" s="5" t="n">
        <v>679.91</v>
      </c>
      <c r="F34" s="5" t="n">
        <v>724.974</v>
      </c>
    </row>
    <row r="35">
      <c r="A35" s="4" t="inlineStr">
        <is>
          <t>Total Debt</t>
        </is>
      </c>
      <c r="C35" s="5" t="n">
        <v>14568.973</v>
      </c>
      <c r="D35" s="5" t="n">
        <v>17628.522</v>
      </c>
      <c r="E35" s="5" t="n">
        <v>17650.085</v>
      </c>
      <c r="F35" s="5" t="n">
        <v>17689.74</v>
      </c>
    </row>
    <row r="36">
      <c r="A36" s="2" t="inlineStr">
        <is>
          <t>Total Liabilities</t>
        </is>
      </c>
      <c r="C36" s="5" t="n">
        <v>15285.713</v>
      </c>
      <c r="D36" s="5" t="n">
        <v>18402.067</v>
      </c>
      <c r="E36" s="5" t="n">
        <v>18417.139</v>
      </c>
      <c r="F36" s="5" t="n">
        <v>18501.581</v>
      </c>
    </row>
    <row r="38">
      <c r="A38" s="2" t="inlineStr">
        <is>
          <t>Total Equity</t>
        </is>
      </c>
      <c r="C38" s="5" t="n">
        <v>22290.113</v>
      </c>
      <c r="D38" s="5" t="n">
        <v>25657.774</v>
      </c>
      <c r="E38" s="5" t="n">
        <v>26951.801</v>
      </c>
      <c r="F38" s="5" t="n">
        <v>28222.587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1943.396</v>
      </c>
      <c r="D42" s="5" t="n">
        <v>2181.009</v>
      </c>
      <c r="E42" s="5" t="n">
        <v>2381.498</v>
      </c>
      <c r="F42" s="5" t="n">
        <v>2509.991</v>
      </c>
    </row>
    <row r="43">
      <c r="A43" s="4" t="inlineStr">
        <is>
          <t>Capital Expenditure</t>
        </is>
      </c>
      <c r="C43" s="5" t="n">
        <v>-1.876</v>
      </c>
      <c r="D43" s="5" t="n">
        <v>-4.035</v>
      </c>
      <c r="E43" s="5" t="n">
        <v>-7.526</v>
      </c>
      <c r="F43" s="5" t="n">
        <v>-1.335</v>
      </c>
    </row>
    <row r="44">
      <c r="A44" s="2" t="inlineStr">
        <is>
          <t>Free Cash Flow</t>
        </is>
      </c>
      <c r="C44" s="5" t="n">
        <v>1941.52</v>
      </c>
      <c r="D44" s="5" t="n">
        <v>2176.974</v>
      </c>
      <c r="E44" s="5" t="n">
        <v>2373.972</v>
      </c>
      <c r="F44" s="5" t="n">
        <v>2508.656</v>
      </c>
    </row>
    <row r="46">
      <c r="A46" s="4" t="inlineStr">
        <is>
          <t>D&amp;A</t>
        </is>
      </c>
      <c r="C46" s="5" t="n">
        <v>3.182</v>
      </c>
      <c r="D46" s="5" t="n">
        <v>4.298</v>
      </c>
      <c r="E46" s="5" t="n">
        <v>4.125</v>
      </c>
      <c r="F46" s="5" t="n">
        <v>3.637</v>
      </c>
    </row>
    <row r="47">
      <c r="A47" s="4" t="inlineStr">
        <is>
          <t>Stock-Based Compensation</t>
        </is>
      </c>
      <c r="C47" s="5" t="n">
        <v>12.986</v>
      </c>
      <c r="D47" s="5" t="n">
        <v>15.536</v>
      </c>
      <c r="E47" s="5" t="n">
        <v>17.511</v>
      </c>
      <c r="F47" s="5" t="n">
        <v>16.195</v>
      </c>
    </row>
    <row r="48">
      <c r="A48" s="4" t="inlineStr">
        <is>
          <t>Change in Working Capital</t>
        </is>
      </c>
      <c r="C48" s="5" t="n">
        <v>46.446</v>
      </c>
      <c r="D48" s="5" t="n">
        <v>-14.017</v>
      </c>
      <c r="E48" s="5" t="n">
        <v>-11.52</v>
      </c>
      <c r="F48" s="5" t="n">
        <v>10.998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VICI Properties Inc. (VICI)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REIT - Diversified</t>
        </is>
      </c>
      <c r="C8" s="5" t="n">
        <v>2600.697</v>
      </c>
      <c r="D8" s="5" t="n">
        <v>3611.988</v>
      </c>
      <c r="E8" s="5" t="n">
        <v>3849.205</v>
      </c>
      <c r="F8" s="5" t="n">
        <v>4006.116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22.602</v>
      </c>
      <c r="D16" s="5" t="n">
        <v>27.089</v>
      </c>
      <c r="E16" s="5" t="n">
        <v>26.895</v>
      </c>
      <c r="F16" s="5" t="n">
        <v>26.73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48.34</v>
      </c>
      <c r="D20" s="5" t="n">
        <v>59.603</v>
      </c>
      <c r="E20" s="5" t="n">
        <v>69.10899999999999</v>
      </c>
      <c r="F20" s="5" t="n">
        <v>65.08199999999999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3.182</v>
      </c>
      <c r="D22" s="5" t="n">
        <v>4.298</v>
      </c>
      <c r="E22" s="5" t="n">
        <v>4.125</v>
      </c>
      <c r="F22" s="5" t="n">
        <v>3.637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539.953</v>
      </c>
      <c r="D29" s="5" t="n">
        <v>818.056</v>
      </c>
      <c r="E29" s="5" t="n">
        <v>826.097</v>
      </c>
      <c r="F29" s="5" t="n">
        <v>843.614</v>
      </c>
      <c r="G29" s="5" t="n">
        <v>843.614</v>
      </c>
      <c r="H29" s="5" t="n">
        <v>843.614</v>
      </c>
      <c r="I29" s="5" t="n">
        <v>843.614</v>
      </c>
      <c r="J29" s="5" t="n">
        <v>843.614</v>
      </c>
      <c r="K29" s="5" t="n">
        <v>843.614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2.876</v>
      </c>
      <c r="D31" s="5" t="n">
        <v>-6.141</v>
      </c>
      <c r="E31" s="5" t="n">
        <v>9.704000000000001</v>
      </c>
      <c r="F31" s="5" t="n">
        <v>2.435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46.446</v>
      </c>
      <c r="D39" s="5" t="n">
        <v>-14.017</v>
      </c>
      <c r="E39" s="5" t="n">
        <v>-11.52</v>
      </c>
      <c r="F39" s="5" t="n">
        <v>10.998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-1.876</v>
      </c>
      <c r="D42" s="5" t="n">
        <v>-4.035</v>
      </c>
      <c r="E42" s="5" t="n">
        <v>-7.526</v>
      </c>
      <c r="F42" s="5" t="n">
        <v>-1.335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VICI Properties Inc. (VICI)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26.61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-17126.261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1068.988999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C33/26.61-1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0.0411</v>
      </c>
      <c r="C39" s="22">
        <f>(G$12/(1+$A$39)^1+H$12/(1+$A$39)^2+I$12/(1+$A$39)^3+J$12/(1+$A$39)^4+K$12/(1+$A$39)^5+K$8*8/(1+$A$39)^5+$C$29)/$C$32</f>
        <v/>
      </c>
      <c r="D39" s="22">
        <f>(G$12/(1+$A$39)^1+H$12/(1+$A$39)^2+I$12/(1+$A$39)^3+J$12/(1+$A$39)^4+K$12/(1+$A$39)^5+K$8*10/(1+$A$39)^5+$C$29)/$C$32</f>
        <v/>
      </c>
      <c r="E39" s="22">
        <f>(G$12/(1+$A$39)^1+H$12/(1+$A$39)^2+I$12/(1+$A$39)^3+J$12/(1+$A$39)^4+K$12/(1+$A$39)^5+K$8*12/(1+$A$39)^5+$C$29)/$C$32</f>
        <v/>
      </c>
      <c r="F39" s="22">
        <f>(G$12/(1+$A$39)^1+H$12/(1+$A$39)^2+I$12/(1+$A$39)^3+J$12/(1+$A$39)^4+K$12/(1+$A$39)^5+K$8*14/(1+$A$39)^5+$C$29)/$C$32</f>
        <v/>
      </c>
      <c r="G39" s="22">
        <f>(G$12/(1+$A$39)^1+H$12/(1+$A$39)^2+I$12/(1+$A$39)^3+J$12/(1+$A$39)^4+K$12/(1+$A$39)^5+K$8*16/(1+$A$39)^5+$C$29)/$C$32</f>
        <v/>
      </c>
    </row>
    <row r="40">
      <c r="A40" s="21" t="n">
        <v>0.05109999999999999</v>
      </c>
      <c r="C40" s="22">
        <f>(G$12/(1+$A$40)^1+H$12/(1+$A$40)^2+I$12/(1+$A$40)^3+J$12/(1+$A$40)^4+K$12/(1+$A$40)^5+K$8*8/(1+$A$40)^5+$C$29)/$C$32</f>
        <v/>
      </c>
      <c r="D40" s="22">
        <f>(G$12/(1+$A$40)^1+H$12/(1+$A$40)^2+I$12/(1+$A$40)^3+J$12/(1+$A$40)^4+K$12/(1+$A$40)^5+K$8*10/(1+$A$40)^5+$C$29)/$C$32</f>
        <v/>
      </c>
      <c r="E40" s="22">
        <f>(G$12/(1+$A$40)^1+H$12/(1+$A$40)^2+I$12/(1+$A$40)^3+J$12/(1+$A$40)^4+K$12/(1+$A$40)^5+K$8*12/(1+$A$40)^5+$C$29)/$C$32</f>
        <v/>
      </c>
      <c r="F40" s="22">
        <f>(G$12/(1+$A$40)^1+H$12/(1+$A$40)^2+I$12/(1+$A$40)^3+J$12/(1+$A$40)^4+K$12/(1+$A$40)^5+K$8*14/(1+$A$40)^5+$C$29)/$C$32</f>
        <v/>
      </c>
      <c r="G40" s="22">
        <f>(G$12/(1+$A$40)^1+H$12/(1+$A$40)^2+I$12/(1+$A$40)^3+J$12/(1+$A$40)^4+K$12/(1+$A$40)^5+K$8*16/(1+$A$40)^5+$C$29)/$C$32</f>
        <v/>
      </c>
    </row>
    <row r="41">
      <c r="A41" s="21" t="n">
        <v>0.06109999999999999</v>
      </c>
      <c r="C41" s="22">
        <f>(G$12/(1+$A$41)^1+H$12/(1+$A$41)^2+I$12/(1+$A$41)^3+J$12/(1+$A$41)^4+K$12/(1+$A$41)^5+K$8*8/(1+$A$41)^5+$C$29)/$C$32</f>
        <v/>
      </c>
      <c r="D41" s="22">
        <f>(G$12/(1+$A$41)^1+H$12/(1+$A$41)^2+I$12/(1+$A$41)^3+J$12/(1+$A$41)^4+K$12/(1+$A$41)^5+K$8*10/(1+$A$41)^5+$C$29)/$C$32</f>
        <v/>
      </c>
      <c r="E41" s="22">
        <f>(G$12/(1+$A$41)^1+H$12/(1+$A$41)^2+I$12/(1+$A$41)^3+J$12/(1+$A$41)^4+K$12/(1+$A$41)^5+K$8*12/(1+$A$41)^5+$C$29)/$C$32</f>
        <v/>
      </c>
      <c r="F41" s="22">
        <f>(G$12/(1+$A$41)^1+H$12/(1+$A$41)^2+I$12/(1+$A$41)^3+J$12/(1+$A$41)^4+K$12/(1+$A$41)^5+K$8*14/(1+$A$41)^5+$C$29)/$C$32</f>
        <v/>
      </c>
      <c r="G41" s="22">
        <f>(G$12/(1+$A$41)^1+H$12/(1+$A$41)^2+I$12/(1+$A$41)^3+J$12/(1+$A$41)^4+K$12/(1+$A$41)^5+K$8*16/(1+$A$41)^5+$C$29)/$C$32</f>
        <v/>
      </c>
    </row>
    <row r="42">
      <c r="A42" s="21" t="n">
        <v>0.0711</v>
      </c>
      <c r="C42" s="22">
        <f>(G$12/(1+$A$42)^1+H$12/(1+$A$42)^2+I$12/(1+$A$42)^3+J$12/(1+$A$42)^4+K$12/(1+$A$42)^5+K$8*8/(1+$A$42)^5+$C$29)/$C$32</f>
        <v/>
      </c>
      <c r="D42" s="22">
        <f>(G$12/(1+$A$42)^1+H$12/(1+$A$42)^2+I$12/(1+$A$42)^3+J$12/(1+$A$42)^4+K$12/(1+$A$42)^5+K$8*10/(1+$A$42)^5+$C$29)/$C$32</f>
        <v/>
      </c>
      <c r="E42" s="23">
        <f>(G$12/(1+$A$42)^1+H$12/(1+$A$42)^2+I$12/(1+$A$42)^3+J$12/(1+$A$42)^4+K$12/(1+$A$42)^5+K$8*12/(1+$A$42)^5+$C$29)/$C$32</f>
        <v/>
      </c>
      <c r="F42" s="22">
        <f>(G$12/(1+$A$42)^1+H$12/(1+$A$42)^2+I$12/(1+$A$42)^3+J$12/(1+$A$42)^4+K$12/(1+$A$42)^5+K$8*14/(1+$A$42)^5+$C$29)/$C$32</f>
        <v/>
      </c>
      <c r="G42" s="22">
        <f>(G$12/(1+$A$42)^1+H$12/(1+$A$42)^2+I$12/(1+$A$42)^3+J$12/(1+$A$42)^4+K$12/(1+$A$42)^5+K$8*16/(1+$A$42)^5+$C$29)/$C$32</f>
        <v/>
      </c>
    </row>
    <row r="43">
      <c r="A43" s="21" t="n">
        <v>0.08109999999999999</v>
      </c>
      <c r="C43" s="22">
        <f>(G$12/(1+$A$43)^1+H$12/(1+$A$43)^2+I$12/(1+$A$43)^3+J$12/(1+$A$43)^4+K$12/(1+$A$43)^5+K$8*8/(1+$A$43)^5+$C$29)/$C$32</f>
        <v/>
      </c>
      <c r="D43" s="22">
        <f>(G$12/(1+$A$43)^1+H$12/(1+$A$43)^2+I$12/(1+$A$43)^3+J$12/(1+$A$43)^4+K$12/(1+$A$43)^5+K$8*10/(1+$A$43)^5+$C$29)/$C$32</f>
        <v/>
      </c>
      <c r="E43" s="22">
        <f>(G$12/(1+$A$43)^1+H$12/(1+$A$43)^2+I$12/(1+$A$43)^3+J$12/(1+$A$43)^4+K$12/(1+$A$43)^5+K$8*12/(1+$A$43)^5+$C$29)/$C$32</f>
        <v/>
      </c>
      <c r="F43" s="22">
        <f>(G$12/(1+$A$43)^1+H$12/(1+$A$43)^2+I$12/(1+$A$43)^3+J$12/(1+$A$43)^4+K$12/(1+$A$43)^5+K$8*14/(1+$A$43)^5+$C$29)/$C$32</f>
        <v/>
      </c>
      <c r="G43" s="22">
        <f>(G$12/(1+$A$43)^1+H$12/(1+$A$43)^2+I$12/(1+$A$43)^3+J$12/(1+$A$43)^4+K$12/(1+$A$43)^5+K$8*16/(1+$A$43)^5+$C$29)/$C$32</f>
        <v/>
      </c>
    </row>
    <row r="44">
      <c r="A44" s="21" t="n">
        <v>0.0911</v>
      </c>
      <c r="C44" s="22">
        <f>(G$12/(1+$A$44)^1+H$12/(1+$A$44)^2+I$12/(1+$A$44)^3+J$12/(1+$A$44)^4+K$12/(1+$A$44)^5+K$8*8/(1+$A$44)^5+$C$29)/$C$32</f>
        <v/>
      </c>
      <c r="D44" s="22">
        <f>(G$12/(1+$A$44)^1+H$12/(1+$A$44)^2+I$12/(1+$A$44)^3+J$12/(1+$A$44)^4+K$12/(1+$A$44)^5+K$8*10/(1+$A$44)^5+$C$29)/$C$32</f>
        <v/>
      </c>
      <c r="E44" s="22">
        <f>(G$12/(1+$A$44)^1+H$12/(1+$A$44)^2+I$12/(1+$A$44)^3+J$12/(1+$A$44)^4+K$12/(1+$A$44)^5+K$8*12/(1+$A$44)^5+$C$29)/$C$32</f>
        <v/>
      </c>
      <c r="F44" s="22">
        <f>(G$12/(1+$A$44)^1+H$12/(1+$A$44)^2+I$12/(1+$A$44)^3+J$12/(1+$A$44)^4+K$12/(1+$A$44)^5+K$8*14/(1+$A$44)^5+$C$29)/$C$32</f>
        <v/>
      </c>
      <c r="G44" s="22">
        <f>(G$12/(1+$A$44)^1+H$12/(1+$A$44)^2+I$12/(1+$A$44)^3+J$12/(1+$A$44)^4+K$12/(1+$A$44)^5+K$8*16/(1+$A$44)^5+$C$29)/$C$32</f>
        <v/>
      </c>
    </row>
    <row r="45">
      <c r="A45" s="21" t="n">
        <v>0.1011</v>
      </c>
      <c r="C45" s="22">
        <f>(G$12/(1+$A$45)^1+H$12/(1+$A$45)^2+I$12/(1+$A$45)^3+J$12/(1+$A$45)^4+K$12/(1+$A$45)^5+K$8*8/(1+$A$45)^5+$C$29)/$C$32</f>
        <v/>
      </c>
      <c r="D45" s="22">
        <f>(G$12/(1+$A$45)^1+H$12/(1+$A$45)^2+I$12/(1+$A$45)^3+J$12/(1+$A$45)^4+K$12/(1+$A$45)^5+K$8*10/(1+$A$45)^5+$C$29)/$C$32</f>
        <v/>
      </c>
      <c r="E45" s="22">
        <f>(G$12/(1+$A$45)^1+H$12/(1+$A$45)^2+I$12/(1+$A$45)^3+J$12/(1+$A$45)^4+K$12/(1+$A$45)^5+K$8*12/(1+$A$45)^5+$C$29)/$C$32</f>
        <v/>
      </c>
      <c r="F45" s="22">
        <f>(G$12/(1+$A$45)^1+H$12/(1+$A$45)^2+I$12/(1+$A$45)^3+J$12/(1+$A$45)^4+K$12/(1+$A$45)^5+K$8*14/(1+$A$45)^5+$C$29)/$C$32</f>
        <v/>
      </c>
      <c r="G45" s="22">
        <f>(G$12/(1+$A$45)^1+H$12/(1+$A$45)^2+I$12/(1+$A$45)^3+J$12/(1+$A$45)^4+K$12/(1+$A$45)^5+K$8*16/(1+$A$45)^5+$C$29)/$C$32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2026-03-28T17:35:54Z</dcterms:created>
  <dcterms:modified xmlns:dcterms="http://purl.org/dc/terms/" xmlns:xsi="http://www.w3.org/2001/XMLSchema-instance" xsi:type="dcterms:W3CDTF">2026-03-28T17:35:54Z</dcterms:modified>
</cp:coreProperties>
</file>