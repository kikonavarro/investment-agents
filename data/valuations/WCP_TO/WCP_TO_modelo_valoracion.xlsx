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Whitecap Resources Inc. (WCP.TO)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Oil &amp; Gas E&amp;P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4780.4</v>
      </c>
      <c r="D7" s="5" t="n">
        <v>3848.9</v>
      </c>
      <c r="E7" s="5" t="n">
        <v>3937.9</v>
      </c>
      <c r="F7" s="5" t="n">
        <v>5908.8</v>
      </c>
    </row>
    <row r="8">
      <c r="A8" s="4" t="inlineStr">
        <is>
          <t xml:space="preserve">  Revenue Growth - Base</t>
        </is>
      </c>
      <c r="G8" s="6" t="n">
        <v>-0.06586734051805011</v>
      </c>
      <c r="H8" s="6" t="n">
        <v>-0.04586734051805012</v>
      </c>
      <c r="I8" s="6" t="n">
        <v>-0.02586734051805012</v>
      </c>
      <c r="J8" s="6" t="n">
        <v>-0.005867340518050115</v>
      </c>
      <c r="K8" s="6" t="n">
        <v>0.01413265948194989</v>
      </c>
    </row>
    <row r="9">
      <c r="A9" s="4" t="inlineStr">
        <is>
          <t xml:space="preserve">  Revenue Growth - Bull</t>
        </is>
      </c>
      <c r="G9" s="6" t="n">
        <v>-0.05086734051805011</v>
      </c>
      <c r="H9" s="6" t="n">
        <v>-0.03086734051805012</v>
      </c>
      <c r="I9" s="6" t="n">
        <v>-0.01086734051805012</v>
      </c>
      <c r="J9" s="6" t="n">
        <v>0.009132659481949884</v>
      </c>
      <c r="K9" s="6" t="n">
        <v>0.02913265948194989</v>
      </c>
    </row>
    <row r="10">
      <c r="A10" s="4" t="inlineStr">
        <is>
          <t xml:space="preserve">  Revenue Growth - Bear</t>
        </is>
      </c>
      <c r="G10" s="6" t="n">
        <v>-0.08086734051805011</v>
      </c>
      <c r="H10" s="6" t="n">
        <v>-0.06086734051805012</v>
      </c>
      <c r="I10" s="6" t="n">
        <v>-0.04086734051805012</v>
      </c>
      <c r="J10" s="6" t="n">
        <v>-0.02086734051805011</v>
      </c>
      <c r="K10" s="6" t="n">
        <v>-0.0008673405180501109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0.6127553031225936</v>
      </c>
      <c r="H15" s="6" t="n">
        <v>0.6127553031225936</v>
      </c>
      <c r="I15" s="6" t="n">
        <v>0.6127553031225936</v>
      </c>
      <c r="J15" s="6" t="n">
        <v>0.6127553031225936</v>
      </c>
      <c r="K15" s="6" t="n">
        <v>0.6127553031225936</v>
      </c>
    </row>
    <row r="16">
      <c r="A16" s="4" t="inlineStr">
        <is>
          <t>Gross Margin - Bull</t>
        </is>
      </c>
      <c r="G16" s="6" t="n">
        <v>0.6227553031225936</v>
      </c>
      <c r="H16" s="6" t="n">
        <v>0.6227553031225936</v>
      </c>
      <c r="I16" s="6" t="n">
        <v>0.6227553031225936</v>
      </c>
      <c r="J16" s="6" t="n">
        <v>0.6227553031225936</v>
      </c>
      <c r="K16" s="6" t="n">
        <v>0.6227553031225936</v>
      </c>
    </row>
    <row r="17">
      <c r="A17" s="4" t="inlineStr">
        <is>
          <t>Gross Margin - Bear</t>
        </is>
      </c>
      <c r="G17" s="6" t="n">
        <v>0.6027553031225936</v>
      </c>
      <c r="H17" s="6" t="n">
        <v>0.6027553031225936</v>
      </c>
      <c r="I17" s="6" t="n">
        <v>0.6027553031225936</v>
      </c>
      <c r="J17" s="6" t="n">
        <v>0.6027553031225936</v>
      </c>
      <c r="K17" s="6" t="n">
        <v>0.6027553031225936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0.08574978526865071</v>
      </c>
      <c r="H20" s="6" t="n">
        <v>0.08574978526865071</v>
      </c>
      <c r="I20" s="6" t="n">
        <v>0.08574978526865071</v>
      </c>
      <c r="J20" s="6" t="n">
        <v>0.08574978526865071</v>
      </c>
      <c r="K20" s="6" t="n">
        <v>0.08574978526865071</v>
      </c>
    </row>
    <row r="21">
      <c r="A21" s="4" t="inlineStr">
        <is>
          <t>SG&amp;A % Revenue - Bull</t>
        </is>
      </c>
      <c r="G21" s="6" t="n">
        <v>0.0807497852686507</v>
      </c>
      <c r="H21" s="6" t="n">
        <v>0.0807497852686507</v>
      </c>
      <c r="I21" s="6" t="n">
        <v>0.0807497852686507</v>
      </c>
      <c r="J21" s="6" t="n">
        <v>0.0807497852686507</v>
      </c>
      <c r="K21" s="6" t="n">
        <v>0.0807497852686507</v>
      </c>
    </row>
    <row r="22">
      <c r="A22" s="4" t="inlineStr">
        <is>
          <t>SG&amp;A % Revenue - Bear</t>
        </is>
      </c>
      <c r="G22" s="6" t="n">
        <v>0.09074978526865071</v>
      </c>
      <c r="H22" s="6" t="n">
        <v>0.09074978526865071</v>
      </c>
      <c r="I22" s="6" t="n">
        <v>0.09074978526865071</v>
      </c>
      <c r="J22" s="6" t="n">
        <v>0.09074978526865071</v>
      </c>
      <c r="K22" s="6" t="n">
        <v>0.09074978526865071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0.2326065773325618</v>
      </c>
      <c r="H30" s="6" t="n">
        <v>0.2326065773325618</v>
      </c>
      <c r="I30" s="6" t="n">
        <v>0.2326065773325618</v>
      </c>
      <c r="J30" s="6" t="n">
        <v>0.2326065773325618</v>
      </c>
      <c r="K30" s="6" t="n">
        <v>0.2326065773325618</v>
      </c>
    </row>
    <row r="31">
      <c r="A31" s="4" t="inlineStr">
        <is>
          <t>CapEx % Revenue</t>
        </is>
      </c>
      <c r="G31" s="6" t="n">
        <v>0.2904608565108069</v>
      </c>
      <c r="H31" s="6" t="n">
        <v>0.2904608565108069</v>
      </c>
      <c r="I31" s="6" t="n">
        <v>0.2904608565108069</v>
      </c>
      <c r="J31" s="6" t="n">
        <v>0.2904608565108069</v>
      </c>
      <c r="K31" s="6" t="n">
        <v>0.2904608565108069</v>
      </c>
    </row>
    <row r="32">
      <c r="A32" s="4" t="inlineStr">
        <is>
          <t>Tax Rate</t>
        </is>
      </c>
      <c r="G32" s="6" t="n">
        <v>0.2879027752612194</v>
      </c>
      <c r="H32" s="6" t="n">
        <v>0.2879027752612194</v>
      </c>
      <c r="I32" s="6" t="n">
        <v>0.2879027752612194</v>
      </c>
      <c r="J32" s="6" t="n">
        <v>0.2879027752612194</v>
      </c>
      <c r="K32" s="6" t="n">
        <v>0.2879027752612194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0.0799</v>
      </c>
    </row>
    <row r="36">
      <c r="A36" s="4" t="inlineStr">
        <is>
          <t>WACC - Bull</t>
        </is>
      </c>
      <c r="C36" s="6" t="n">
        <v>0.0699</v>
      </c>
    </row>
    <row r="37">
      <c r="A37" s="4" t="inlineStr">
        <is>
          <t>WACC - Bear</t>
        </is>
      </c>
      <c r="C37" s="6" t="n">
        <v>0.08989999999999999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11</v>
      </c>
    </row>
    <row r="41">
      <c r="A41" s="4" t="inlineStr">
        <is>
          <t>Terminal Value Multiple - Bull</t>
        </is>
      </c>
      <c r="C41" s="9" t="n">
        <v>13</v>
      </c>
    </row>
    <row r="42">
      <c r="A42" s="4" t="inlineStr">
        <is>
          <t>Terminal Value Multiple - Bear</t>
        </is>
      </c>
      <c r="C42" s="9" t="n">
        <v>9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Whitecap Resources Inc. (WCP.TO)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4780.4</v>
      </c>
      <c r="D6" s="5" t="n">
        <v>3848.9</v>
      </c>
      <c r="E6" s="5" t="n">
        <v>3937.9</v>
      </c>
      <c r="F6" s="5" t="n">
        <v>5908.8</v>
      </c>
    </row>
    <row r="7">
      <c r="A7" s="4" t="inlineStr">
        <is>
          <t>Cost of Revenue</t>
        </is>
      </c>
      <c r="C7" s="5" t="n">
        <v>1668.3</v>
      </c>
      <c r="D7" s="5" t="n">
        <v>1484.1</v>
      </c>
      <c r="E7" s="5" t="n">
        <v>1575.3</v>
      </c>
      <c r="F7" s="5" t="n">
        <v>2448.4</v>
      </c>
    </row>
    <row r="8">
      <c r="A8" s="2" t="inlineStr">
        <is>
          <t>Gross Profit</t>
        </is>
      </c>
      <c r="C8" s="5" t="n">
        <v>3112.1</v>
      </c>
      <c r="D8" s="5" t="n">
        <v>2364.8</v>
      </c>
      <c r="E8" s="5" t="n">
        <v>2362.6</v>
      </c>
      <c r="F8" s="5" t="n">
        <v>3460.4</v>
      </c>
    </row>
    <row r="9">
      <c r="A9" s="4" t="inlineStr">
        <is>
          <t xml:space="preserve">  Gross Margin</t>
        </is>
      </c>
      <c r="C9" s="11" t="n">
        <v>0.6510124675759351</v>
      </c>
      <c r="D9" s="11" t="n">
        <v>0.6144093117514094</v>
      </c>
      <c r="E9" s="11" t="n">
        <v>0.5999644480560705</v>
      </c>
      <c r="F9" s="11" t="n">
        <v>0.5856349851069591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397.3</v>
      </c>
      <c r="D12" s="5" t="n">
        <v>370.9</v>
      </c>
      <c r="E12" s="5" t="n">
        <v>361.7</v>
      </c>
      <c r="F12" s="5" t="n">
        <v>423.5</v>
      </c>
    </row>
    <row r="13">
      <c r="A13" s="2" t="inlineStr">
        <is>
          <t>Operating Income (EBIT)</t>
        </is>
      </c>
      <c r="C13" s="5" t="n">
        <v>1791.1</v>
      </c>
      <c r="D13" s="5" t="n">
        <v>1024.5</v>
      </c>
      <c r="E13" s="5" t="n">
        <v>937.3</v>
      </c>
      <c r="F13" s="5" t="n">
        <v>1176.6</v>
      </c>
    </row>
    <row r="14">
      <c r="A14" s="4" t="inlineStr">
        <is>
          <t xml:space="preserve">  EBIT Margin</t>
        </is>
      </c>
      <c r="C14" s="11" t="n">
        <v>0.3746757593506819</v>
      </c>
      <c r="D14" s="11" t="n">
        <v>0.2661799475174725</v>
      </c>
      <c r="E14" s="11" t="n">
        <v>0.2380202646080398</v>
      </c>
      <c r="F14" s="11" t="n">
        <v>0.1991267262388302</v>
      </c>
    </row>
    <row r="16">
      <c r="A16" s="4" t="inlineStr">
        <is>
          <t>Interest Expense</t>
        </is>
      </c>
      <c r="C16" s="5" t="n">
        <v>62.9</v>
      </c>
      <c r="D16" s="5" t="n">
        <v>88.59999999999999</v>
      </c>
      <c r="E16" s="5" t="n">
        <v>89.7</v>
      </c>
      <c r="F16" s="5" t="n">
        <v>141.3</v>
      </c>
    </row>
    <row r="17">
      <c r="A17" s="4" t="inlineStr">
        <is>
          <t>Tax Provision</t>
        </is>
      </c>
      <c r="C17" s="5" t="n">
        <v>548.5</v>
      </c>
      <c r="D17" s="5" t="n">
        <v>281.7</v>
      </c>
      <c r="E17" s="5" t="n">
        <v>263</v>
      </c>
      <c r="F17" s="5" t="n">
        <v>341</v>
      </c>
    </row>
    <row r="18">
      <c r="A18" s="2" t="inlineStr">
        <is>
          <t>Net Income</t>
        </is>
      </c>
      <c r="C18" s="5" t="n">
        <v>1676.1</v>
      </c>
      <c r="D18" s="5" t="n">
        <v>889</v>
      </c>
      <c r="E18" s="5" t="n">
        <v>812.3</v>
      </c>
      <c r="F18" s="5" t="n">
        <v>984.6</v>
      </c>
    </row>
    <row r="19">
      <c r="A19" s="4" t="inlineStr">
        <is>
          <t xml:space="preserve">  Net Margin</t>
        </is>
      </c>
      <c r="C19" s="11" t="n">
        <v>0.3506191950464396</v>
      </c>
      <c r="D19" s="11" t="n">
        <v>0.2309750837901738</v>
      </c>
      <c r="E19" s="11" t="n">
        <v>0.2062774575281241</v>
      </c>
      <c r="F19" s="11" t="n">
        <v>0.1666328188464663</v>
      </c>
    </row>
    <row r="21">
      <c r="A21" s="2" t="inlineStr">
        <is>
          <t>EBITDA</t>
        </is>
      </c>
      <c r="C21" s="5" t="n">
        <v>3094</v>
      </c>
      <c r="D21" s="5" t="n">
        <v>2124.5</v>
      </c>
      <c r="E21" s="5" t="n">
        <v>2140.2</v>
      </c>
      <c r="F21" s="5" t="n">
        <v>3176.2</v>
      </c>
    </row>
    <row r="22">
      <c r="A22" s="4" t="inlineStr">
        <is>
          <t xml:space="preserve">  EBITDA Margin</t>
        </is>
      </c>
      <c r="C22" s="11" t="n">
        <v>0.647226173541963</v>
      </c>
      <c r="D22" s="11" t="n">
        <v>0.5519758892151004</v>
      </c>
      <c r="E22" s="11" t="n">
        <v>0.5434876456994845</v>
      </c>
      <c r="F22" s="11" t="n">
        <v>0.5375372326022204</v>
      </c>
    </row>
    <row r="23">
      <c r="A23" s="4" t="inlineStr">
        <is>
          <t>Diluted EPS</t>
        </is>
      </c>
      <c r="C23" s="12" t="n">
        <v>2.7</v>
      </c>
      <c r="D23" s="12" t="n">
        <v>1.46</v>
      </c>
      <c r="E23" s="12" t="n">
        <v>1.36</v>
      </c>
      <c r="F23" s="12" t="n">
        <v>0.99</v>
      </c>
    </row>
    <row r="24">
      <c r="A24" s="4" t="inlineStr">
        <is>
          <t>D&amp;A</t>
        </is>
      </c>
      <c r="C24" s="5" t="n">
        <v>806.5</v>
      </c>
      <c r="D24" s="5" t="n">
        <v>865.2</v>
      </c>
      <c r="E24" s="5" t="n">
        <v>975.2</v>
      </c>
      <c r="F24" s="5" t="n">
        <v>1709.3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0</v>
      </c>
      <c r="D28" s="5" t="n">
        <v>0</v>
      </c>
      <c r="E28" s="5" t="n">
        <v>362.3</v>
      </c>
      <c r="F28" s="5" t="n">
        <v>59.4</v>
      </c>
    </row>
    <row r="29">
      <c r="A29" s="4" t="inlineStr">
        <is>
          <t>Current Assets</t>
        </is>
      </c>
      <c r="C29" s="5" t="n">
        <v>972.4</v>
      </c>
      <c r="D29" s="5" t="n">
        <v>511.5</v>
      </c>
      <c r="E29" s="5" t="n">
        <v>884.3</v>
      </c>
      <c r="F29" s="5" t="n">
        <v>1184.1</v>
      </c>
    </row>
    <row r="30">
      <c r="A30" s="4" t="inlineStr">
        <is>
          <t>Net PP&amp;E</t>
        </is>
      </c>
      <c r="C30" s="5" t="n">
        <v>8545.299999999999</v>
      </c>
      <c r="D30" s="5" t="n">
        <v>8964.5</v>
      </c>
      <c r="E30" s="5" t="n">
        <v>8972.1</v>
      </c>
      <c r="F30" s="5" t="n">
        <v>18001.9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9529.799999999999</v>
      </c>
      <c r="D32" s="5" t="n">
        <v>9602.200000000001</v>
      </c>
      <c r="E32" s="5" t="n">
        <v>9950.1</v>
      </c>
      <c r="F32" s="5" t="n">
        <v>19294.7</v>
      </c>
    </row>
    <row r="34">
      <c r="A34" s="4" t="inlineStr">
        <is>
          <t>Current Liabilities</t>
        </is>
      </c>
      <c r="C34" s="5" t="n">
        <v>754.2</v>
      </c>
      <c r="D34" s="5" t="n">
        <v>567.6</v>
      </c>
      <c r="E34" s="5" t="n">
        <v>836.4</v>
      </c>
      <c r="F34" s="5" t="n">
        <v>1687.6</v>
      </c>
    </row>
    <row r="35">
      <c r="A35" s="4" t="inlineStr">
        <is>
          <t>Total Debt</t>
        </is>
      </c>
      <c r="C35" s="5" t="n">
        <v>1873.6</v>
      </c>
      <c r="D35" s="5" t="n">
        <v>1382.7</v>
      </c>
      <c r="E35" s="5" t="n">
        <v>1143.1</v>
      </c>
      <c r="F35" s="5" t="n">
        <v>3767.2</v>
      </c>
    </row>
    <row r="36">
      <c r="A36" s="2" t="inlineStr">
        <is>
          <t>Total Liabilities</t>
        </is>
      </c>
      <c r="C36" s="5" t="n">
        <v>4480.1</v>
      </c>
      <c r="D36" s="5" t="n">
        <v>4125.2</v>
      </c>
      <c r="E36" s="5" t="n">
        <v>4202.8</v>
      </c>
      <c r="F36" s="5" t="n">
        <v>8292.5</v>
      </c>
    </row>
    <row r="38">
      <c r="A38" s="2" t="inlineStr">
        <is>
          <t>Total Equity</t>
        </is>
      </c>
      <c r="C38" s="5" t="n">
        <v>5049.7</v>
      </c>
      <c r="D38" s="5" t="n">
        <v>5477</v>
      </c>
      <c r="E38" s="5" t="n">
        <v>5747.3</v>
      </c>
      <c r="F38" s="5" t="n">
        <v>11002.2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2183.1</v>
      </c>
      <c r="D42" s="5" t="n">
        <v>1742.5</v>
      </c>
      <c r="E42" s="5" t="n">
        <v>1833.5</v>
      </c>
      <c r="F42" s="5" t="n">
        <v>2685.9</v>
      </c>
    </row>
    <row r="43">
      <c r="A43" s="4" t="inlineStr">
        <is>
          <t>Capital Expenditure</t>
        </is>
      </c>
      <c r="C43" s="5" t="n">
        <v>-694.5</v>
      </c>
      <c r="D43" s="5" t="n">
        <v>-1124.9</v>
      </c>
      <c r="E43" s="5" t="n">
        <v>-1136.7</v>
      </c>
      <c r="F43" s="5" t="n">
        <v>-2076.5</v>
      </c>
    </row>
    <row r="44">
      <c r="A44" s="2" t="inlineStr">
        <is>
          <t>Free Cash Flow</t>
        </is>
      </c>
      <c r="C44" s="5" t="n">
        <v>1488.6</v>
      </c>
      <c r="D44" s="5" t="n">
        <v>617.6</v>
      </c>
      <c r="E44" s="5" t="n">
        <v>696.8</v>
      </c>
      <c r="F44" s="5" t="n">
        <v>609.4</v>
      </c>
    </row>
    <row r="46">
      <c r="A46" s="4" t="inlineStr">
        <is>
          <t>D&amp;A</t>
        </is>
      </c>
      <c r="C46" s="5" t="n">
        <v>8.699999999999999</v>
      </c>
      <c r="D46" s="5" t="n">
        <v>9.300000000000001</v>
      </c>
      <c r="E46" s="5" t="n">
        <v>12</v>
      </c>
      <c r="F46" s="5" t="n">
        <v>0</v>
      </c>
    </row>
    <row r="47">
      <c r="A47" s="4" t="inlineStr">
        <is>
          <t>Stock-Based Compensation</t>
        </is>
      </c>
      <c r="C47" s="5" t="n">
        <v>11.1</v>
      </c>
      <c r="D47" s="5" t="n">
        <v>14.4</v>
      </c>
      <c r="E47" s="5" t="n">
        <v>16.6</v>
      </c>
      <c r="F47" s="5" t="n">
        <v>22.2</v>
      </c>
    </row>
    <row r="48">
      <c r="A48" s="4" t="inlineStr">
        <is>
          <t>Change in Working Capital</t>
        </is>
      </c>
      <c r="C48" s="5" t="n">
        <v>-139.7</v>
      </c>
      <c r="D48" s="5" t="n">
        <v>-48.9</v>
      </c>
      <c r="E48" s="5" t="n">
        <v>201.3</v>
      </c>
      <c r="F48" s="5" t="n">
        <v>-251.9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Whitecap Resources Inc. (WCP.TO)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Oil &amp; Gas E&amp;P</t>
        </is>
      </c>
      <c r="C8" s="5" t="n">
        <v>4780.4</v>
      </c>
      <c r="D8" s="5" t="n">
        <v>3848.9</v>
      </c>
      <c r="E8" s="5" t="n">
        <v>3937.9</v>
      </c>
      <c r="F8" s="5" t="n">
        <v>5908.8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1668.3</v>
      </c>
      <c r="D16" s="5" t="n">
        <v>1484.1</v>
      </c>
      <c r="E16" s="5" t="n">
        <v>1575.3</v>
      </c>
      <c r="F16" s="5" t="n">
        <v>2448.4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397.3</v>
      </c>
      <c r="D20" s="5" t="n">
        <v>370.9</v>
      </c>
      <c r="E20" s="5" t="n">
        <v>361.7</v>
      </c>
      <c r="F20" s="5" t="n">
        <v>423.5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806.5</v>
      </c>
      <c r="D22" s="5" t="n">
        <v>865.2</v>
      </c>
      <c r="E22" s="5" t="n">
        <v>975.2</v>
      </c>
      <c r="F22" s="5" t="n">
        <v>1709.3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62.9</v>
      </c>
      <c r="D29" s="5" t="n">
        <v>88.59999999999999</v>
      </c>
      <c r="E29" s="5" t="n">
        <v>89.7</v>
      </c>
      <c r="F29" s="5" t="n">
        <v>141.3</v>
      </c>
      <c r="G29" s="5" t="n">
        <v>141.3</v>
      </c>
      <c r="H29" s="5" t="n">
        <v>141.3</v>
      </c>
      <c r="I29" s="5" t="n">
        <v>141.3</v>
      </c>
      <c r="J29" s="5" t="n">
        <v>141.3</v>
      </c>
      <c r="K29" s="5" t="n">
        <v>141.3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548.5</v>
      </c>
      <c r="D31" s="5" t="n">
        <v>281.7</v>
      </c>
      <c r="E31" s="5" t="n">
        <v>263</v>
      </c>
      <c r="F31" s="5" t="n">
        <v>341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-139.7</v>
      </c>
      <c r="D39" s="5" t="n">
        <v>-48.9</v>
      </c>
      <c r="E39" s="5" t="n">
        <v>201.3</v>
      </c>
      <c r="F39" s="5" t="n">
        <v>-251.9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-694.5</v>
      </c>
      <c r="D42" s="5" t="n">
        <v>-1124.9</v>
      </c>
      <c r="E42" s="5" t="n">
        <v>-1136.7</v>
      </c>
      <c r="F42" s="5" t="n">
        <v>-2076.5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Whitecap Resources Inc. (WCP.TO)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15.54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-3707.8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1213.8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C33/15.54-1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7x</t>
        </is>
      </c>
      <c r="D38" s="1" t="inlineStr">
        <is>
          <t>9x</t>
        </is>
      </c>
      <c r="E38" s="1" t="inlineStr">
        <is>
          <t>11x</t>
        </is>
      </c>
      <c r="F38" s="1" t="inlineStr">
        <is>
          <t>13x</t>
        </is>
      </c>
      <c r="G38" s="1" t="inlineStr">
        <is>
          <t>15x</t>
        </is>
      </c>
    </row>
    <row r="39">
      <c r="A39" s="21" t="n">
        <v>0.0499</v>
      </c>
      <c r="C39" s="22">
        <f>(G$12/(1+$A$39)^1+H$12/(1+$A$39)^2+I$12/(1+$A$39)^3+J$12/(1+$A$39)^4+K$12/(1+$A$39)^5+K$8*7/(1+$A$39)^5+$C$29)/$C$32</f>
        <v/>
      </c>
      <c r="D39" s="22">
        <f>(G$12/(1+$A$39)^1+H$12/(1+$A$39)^2+I$12/(1+$A$39)^3+J$12/(1+$A$39)^4+K$12/(1+$A$39)^5+K$8*9/(1+$A$39)^5+$C$29)/$C$32</f>
        <v/>
      </c>
      <c r="E39" s="22">
        <f>(G$12/(1+$A$39)^1+H$12/(1+$A$39)^2+I$12/(1+$A$39)^3+J$12/(1+$A$39)^4+K$12/(1+$A$39)^5+K$8*11/(1+$A$39)^5+$C$29)/$C$32</f>
        <v/>
      </c>
      <c r="F39" s="22">
        <f>(G$12/(1+$A$39)^1+H$12/(1+$A$39)^2+I$12/(1+$A$39)^3+J$12/(1+$A$39)^4+K$12/(1+$A$39)^5+K$8*13/(1+$A$39)^5+$C$29)/$C$32</f>
        <v/>
      </c>
      <c r="G39" s="22">
        <f>(G$12/(1+$A$39)^1+H$12/(1+$A$39)^2+I$12/(1+$A$39)^3+J$12/(1+$A$39)^4+K$12/(1+$A$39)^5+K$8*15/(1+$A$39)^5+$C$29)/$C$32</f>
        <v/>
      </c>
    </row>
    <row r="40">
      <c r="A40" s="21" t="n">
        <v>0.05989999999999999</v>
      </c>
      <c r="C40" s="22">
        <f>(G$12/(1+$A$40)^1+H$12/(1+$A$40)^2+I$12/(1+$A$40)^3+J$12/(1+$A$40)^4+K$12/(1+$A$40)^5+K$8*7/(1+$A$40)^5+$C$29)/$C$32</f>
        <v/>
      </c>
      <c r="D40" s="22">
        <f>(G$12/(1+$A$40)^1+H$12/(1+$A$40)^2+I$12/(1+$A$40)^3+J$12/(1+$A$40)^4+K$12/(1+$A$40)^5+K$8*9/(1+$A$40)^5+$C$29)/$C$32</f>
        <v/>
      </c>
      <c r="E40" s="22">
        <f>(G$12/(1+$A$40)^1+H$12/(1+$A$40)^2+I$12/(1+$A$40)^3+J$12/(1+$A$40)^4+K$12/(1+$A$40)^5+K$8*11/(1+$A$40)^5+$C$29)/$C$32</f>
        <v/>
      </c>
      <c r="F40" s="22">
        <f>(G$12/(1+$A$40)^1+H$12/(1+$A$40)^2+I$12/(1+$A$40)^3+J$12/(1+$A$40)^4+K$12/(1+$A$40)^5+K$8*13/(1+$A$40)^5+$C$29)/$C$32</f>
        <v/>
      </c>
      <c r="G40" s="22">
        <f>(G$12/(1+$A$40)^1+H$12/(1+$A$40)^2+I$12/(1+$A$40)^3+J$12/(1+$A$40)^4+K$12/(1+$A$40)^5+K$8*15/(1+$A$40)^5+$C$29)/$C$32</f>
        <v/>
      </c>
    </row>
    <row r="41">
      <c r="A41" s="21" t="n">
        <v>0.0699</v>
      </c>
      <c r="C41" s="22">
        <f>(G$12/(1+$A$41)^1+H$12/(1+$A$41)^2+I$12/(1+$A$41)^3+J$12/(1+$A$41)^4+K$12/(1+$A$41)^5+K$8*7/(1+$A$41)^5+$C$29)/$C$32</f>
        <v/>
      </c>
      <c r="D41" s="22">
        <f>(G$12/(1+$A$41)^1+H$12/(1+$A$41)^2+I$12/(1+$A$41)^3+J$12/(1+$A$41)^4+K$12/(1+$A$41)^5+K$8*9/(1+$A$41)^5+$C$29)/$C$32</f>
        <v/>
      </c>
      <c r="E41" s="22">
        <f>(G$12/(1+$A$41)^1+H$12/(1+$A$41)^2+I$12/(1+$A$41)^3+J$12/(1+$A$41)^4+K$12/(1+$A$41)^5+K$8*11/(1+$A$41)^5+$C$29)/$C$32</f>
        <v/>
      </c>
      <c r="F41" s="22">
        <f>(G$12/(1+$A$41)^1+H$12/(1+$A$41)^2+I$12/(1+$A$41)^3+J$12/(1+$A$41)^4+K$12/(1+$A$41)^5+K$8*13/(1+$A$41)^5+$C$29)/$C$32</f>
        <v/>
      </c>
      <c r="G41" s="22">
        <f>(G$12/(1+$A$41)^1+H$12/(1+$A$41)^2+I$12/(1+$A$41)^3+J$12/(1+$A$41)^4+K$12/(1+$A$41)^5+K$8*15/(1+$A$41)^5+$C$29)/$C$32</f>
        <v/>
      </c>
    </row>
    <row r="42">
      <c r="A42" s="21" t="n">
        <v>0.0799</v>
      </c>
      <c r="C42" s="22">
        <f>(G$12/(1+$A$42)^1+H$12/(1+$A$42)^2+I$12/(1+$A$42)^3+J$12/(1+$A$42)^4+K$12/(1+$A$42)^5+K$8*7/(1+$A$42)^5+$C$29)/$C$32</f>
        <v/>
      </c>
      <c r="D42" s="22">
        <f>(G$12/(1+$A$42)^1+H$12/(1+$A$42)^2+I$12/(1+$A$42)^3+J$12/(1+$A$42)^4+K$12/(1+$A$42)^5+K$8*9/(1+$A$42)^5+$C$29)/$C$32</f>
        <v/>
      </c>
      <c r="E42" s="23">
        <f>(G$12/(1+$A$42)^1+H$12/(1+$A$42)^2+I$12/(1+$A$42)^3+J$12/(1+$A$42)^4+K$12/(1+$A$42)^5+K$8*11/(1+$A$42)^5+$C$29)/$C$32</f>
        <v/>
      </c>
      <c r="F42" s="22">
        <f>(G$12/(1+$A$42)^1+H$12/(1+$A$42)^2+I$12/(1+$A$42)^3+J$12/(1+$A$42)^4+K$12/(1+$A$42)^5+K$8*13/(1+$A$42)^5+$C$29)/$C$32</f>
        <v/>
      </c>
      <c r="G42" s="22">
        <f>(G$12/(1+$A$42)^1+H$12/(1+$A$42)^2+I$12/(1+$A$42)^3+J$12/(1+$A$42)^4+K$12/(1+$A$42)^5+K$8*15/(1+$A$42)^5+$C$29)/$C$32</f>
        <v/>
      </c>
    </row>
    <row r="43">
      <c r="A43" s="21" t="n">
        <v>0.08989999999999999</v>
      </c>
      <c r="C43" s="22">
        <f>(G$12/(1+$A$43)^1+H$12/(1+$A$43)^2+I$12/(1+$A$43)^3+J$12/(1+$A$43)^4+K$12/(1+$A$43)^5+K$8*7/(1+$A$43)^5+$C$29)/$C$32</f>
        <v/>
      </c>
      <c r="D43" s="22">
        <f>(G$12/(1+$A$43)^1+H$12/(1+$A$43)^2+I$12/(1+$A$43)^3+J$12/(1+$A$43)^4+K$12/(1+$A$43)^5+K$8*9/(1+$A$43)^5+$C$29)/$C$32</f>
        <v/>
      </c>
      <c r="E43" s="22">
        <f>(G$12/(1+$A$43)^1+H$12/(1+$A$43)^2+I$12/(1+$A$43)^3+J$12/(1+$A$43)^4+K$12/(1+$A$43)^5+K$8*11/(1+$A$43)^5+$C$29)/$C$32</f>
        <v/>
      </c>
      <c r="F43" s="22">
        <f>(G$12/(1+$A$43)^1+H$12/(1+$A$43)^2+I$12/(1+$A$43)^3+J$12/(1+$A$43)^4+K$12/(1+$A$43)^5+K$8*13/(1+$A$43)^5+$C$29)/$C$32</f>
        <v/>
      </c>
      <c r="G43" s="22">
        <f>(G$12/(1+$A$43)^1+H$12/(1+$A$43)^2+I$12/(1+$A$43)^3+J$12/(1+$A$43)^4+K$12/(1+$A$43)^5+K$8*15/(1+$A$43)^5+$C$29)/$C$32</f>
        <v/>
      </c>
    </row>
    <row r="44">
      <c r="A44" s="21" t="n">
        <v>0.0999</v>
      </c>
      <c r="C44" s="22">
        <f>(G$12/(1+$A$44)^1+H$12/(1+$A$44)^2+I$12/(1+$A$44)^3+J$12/(1+$A$44)^4+K$12/(1+$A$44)^5+K$8*7/(1+$A$44)^5+$C$29)/$C$32</f>
        <v/>
      </c>
      <c r="D44" s="22">
        <f>(G$12/(1+$A$44)^1+H$12/(1+$A$44)^2+I$12/(1+$A$44)^3+J$12/(1+$A$44)^4+K$12/(1+$A$44)^5+K$8*9/(1+$A$44)^5+$C$29)/$C$32</f>
        <v/>
      </c>
      <c r="E44" s="22">
        <f>(G$12/(1+$A$44)^1+H$12/(1+$A$44)^2+I$12/(1+$A$44)^3+J$12/(1+$A$44)^4+K$12/(1+$A$44)^5+K$8*11/(1+$A$44)^5+$C$29)/$C$32</f>
        <v/>
      </c>
      <c r="F44" s="22">
        <f>(G$12/(1+$A$44)^1+H$12/(1+$A$44)^2+I$12/(1+$A$44)^3+J$12/(1+$A$44)^4+K$12/(1+$A$44)^5+K$8*13/(1+$A$44)^5+$C$29)/$C$32</f>
        <v/>
      </c>
      <c r="G44" s="22">
        <f>(G$12/(1+$A$44)^1+H$12/(1+$A$44)^2+I$12/(1+$A$44)^3+J$12/(1+$A$44)^4+K$12/(1+$A$44)^5+K$8*15/(1+$A$44)^5+$C$29)/$C$32</f>
        <v/>
      </c>
    </row>
    <row r="45">
      <c r="A45" s="21" t="n">
        <v>0.1099</v>
      </c>
      <c r="C45" s="22">
        <f>(G$12/(1+$A$45)^1+H$12/(1+$A$45)^2+I$12/(1+$A$45)^3+J$12/(1+$A$45)^4+K$12/(1+$A$45)^5+K$8*7/(1+$A$45)^5+$C$29)/$C$32</f>
        <v/>
      </c>
      <c r="D45" s="22">
        <f>(G$12/(1+$A$45)^1+H$12/(1+$A$45)^2+I$12/(1+$A$45)^3+J$12/(1+$A$45)^4+K$12/(1+$A$45)^5+K$8*9/(1+$A$45)^5+$C$29)/$C$32</f>
        <v/>
      </c>
      <c r="E45" s="22">
        <f>(G$12/(1+$A$45)^1+H$12/(1+$A$45)^2+I$12/(1+$A$45)^3+J$12/(1+$A$45)^4+K$12/(1+$A$45)^5+K$8*11/(1+$A$45)^5+$C$29)/$C$32</f>
        <v/>
      </c>
      <c r="F45" s="22">
        <f>(G$12/(1+$A$45)^1+H$12/(1+$A$45)^2+I$12/(1+$A$45)^3+J$12/(1+$A$45)^4+K$12/(1+$A$45)^5+K$8*13/(1+$A$45)^5+$C$29)/$C$32</f>
        <v/>
      </c>
      <c r="G45" s="22">
        <f>(G$12/(1+$A$45)^1+H$12/(1+$A$45)^2+I$12/(1+$A$45)^3+J$12/(1+$A$45)^4+K$12/(1+$A$45)^5+K$8*15/(1+$A$45)^5+$C$29)/$C$32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2026-03-28T17:35:55Z</dcterms:created>
  <dcterms:modified xmlns:dcterms="http://purl.org/dc/terms/" xmlns:xsi="http://www.w3.org/2001/XMLSchema-instance" xsi:type="dcterms:W3CDTF">2026-03-28T17:35:55Z</dcterms:modified>
</cp:coreProperties>
</file>