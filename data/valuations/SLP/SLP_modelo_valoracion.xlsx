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Simulations Plus, Inc. (SLP)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Health Information Services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53.906</v>
      </c>
      <c r="D7" s="5" t="n">
        <v>59.577</v>
      </c>
      <c r="E7" s="5" t="n">
        <v>70.01300000000001</v>
      </c>
      <c r="F7" s="5" t="n">
        <v>79.179</v>
      </c>
    </row>
    <row r="8">
      <c r="A8" s="4" t="inlineStr">
        <is>
          <t xml:space="preserve">  Revenue Growth - Base</t>
        </is>
      </c>
      <c r="G8" s="6" t="n">
        <v>-0.017</v>
      </c>
      <c r="H8" s="6" t="n">
        <v>-0.006999999999999999</v>
      </c>
      <c r="I8" s="6" t="n">
        <v>0.002999999999999999</v>
      </c>
      <c r="J8" s="6" t="n">
        <v>0.013</v>
      </c>
      <c r="K8" s="6" t="n">
        <v>0.023</v>
      </c>
    </row>
    <row r="9">
      <c r="A9" s="4" t="inlineStr">
        <is>
          <t xml:space="preserve">  Revenue Growth - Bull</t>
        </is>
      </c>
      <c r="G9" s="6" t="n">
        <v>0.002999999999999999</v>
      </c>
      <c r="H9" s="6" t="n">
        <v>0.002699999999999999</v>
      </c>
      <c r="I9" s="6" t="n">
        <v>0.002399999999999999</v>
      </c>
      <c r="J9" s="6" t="n">
        <v>0.002099999999999999</v>
      </c>
      <c r="K9" s="6" t="n">
        <v>0.0018</v>
      </c>
    </row>
    <row r="10">
      <c r="A10" s="4" t="inlineStr">
        <is>
          <t xml:space="preserve">  Revenue Growth - Bear</t>
        </is>
      </c>
      <c r="G10" s="6" t="n">
        <v>-0.04699999999999999</v>
      </c>
      <c r="H10" s="6" t="n">
        <v>-0.03699999999999999</v>
      </c>
      <c r="I10" s="6" t="n">
        <v>-0.027</v>
      </c>
      <c r="J10" s="6" t="n">
        <v>-0.01699999999999999</v>
      </c>
      <c r="K10" s="6" t="n">
        <v>-0.006999999999999992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0.7010288075637667</v>
      </c>
      <c r="H15" s="6" t="n">
        <v>0.7010288075637667</v>
      </c>
      <c r="I15" s="6" t="n">
        <v>0.7010288075637667</v>
      </c>
      <c r="J15" s="6" t="n">
        <v>0.7010288075637667</v>
      </c>
      <c r="K15" s="6" t="n">
        <v>0.7010288075637667</v>
      </c>
    </row>
    <row r="16">
      <c r="A16" s="4" t="inlineStr">
        <is>
          <t>Gross Margin - Bull</t>
        </is>
      </c>
      <c r="G16" s="6" t="n">
        <v>0.7210288075637667</v>
      </c>
      <c r="H16" s="6" t="n">
        <v>0.7210288075637667</v>
      </c>
      <c r="I16" s="6" t="n">
        <v>0.7210288075637667</v>
      </c>
      <c r="J16" s="6" t="n">
        <v>0.7210288075637667</v>
      </c>
      <c r="K16" s="6" t="n">
        <v>0.7210288075637667</v>
      </c>
    </row>
    <row r="17">
      <c r="A17" s="4" t="inlineStr">
        <is>
          <t>Gross Margin - Bear</t>
        </is>
      </c>
      <c r="G17" s="6" t="n">
        <v>0.6810288075637667</v>
      </c>
      <c r="H17" s="6" t="n">
        <v>0.6810288075637667</v>
      </c>
      <c r="I17" s="6" t="n">
        <v>0.6810288075637667</v>
      </c>
      <c r="J17" s="6" t="n">
        <v>0.6810288075637667</v>
      </c>
      <c r="K17" s="6" t="n">
        <v>0.6810288075637667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0.4747159859062217</v>
      </c>
      <c r="H20" s="6" t="n">
        <v>0.4747159859062217</v>
      </c>
      <c r="I20" s="6" t="n">
        <v>0.4747159859062217</v>
      </c>
      <c r="J20" s="6" t="n">
        <v>0.4747159859062217</v>
      </c>
      <c r="K20" s="6" t="n">
        <v>0.4747159859062217</v>
      </c>
    </row>
    <row r="21">
      <c r="A21" s="4" t="inlineStr">
        <is>
          <t>SG&amp;A % Revenue - Bull</t>
        </is>
      </c>
      <c r="G21" s="6" t="n">
        <v>0.4647159859062217</v>
      </c>
      <c r="H21" s="6" t="n">
        <v>0.4647159859062217</v>
      </c>
      <c r="I21" s="6" t="n">
        <v>0.4647159859062217</v>
      </c>
      <c r="J21" s="6" t="n">
        <v>0.4647159859062217</v>
      </c>
      <c r="K21" s="6" t="n">
        <v>0.4647159859062217</v>
      </c>
    </row>
    <row r="22">
      <c r="A22" s="4" t="inlineStr">
        <is>
          <t>SG&amp;A % Revenue - Bear</t>
        </is>
      </c>
      <c r="G22" s="6" t="n">
        <v>0.4847159859062217</v>
      </c>
      <c r="H22" s="6" t="n">
        <v>0.4847159859062217</v>
      </c>
      <c r="I22" s="6" t="n">
        <v>0.4847159859062217</v>
      </c>
      <c r="J22" s="6" t="n">
        <v>0.4847159859062217</v>
      </c>
      <c r="K22" s="6" t="n">
        <v>0.4847159859062217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0.07605940667402125</v>
      </c>
      <c r="H25" s="6" t="n">
        <v>0.07605940667402125</v>
      </c>
      <c r="I25" s="6" t="n">
        <v>0.07605940667402125</v>
      </c>
      <c r="J25" s="6" t="n">
        <v>0.07605940667402125</v>
      </c>
      <c r="K25" s="6" t="n">
        <v>0.07605940667402125</v>
      </c>
    </row>
    <row r="26">
      <c r="A26" s="4" t="inlineStr">
        <is>
          <t>R&amp;D % Revenue - Bull</t>
        </is>
      </c>
      <c r="G26" s="6" t="n">
        <v>0.07605940667402125</v>
      </c>
      <c r="H26" s="6" t="n">
        <v>0.07605940667402125</v>
      </c>
      <c r="I26" s="6" t="n">
        <v>0.07605940667402125</v>
      </c>
      <c r="J26" s="6" t="n">
        <v>0.07605940667402125</v>
      </c>
      <c r="K26" s="6" t="n">
        <v>0.07605940667402125</v>
      </c>
    </row>
    <row r="27">
      <c r="A27" s="4" t="inlineStr">
        <is>
          <t>R&amp;D % Revenue - Bear</t>
        </is>
      </c>
      <c r="G27" s="6" t="n">
        <v>0.08105940667402126</v>
      </c>
      <c r="H27" s="6" t="n">
        <v>0.08105940667402126</v>
      </c>
      <c r="I27" s="6" t="n">
        <v>0.08105940667402126</v>
      </c>
      <c r="J27" s="6" t="n">
        <v>0.08105940667402126</v>
      </c>
      <c r="K27" s="6" t="n">
        <v>0.08105940667402126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0.07884257115150253</v>
      </c>
      <c r="H30" s="6" t="n">
        <v>0.07884257115150253</v>
      </c>
      <c r="I30" s="6" t="n">
        <v>0.07884257115150253</v>
      </c>
      <c r="J30" s="6" t="n">
        <v>0.07884257115150253</v>
      </c>
      <c r="K30" s="6" t="n">
        <v>0.07884257115150253</v>
      </c>
    </row>
    <row r="31">
      <c r="A31" s="4" t="inlineStr">
        <is>
          <t>CapEx % Revenue</t>
        </is>
      </c>
      <c r="G31" s="6" t="n">
        <v>0.06345512973621976</v>
      </c>
      <c r="H31" s="6" t="n">
        <v>0.06345512973621976</v>
      </c>
      <c r="I31" s="6" t="n">
        <v>0.06345512973621976</v>
      </c>
      <c r="J31" s="6" t="n">
        <v>0.06345512973621976</v>
      </c>
      <c r="K31" s="6" t="n">
        <v>0.06345512973621976</v>
      </c>
    </row>
    <row r="32">
      <c r="A32" s="4" t="inlineStr">
        <is>
          <t>Tax Rate</t>
        </is>
      </c>
      <c r="G32" s="6" t="n">
        <v>0.35</v>
      </c>
      <c r="H32" s="6" t="n">
        <v>0.35</v>
      </c>
      <c r="I32" s="6" t="n">
        <v>0.35</v>
      </c>
      <c r="J32" s="6" t="n">
        <v>0.35</v>
      </c>
      <c r="K32" s="6" t="n">
        <v>0.35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0.1118</v>
      </c>
    </row>
    <row r="36">
      <c r="A36" s="4" t="inlineStr">
        <is>
          <t>WACC - Bull</t>
        </is>
      </c>
      <c r="C36" s="6" t="n">
        <v>0.1018</v>
      </c>
    </row>
    <row r="37">
      <c r="A37" s="4" t="inlineStr">
        <is>
          <t>WACC - Bear</t>
        </is>
      </c>
      <c r="C37" s="6" t="n">
        <v>0.1318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13</v>
      </c>
    </row>
    <row r="41">
      <c r="A41" s="4" t="inlineStr">
        <is>
          <t>Terminal Value Multiple - Bull</t>
        </is>
      </c>
      <c r="C41" s="9" t="n">
        <v>15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Simulations Plus, Inc. (SLP)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53.906</v>
      </c>
      <c r="D6" s="5" t="n">
        <v>59.577</v>
      </c>
      <c r="E6" s="5" t="n">
        <v>70.01300000000001</v>
      </c>
      <c r="F6" s="5" t="n">
        <v>79.179</v>
      </c>
    </row>
    <row r="7">
      <c r="A7" s="4" t="inlineStr">
        <is>
          <t>Cost of Revenue</t>
        </is>
      </c>
      <c r="C7" s="5" t="n">
        <v>10.822</v>
      </c>
      <c r="D7" s="5" t="n">
        <v>11.63</v>
      </c>
      <c r="E7" s="5" t="n">
        <v>26.862</v>
      </c>
      <c r="F7" s="5" t="n">
        <v>32.958</v>
      </c>
    </row>
    <row r="8">
      <c r="A8" s="2" t="inlineStr">
        <is>
          <t>Gross Profit</t>
        </is>
      </c>
      <c r="C8" s="5" t="n">
        <v>43.084</v>
      </c>
      <c r="D8" s="5" t="n">
        <v>47.947</v>
      </c>
      <c r="E8" s="5" t="n">
        <v>43.151</v>
      </c>
      <c r="F8" s="5" t="n">
        <v>46.221</v>
      </c>
    </row>
    <row r="9">
      <c r="A9" s="4" t="inlineStr">
        <is>
          <t xml:space="preserve">  Gross Margin</t>
        </is>
      </c>
      <c r="C9" s="11" t="n">
        <v>0.7992431269246466</v>
      </c>
      <c r="D9" s="11" t="n">
        <v>0.8047904392634742</v>
      </c>
      <c r="E9" s="11" t="n">
        <v>0.6163283961549998</v>
      </c>
      <c r="F9" s="11" t="n">
        <v>0.5837532679119464</v>
      </c>
    </row>
    <row r="11">
      <c r="A11" s="4" t="inlineStr">
        <is>
          <t>R&amp;D Expense</t>
        </is>
      </c>
      <c r="C11" s="5" t="n">
        <v>3.208</v>
      </c>
      <c r="D11" s="5" t="n">
        <v>4.504</v>
      </c>
      <c r="E11" s="5" t="n">
        <v>5.754</v>
      </c>
      <c r="F11" s="5" t="n">
        <v>6.884</v>
      </c>
    </row>
    <row r="12">
      <c r="A12" s="4" t="inlineStr">
        <is>
          <t>SG&amp;A Expense</t>
        </is>
      </c>
      <c r="C12" s="5" t="n">
        <v>24.965</v>
      </c>
      <c r="D12" s="5" t="n">
        <v>34.218</v>
      </c>
      <c r="E12" s="5" t="n">
        <v>31.266</v>
      </c>
      <c r="F12" s="5" t="n">
        <v>32.845</v>
      </c>
    </row>
    <row r="13">
      <c r="A13" s="2" t="inlineStr">
        <is>
          <t>Operating Income (EBIT)</t>
        </is>
      </c>
      <c r="C13" s="5" t="n">
        <v>14.911</v>
      </c>
      <c r="D13" s="5" t="n">
        <v>9.225</v>
      </c>
      <c r="E13" s="5" t="n">
        <v>6.131</v>
      </c>
      <c r="F13" s="5" t="n">
        <v>6.492</v>
      </c>
    </row>
    <row r="14">
      <c r="A14" s="4" t="inlineStr">
        <is>
          <t xml:space="preserve">  EBIT Margin</t>
        </is>
      </c>
      <c r="C14" s="11" t="n">
        <v>0.2766111379067265</v>
      </c>
      <c r="D14" s="11" t="n">
        <v>0.1548416335162899</v>
      </c>
      <c r="E14" s="11" t="n">
        <v>0.08756945138759945</v>
      </c>
      <c r="F14" s="11" t="n">
        <v>0.08199143712347971</v>
      </c>
    </row>
    <row r="16">
      <c r="A16" s="4" t="inlineStr">
        <is>
          <t>Interest Expense</t>
        </is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4" t="inlineStr">
        <is>
          <t>Tax Provision</t>
        </is>
      </c>
      <c r="C17" s="5" t="n">
        <v>2.632</v>
      </c>
      <c r="D17" s="5" t="n">
        <v>1.734</v>
      </c>
      <c r="E17" s="5" t="n">
        <v>2.457</v>
      </c>
      <c r="F17" s="5" t="n">
        <v>-4.659</v>
      </c>
    </row>
    <row r="18">
      <c r="A18" s="2" t="inlineStr">
        <is>
          <t>Net Income</t>
        </is>
      </c>
      <c r="C18" s="5" t="n">
        <v>12.483</v>
      </c>
      <c r="D18" s="5" t="n">
        <v>9.961</v>
      </c>
      <c r="E18" s="5" t="n">
        <v>9.954000000000001</v>
      </c>
      <c r="F18" s="5" t="n">
        <v>-64.718</v>
      </c>
    </row>
    <row r="19">
      <c r="A19" s="4" t="inlineStr">
        <is>
          <t xml:space="preserve">  Net Margin</t>
        </is>
      </c>
      <c r="C19" s="11" t="n">
        <v>0.2315697695989315</v>
      </c>
      <c r="D19" s="11" t="n">
        <v>0.1671953941957467</v>
      </c>
      <c r="E19" s="11" t="n">
        <v>0.1421735963321097</v>
      </c>
      <c r="F19" s="11" t="n">
        <v>-0.8173631897346518</v>
      </c>
    </row>
    <row r="21">
      <c r="A21" s="2" t="inlineStr">
        <is>
          <t>EBITDA</t>
        </is>
      </c>
      <c r="C21" s="5" t="n">
        <v>18.485</v>
      </c>
      <c r="D21" s="5" t="n">
        <v>13.065</v>
      </c>
      <c r="E21" s="5" t="n">
        <v>11.796</v>
      </c>
      <c r="F21" s="5" t="n">
        <v>14.703</v>
      </c>
    </row>
    <row r="22">
      <c r="A22" s="4" t="inlineStr">
        <is>
          <t xml:space="preserve">  EBITDA Margin</t>
        </is>
      </c>
      <c r="C22" s="11" t="n">
        <v>0.3429117352428301</v>
      </c>
      <c r="D22" s="11" t="n">
        <v>0.219296037061282</v>
      </c>
      <c r="E22" s="11" t="n">
        <v>0.1684829960150258</v>
      </c>
      <c r="F22" s="11" t="n">
        <v>0.1856931762209677</v>
      </c>
    </row>
    <row r="23">
      <c r="A23" s="4" t="inlineStr">
        <is>
          <t>Diluted EPS</t>
        </is>
      </c>
      <c r="C23" s="12" t="n">
        <v>0.6</v>
      </c>
      <c r="D23" s="12" t="n">
        <v>0.49</v>
      </c>
      <c r="E23" s="12" t="n">
        <v>0.49</v>
      </c>
      <c r="F23" s="12" t="n">
        <v>-3.22</v>
      </c>
    </row>
    <row r="24">
      <c r="A24" s="4" t="inlineStr">
        <is>
          <t>D&amp;A</t>
        </is>
      </c>
      <c r="C24" s="5" t="n">
        <v>3.574</v>
      </c>
      <c r="D24" s="5" t="n">
        <v>3.84</v>
      </c>
      <c r="E24" s="5" t="n">
        <v>5.665</v>
      </c>
      <c r="F24" s="5" t="n">
        <v>8.211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51.567</v>
      </c>
      <c r="D28" s="5" t="n">
        <v>57.523</v>
      </c>
      <c r="E28" s="5" t="n">
        <v>10.311</v>
      </c>
      <c r="F28" s="5" t="n">
        <v>30.853</v>
      </c>
    </row>
    <row r="29">
      <c r="A29" s="4" t="inlineStr">
        <is>
          <t>Current Assets</t>
        </is>
      </c>
      <c r="C29" s="5" t="n">
        <v>146.79</v>
      </c>
      <c r="D29" s="5" t="n">
        <v>130.372</v>
      </c>
      <c r="E29" s="5" t="n">
        <v>39.341</v>
      </c>
      <c r="F29" s="5" t="n">
        <v>51.549</v>
      </c>
    </row>
    <row r="30">
      <c r="A30" s="4" t="inlineStr">
        <is>
          <t>Net PP&amp;E</t>
        </is>
      </c>
      <c r="C30" s="5" t="n">
        <v>2.052</v>
      </c>
      <c r="D30" s="5" t="n">
        <v>1.918</v>
      </c>
      <c r="E30" s="5" t="n">
        <v>1.839</v>
      </c>
      <c r="F30" s="5" t="n">
        <v>1.287</v>
      </c>
    </row>
    <row r="31">
      <c r="A31" s="4" t="inlineStr">
        <is>
          <t>Goodwill</t>
        </is>
      </c>
      <c r="C31" s="5" t="n">
        <v>12.921</v>
      </c>
      <c r="D31" s="5" t="n">
        <v>19.099</v>
      </c>
      <c r="E31" s="5" t="n">
        <v>96.078</v>
      </c>
      <c r="F31" s="5" t="n">
        <v>43.717</v>
      </c>
    </row>
    <row r="32">
      <c r="A32" s="2" t="inlineStr">
        <is>
          <t>Total Assets</t>
        </is>
      </c>
      <c r="C32" s="5" t="n">
        <v>188.382</v>
      </c>
      <c r="D32" s="5" t="n">
        <v>186.101</v>
      </c>
      <c r="E32" s="5" t="n">
        <v>196.639</v>
      </c>
      <c r="F32" s="5" t="n">
        <v>131.936</v>
      </c>
    </row>
    <row r="34">
      <c r="A34" s="4" t="inlineStr">
        <is>
          <t>Current Liabilities</t>
        </is>
      </c>
      <c r="C34" s="5" t="n">
        <v>7.735</v>
      </c>
      <c r="D34" s="5" t="n">
        <v>11.987</v>
      </c>
      <c r="E34" s="5" t="n">
        <v>12.069</v>
      </c>
      <c r="F34" s="5" t="n">
        <v>6.725</v>
      </c>
    </row>
    <row r="35">
      <c r="A35" s="4" t="inlineStr">
        <is>
          <t>Total Debt</t>
        </is>
      </c>
      <c r="C35" s="5" t="n">
        <v>1.404</v>
      </c>
      <c r="D35" s="5" t="n">
        <v>1.197</v>
      </c>
      <c r="E35" s="5" t="n">
        <v>1.006</v>
      </c>
      <c r="F35" s="5" t="n">
        <v>0.616</v>
      </c>
    </row>
    <row r="36">
      <c r="A36" s="2" t="inlineStr">
        <is>
          <t>Total Liabilities</t>
        </is>
      </c>
      <c r="C36" s="5" t="n">
        <v>10.134</v>
      </c>
      <c r="D36" s="5" t="n">
        <v>16.072</v>
      </c>
      <c r="E36" s="5" t="n">
        <v>14.208</v>
      </c>
      <c r="F36" s="5" t="n">
        <v>7.135</v>
      </c>
    </row>
    <row r="38">
      <c r="A38" s="2" t="inlineStr">
        <is>
          <t>Total Equity</t>
        </is>
      </c>
      <c r="C38" s="5" t="n">
        <v>178.248</v>
      </c>
      <c r="D38" s="5" t="n">
        <v>170.029</v>
      </c>
      <c r="E38" s="5" t="n">
        <v>182.431</v>
      </c>
      <c r="F38" s="5" t="n">
        <v>124.801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17.9</v>
      </c>
      <c r="D42" s="5" t="n">
        <v>21.856</v>
      </c>
      <c r="E42" s="5" t="n">
        <v>13.32</v>
      </c>
      <c r="F42" s="5" t="n">
        <v>18.126</v>
      </c>
    </row>
    <row r="43">
      <c r="A43" s="4" t="inlineStr">
        <is>
          <t>Capital Expenditure</t>
        </is>
      </c>
      <c r="C43" s="5" t="n">
        <v>-3.97</v>
      </c>
      <c r="D43" s="5" t="n">
        <v>-4.273</v>
      </c>
      <c r="E43" s="5" t="n">
        <v>-4.301</v>
      </c>
      <c r="F43" s="5" t="n">
        <v>-3.723</v>
      </c>
    </row>
    <row r="44">
      <c r="A44" s="2" t="inlineStr">
        <is>
          <t>Free Cash Flow</t>
        </is>
      </c>
      <c r="C44" s="5" t="n">
        <v>13.93</v>
      </c>
      <c r="D44" s="5" t="n">
        <v>17.583</v>
      </c>
      <c r="E44" s="5" t="n">
        <v>9.019</v>
      </c>
      <c r="F44" s="5" t="n">
        <v>14.403</v>
      </c>
    </row>
    <row r="46">
      <c r="A46" s="4" t="inlineStr">
        <is>
          <t>D&amp;A</t>
        </is>
      </c>
      <c r="C46" s="5" t="n">
        <v>3.574</v>
      </c>
      <c r="D46" s="5" t="n">
        <v>3.84</v>
      </c>
      <c r="E46" s="5" t="n">
        <v>5.665</v>
      </c>
      <c r="F46" s="5" t="n">
        <v>8.211</v>
      </c>
    </row>
    <row r="47">
      <c r="A47" s="4" t="inlineStr">
        <is>
          <t>Stock-Based Compensation</t>
        </is>
      </c>
      <c r="C47" s="5" t="n">
        <v>3.037</v>
      </c>
      <c r="D47" s="5" t="n">
        <v>4.828</v>
      </c>
      <c r="E47" s="5" t="n">
        <v>6.538</v>
      </c>
      <c r="F47" s="5" t="n">
        <v>6.354</v>
      </c>
    </row>
    <row r="48">
      <c r="A48" s="4" t="inlineStr">
        <is>
          <t>Change in Working Capital</t>
        </is>
      </c>
      <c r="C48" s="5" t="n">
        <v>-2.62</v>
      </c>
      <c r="D48" s="5" t="n">
        <v>5.103</v>
      </c>
      <c r="E48" s="5" t="n">
        <v>-4.212</v>
      </c>
      <c r="F48" s="5" t="n">
        <v>-2.586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Simulations Plus, Inc. (SLP)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Health Information Services</t>
        </is>
      </c>
      <c r="C8" s="5" t="n">
        <v>53.906</v>
      </c>
      <c r="D8" s="5" t="n">
        <v>59.577</v>
      </c>
      <c r="E8" s="5" t="n">
        <v>70.01300000000001</v>
      </c>
      <c r="F8" s="5" t="n">
        <v>79.179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10.822</v>
      </c>
      <c r="D16" s="5" t="n">
        <v>11.63</v>
      </c>
      <c r="E16" s="5" t="n">
        <v>26.862</v>
      </c>
      <c r="F16" s="5" t="n">
        <v>32.958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24.965</v>
      </c>
      <c r="D20" s="5" t="n">
        <v>34.218</v>
      </c>
      <c r="E20" s="5" t="n">
        <v>31.266</v>
      </c>
      <c r="F20" s="5" t="n">
        <v>32.845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3.208</v>
      </c>
      <c r="D21" s="5" t="n">
        <v>4.504</v>
      </c>
      <c r="E21" s="5" t="n">
        <v>5.754</v>
      </c>
      <c r="F21" s="5" t="n">
        <v>6.884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3.574</v>
      </c>
      <c r="D22" s="5" t="n">
        <v>3.84</v>
      </c>
      <c r="E22" s="5" t="n">
        <v>5.665</v>
      </c>
      <c r="F22" s="5" t="n">
        <v>8.211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2.632</v>
      </c>
      <c r="D31" s="5" t="n">
        <v>1.734</v>
      </c>
      <c r="E31" s="5" t="n">
        <v>2.457</v>
      </c>
      <c r="F31" s="5" t="n">
        <v>-4.659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-2.62</v>
      </c>
      <c r="D39" s="5" t="n">
        <v>5.103</v>
      </c>
      <c r="E39" s="5" t="n">
        <v>-4.212</v>
      </c>
      <c r="F39" s="5" t="n">
        <v>-2.586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-3.97</v>
      </c>
      <c r="D42" s="5" t="n">
        <v>-4.273</v>
      </c>
      <c r="E42" s="5" t="n">
        <v>-4.301</v>
      </c>
      <c r="F42" s="5" t="n">
        <v>-3.723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Simulations Plus, Inc. (SLP)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12.12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30.237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20.146585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C33/12.12-1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9x</t>
        </is>
      </c>
      <c r="D38" s="1" t="inlineStr">
        <is>
          <t>11x</t>
        </is>
      </c>
      <c r="E38" s="1" t="inlineStr">
        <is>
          <t>13x</t>
        </is>
      </c>
      <c r="F38" s="1" t="inlineStr">
        <is>
          <t>15x</t>
        </is>
      </c>
      <c r="G38" s="1" t="inlineStr">
        <is>
          <t>17x</t>
        </is>
      </c>
    </row>
    <row r="39">
      <c r="A39" s="21" t="n">
        <v>0.0818</v>
      </c>
      <c r="C39" s="22">
        <f>(G$12/(1+$A$39)^1+H$12/(1+$A$39)^2+I$12/(1+$A$39)^3+J$12/(1+$A$39)^4+K$12/(1+$A$39)^5+K$12*9/(1+$A$39)^5+$C$29)/$C$32</f>
        <v/>
      </c>
      <c r="D39" s="22">
        <f>(G$12/(1+$A$39)^1+H$12/(1+$A$39)^2+I$12/(1+$A$39)^3+J$12/(1+$A$39)^4+K$12/(1+$A$39)^5+K$12*11/(1+$A$39)^5+$C$29)/$C$32</f>
        <v/>
      </c>
      <c r="E39" s="22">
        <f>(G$12/(1+$A$39)^1+H$12/(1+$A$39)^2+I$12/(1+$A$39)^3+J$12/(1+$A$39)^4+K$12/(1+$A$39)^5+K$12*13/(1+$A$39)^5+$C$29)/$C$32</f>
        <v/>
      </c>
      <c r="F39" s="22">
        <f>(G$12/(1+$A$39)^1+H$12/(1+$A$39)^2+I$12/(1+$A$39)^3+J$12/(1+$A$39)^4+K$12/(1+$A$39)^5+K$12*15/(1+$A$39)^5+$C$29)/$C$32</f>
        <v/>
      </c>
      <c r="G39" s="22">
        <f>(G$12/(1+$A$39)^1+H$12/(1+$A$39)^2+I$12/(1+$A$39)^3+J$12/(1+$A$39)^4+K$12/(1+$A$39)^5+K$12*17/(1+$A$39)^5+$C$29)/$C$32</f>
        <v/>
      </c>
    </row>
    <row r="40">
      <c r="A40" s="21" t="n">
        <v>0.09179999999999999</v>
      </c>
      <c r="C40" s="22">
        <f>(G$12/(1+$A$40)^1+H$12/(1+$A$40)^2+I$12/(1+$A$40)^3+J$12/(1+$A$40)^4+K$12/(1+$A$40)^5+K$12*9/(1+$A$40)^5+$C$29)/$C$32</f>
        <v/>
      </c>
      <c r="D40" s="22">
        <f>(G$12/(1+$A$40)^1+H$12/(1+$A$40)^2+I$12/(1+$A$40)^3+J$12/(1+$A$40)^4+K$12/(1+$A$40)^5+K$12*11/(1+$A$40)^5+$C$29)/$C$32</f>
        <v/>
      </c>
      <c r="E40" s="22">
        <f>(G$12/(1+$A$40)^1+H$12/(1+$A$40)^2+I$12/(1+$A$40)^3+J$12/(1+$A$40)^4+K$12/(1+$A$40)^5+K$12*13/(1+$A$40)^5+$C$29)/$C$32</f>
        <v/>
      </c>
      <c r="F40" s="22">
        <f>(G$12/(1+$A$40)^1+H$12/(1+$A$40)^2+I$12/(1+$A$40)^3+J$12/(1+$A$40)^4+K$12/(1+$A$40)^5+K$12*15/(1+$A$40)^5+$C$29)/$C$32</f>
        <v/>
      </c>
      <c r="G40" s="22">
        <f>(G$12/(1+$A$40)^1+H$12/(1+$A$40)^2+I$12/(1+$A$40)^3+J$12/(1+$A$40)^4+K$12/(1+$A$40)^5+K$12*17/(1+$A$40)^5+$C$29)/$C$32</f>
        <v/>
      </c>
    </row>
    <row r="41">
      <c r="A41" s="21" t="n">
        <v>0.1018</v>
      </c>
      <c r="C41" s="22">
        <f>(G$12/(1+$A$41)^1+H$12/(1+$A$41)^2+I$12/(1+$A$41)^3+J$12/(1+$A$41)^4+K$12/(1+$A$41)^5+K$12*9/(1+$A$41)^5+$C$29)/$C$32</f>
        <v/>
      </c>
      <c r="D41" s="22">
        <f>(G$12/(1+$A$41)^1+H$12/(1+$A$41)^2+I$12/(1+$A$41)^3+J$12/(1+$A$41)^4+K$12/(1+$A$41)^5+K$12*11/(1+$A$41)^5+$C$29)/$C$32</f>
        <v/>
      </c>
      <c r="E41" s="22">
        <f>(G$12/(1+$A$41)^1+H$12/(1+$A$41)^2+I$12/(1+$A$41)^3+J$12/(1+$A$41)^4+K$12/(1+$A$41)^5+K$12*13/(1+$A$41)^5+$C$29)/$C$32</f>
        <v/>
      </c>
      <c r="F41" s="22">
        <f>(G$12/(1+$A$41)^1+H$12/(1+$A$41)^2+I$12/(1+$A$41)^3+J$12/(1+$A$41)^4+K$12/(1+$A$41)^5+K$12*15/(1+$A$41)^5+$C$29)/$C$32</f>
        <v/>
      </c>
      <c r="G41" s="22">
        <f>(G$12/(1+$A$41)^1+H$12/(1+$A$41)^2+I$12/(1+$A$41)^3+J$12/(1+$A$41)^4+K$12/(1+$A$41)^5+K$12*17/(1+$A$41)^5+$C$29)/$C$32</f>
        <v/>
      </c>
    </row>
    <row r="42">
      <c r="A42" s="21" t="n">
        <v>0.1118</v>
      </c>
      <c r="C42" s="22">
        <f>(G$12/(1+$A$42)^1+H$12/(1+$A$42)^2+I$12/(1+$A$42)^3+J$12/(1+$A$42)^4+K$12/(1+$A$42)^5+K$12*9/(1+$A$42)^5+$C$29)/$C$32</f>
        <v/>
      </c>
      <c r="D42" s="22">
        <f>(G$12/(1+$A$42)^1+H$12/(1+$A$42)^2+I$12/(1+$A$42)^3+J$12/(1+$A$42)^4+K$12/(1+$A$42)^5+K$12*11/(1+$A$42)^5+$C$29)/$C$32</f>
        <v/>
      </c>
      <c r="E42" s="23">
        <f>(G$12/(1+$A$42)^1+H$12/(1+$A$42)^2+I$12/(1+$A$42)^3+J$12/(1+$A$42)^4+K$12/(1+$A$42)^5+K$12*13/(1+$A$42)^5+$C$29)/$C$32</f>
        <v/>
      </c>
      <c r="F42" s="22">
        <f>(G$12/(1+$A$42)^1+H$12/(1+$A$42)^2+I$12/(1+$A$42)^3+J$12/(1+$A$42)^4+K$12/(1+$A$42)^5+K$12*15/(1+$A$42)^5+$C$29)/$C$32</f>
        <v/>
      </c>
      <c r="G42" s="22">
        <f>(G$12/(1+$A$42)^1+H$12/(1+$A$42)^2+I$12/(1+$A$42)^3+J$12/(1+$A$42)^4+K$12/(1+$A$42)^5+K$12*17/(1+$A$42)^5+$C$29)/$C$32</f>
        <v/>
      </c>
    </row>
    <row r="43">
      <c r="A43" s="21" t="n">
        <v>0.1218</v>
      </c>
      <c r="C43" s="22">
        <f>(G$12/(1+$A$43)^1+H$12/(1+$A$43)^2+I$12/(1+$A$43)^3+J$12/(1+$A$43)^4+K$12/(1+$A$43)^5+K$12*9/(1+$A$43)^5+$C$29)/$C$32</f>
        <v/>
      </c>
      <c r="D43" s="22">
        <f>(G$12/(1+$A$43)^1+H$12/(1+$A$43)^2+I$12/(1+$A$43)^3+J$12/(1+$A$43)^4+K$12/(1+$A$43)^5+K$12*11/(1+$A$43)^5+$C$29)/$C$32</f>
        <v/>
      </c>
      <c r="E43" s="22">
        <f>(G$12/(1+$A$43)^1+H$12/(1+$A$43)^2+I$12/(1+$A$43)^3+J$12/(1+$A$43)^4+K$12/(1+$A$43)^5+K$12*13/(1+$A$43)^5+$C$29)/$C$32</f>
        <v/>
      </c>
      <c r="F43" s="22">
        <f>(G$12/(1+$A$43)^1+H$12/(1+$A$43)^2+I$12/(1+$A$43)^3+J$12/(1+$A$43)^4+K$12/(1+$A$43)^5+K$12*15/(1+$A$43)^5+$C$29)/$C$32</f>
        <v/>
      </c>
      <c r="G43" s="22">
        <f>(G$12/(1+$A$43)^1+H$12/(1+$A$43)^2+I$12/(1+$A$43)^3+J$12/(1+$A$43)^4+K$12/(1+$A$43)^5+K$12*17/(1+$A$43)^5+$C$29)/$C$32</f>
        <v/>
      </c>
    </row>
    <row r="44">
      <c r="A44" s="21" t="n">
        <v>0.1318</v>
      </c>
      <c r="C44" s="22">
        <f>(G$12/(1+$A$44)^1+H$12/(1+$A$44)^2+I$12/(1+$A$44)^3+J$12/(1+$A$44)^4+K$12/(1+$A$44)^5+K$12*9/(1+$A$44)^5+$C$29)/$C$32</f>
        <v/>
      </c>
      <c r="D44" s="22">
        <f>(G$12/(1+$A$44)^1+H$12/(1+$A$44)^2+I$12/(1+$A$44)^3+J$12/(1+$A$44)^4+K$12/(1+$A$44)^5+K$12*11/(1+$A$44)^5+$C$29)/$C$32</f>
        <v/>
      </c>
      <c r="E44" s="22">
        <f>(G$12/(1+$A$44)^1+H$12/(1+$A$44)^2+I$12/(1+$A$44)^3+J$12/(1+$A$44)^4+K$12/(1+$A$44)^5+K$12*13/(1+$A$44)^5+$C$29)/$C$32</f>
        <v/>
      </c>
      <c r="F44" s="22">
        <f>(G$12/(1+$A$44)^1+H$12/(1+$A$44)^2+I$12/(1+$A$44)^3+J$12/(1+$A$44)^4+K$12/(1+$A$44)^5+K$12*15/(1+$A$44)^5+$C$29)/$C$32</f>
        <v/>
      </c>
      <c r="G44" s="22">
        <f>(G$12/(1+$A$44)^1+H$12/(1+$A$44)^2+I$12/(1+$A$44)^3+J$12/(1+$A$44)^4+K$12/(1+$A$44)^5+K$12*17/(1+$A$44)^5+$C$29)/$C$32</f>
        <v/>
      </c>
    </row>
    <row r="45">
      <c r="A45" s="21" t="n">
        <v>0.1418</v>
      </c>
      <c r="C45" s="22">
        <f>(G$12/(1+$A$45)^1+H$12/(1+$A$45)^2+I$12/(1+$A$45)^3+J$12/(1+$A$45)^4+K$12/(1+$A$45)^5+K$12*9/(1+$A$45)^5+$C$29)/$C$32</f>
        <v/>
      </c>
      <c r="D45" s="22">
        <f>(G$12/(1+$A$45)^1+H$12/(1+$A$45)^2+I$12/(1+$A$45)^3+J$12/(1+$A$45)^4+K$12/(1+$A$45)^5+K$12*11/(1+$A$45)^5+$C$29)/$C$32</f>
        <v/>
      </c>
      <c r="E45" s="22">
        <f>(G$12/(1+$A$45)^1+H$12/(1+$A$45)^2+I$12/(1+$A$45)^3+J$12/(1+$A$45)^4+K$12/(1+$A$45)^5+K$12*13/(1+$A$45)^5+$C$29)/$C$32</f>
        <v/>
      </c>
      <c r="F45" s="22">
        <f>(G$12/(1+$A$45)^1+H$12/(1+$A$45)^2+I$12/(1+$A$45)^3+J$12/(1+$A$45)^4+K$12/(1+$A$45)^5+K$12*15/(1+$A$45)^5+$C$29)/$C$32</f>
        <v/>
      </c>
      <c r="G45" s="22">
        <f>(G$12/(1+$A$45)^1+H$12/(1+$A$45)^2+I$12/(1+$A$45)^3+J$12/(1+$A$45)^4+K$12/(1+$A$45)^5+K$12*17/(1+$A$45)^5+$C$29)/$C$32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2026-03-17T10:17:18Z</dcterms:created>
  <dcterms:modified xmlns:dcterms="http://purl.org/dc/terms/" xmlns:xsi="http://www.w3.org/2001/XMLSchema-instance" xsi:type="dcterms:W3CDTF">2026-03-17T10:17:18Z</dcterms:modified>
</cp:coreProperties>
</file>