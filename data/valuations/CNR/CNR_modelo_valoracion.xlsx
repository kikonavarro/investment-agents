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Core Natural Resources, Inc. (CNR)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Thermal Coal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2280.018</v>
      </c>
      <c r="D7" s="5" t="n">
        <v>2506.635</v>
      </c>
      <c r="E7" s="5" t="n">
        <v>2164.406</v>
      </c>
      <c r="F7" s="5" t="n">
        <v>4164.775</v>
      </c>
    </row>
    <row r="8">
      <c r="A8" s="4" t="inlineStr">
        <is>
          <t xml:space="preserve">  Revenue Growth - Base</t>
        </is>
      </c>
      <c r="G8" s="6" t="n">
        <v>0.12</v>
      </c>
      <c r="H8" s="6" t="n">
        <v>0.02</v>
      </c>
      <c r="I8" s="6" t="n">
        <v>0.01</v>
      </c>
      <c r="J8" s="6" t="n">
        <v>0</v>
      </c>
      <c r="K8" s="6" t="n">
        <v>-0.01</v>
      </c>
    </row>
    <row r="9">
      <c r="A9" s="4" t="inlineStr">
        <is>
          <t xml:space="preserve">  Revenue Growth - Bull</t>
        </is>
      </c>
      <c r="G9" s="6" t="n">
        <v>0.15</v>
      </c>
      <c r="H9" s="6" t="n">
        <v>0.04</v>
      </c>
      <c r="I9" s="6" t="n">
        <v>0.02</v>
      </c>
      <c r="J9" s="6" t="n">
        <v>0.01</v>
      </c>
      <c r="K9" s="6" t="n">
        <v>0</v>
      </c>
    </row>
    <row r="10">
      <c r="A10" s="4" t="inlineStr">
        <is>
          <t xml:space="preserve">  Revenue Growth - Bear</t>
        </is>
      </c>
      <c r="G10" s="6" t="n">
        <v>0.08</v>
      </c>
      <c r="H10" s="6" t="n">
        <v>0</v>
      </c>
      <c r="I10" s="6" t="n">
        <v>-0.02</v>
      </c>
      <c r="J10" s="6" t="n">
        <v>-0.02</v>
      </c>
      <c r="K10" s="6" t="n">
        <v>-0.02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0.14</v>
      </c>
      <c r="H15" s="6" t="n">
        <v>0.14</v>
      </c>
      <c r="I15" s="6" t="n">
        <v>0.14</v>
      </c>
      <c r="J15" s="6" t="n">
        <v>0.14</v>
      </c>
      <c r="K15" s="6" t="n">
        <v>0.14</v>
      </c>
    </row>
    <row r="16">
      <c r="A16" s="4" t="inlineStr">
        <is>
          <t>Gross Margin - Bull</t>
        </is>
      </c>
      <c r="G16" s="6" t="n">
        <v>0.17</v>
      </c>
      <c r="H16" s="6" t="n">
        <v>0.17</v>
      </c>
      <c r="I16" s="6" t="n">
        <v>0.17</v>
      </c>
      <c r="J16" s="6" t="n">
        <v>0.17</v>
      </c>
      <c r="K16" s="6" t="n">
        <v>0.17</v>
      </c>
    </row>
    <row r="17">
      <c r="A17" s="4" t="inlineStr">
        <is>
          <t>Gross Margin - Bear</t>
        </is>
      </c>
      <c r="G17" s="6" t="n">
        <v>0.1</v>
      </c>
      <c r="H17" s="6" t="n">
        <v>0.1</v>
      </c>
      <c r="I17" s="6" t="n">
        <v>0.1</v>
      </c>
      <c r="J17" s="6" t="n">
        <v>0.1</v>
      </c>
      <c r="K17" s="6" t="n">
        <v>0.1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0.05</v>
      </c>
      <c r="H20" s="6" t="n">
        <v>0.05</v>
      </c>
      <c r="I20" s="6" t="n">
        <v>0.05</v>
      </c>
      <c r="J20" s="6" t="n">
        <v>0.05</v>
      </c>
      <c r="K20" s="6" t="n">
        <v>0.05</v>
      </c>
    </row>
    <row r="21">
      <c r="A21" s="4" t="inlineStr">
        <is>
          <t>SG&amp;A % Revenue - Bull</t>
        </is>
      </c>
      <c r="G21" s="6" t="n">
        <v>0.05</v>
      </c>
      <c r="H21" s="6" t="n">
        <v>0.05</v>
      </c>
      <c r="I21" s="6" t="n">
        <v>0.05</v>
      </c>
      <c r="J21" s="6" t="n">
        <v>0.05</v>
      </c>
      <c r="K21" s="6" t="n">
        <v>0.05</v>
      </c>
    </row>
    <row r="22">
      <c r="A22" s="4" t="inlineStr">
        <is>
          <t>SG&amp;A % Revenue - Bear</t>
        </is>
      </c>
      <c r="G22" s="6" t="n">
        <v>0.05</v>
      </c>
      <c r="H22" s="6" t="n">
        <v>0.05</v>
      </c>
      <c r="I22" s="6" t="n">
        <v>0.05</v>
      </c>
      <c r="J22" s="6" t="n">
        <v>0.05</v>
      </c>
      <c r="K22" s="6" t="n">
        <v>0.05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0.13</v>
      </c>
      <c r="H30" s="6" t="n">
        <v>0.13</v>
      </c>
      <c r="I30" s="6" t="n">
        <v>0.13</v>
      </c>
      <c r="J30" s="6" t="n">
        <v>0.13</v>
      </c>
      <c r="K30" s="6" t="n">
        <v>0.13</v>
      </c>
    </row>
    <row r="31">
      <c r="A31" s="4" t="inlineStr">
        <is>
          <t>CapEx % Revenue</t>
        </is>
      </c>
      <c r="G31" s="6" t="n">
        <v>0.08</v>
      </c>
      <c r="H31" s="6" t="n">
        <v>0.08</v>
      </c>
      <c r="I31" s="6" t="n">
        <v>0.08</v>
      </c>
      <c r="J31" s="6" t="n">
        <v>0.08</v>
      </c>
      <c r="K31" s="6" t="n">
        <v>0.08</v>
      </c>
    </row>
    <row r="32">
      <c r="A32" s="4" t="inlineStr">
        <is>
          <t>Tax Rate</t>
        </is>
      </c>
      <c r="G32" s="6" t="n">
        <v>0.13</v>
      </c>
      <c r="H32" s="6" t="n">
        <v>0.13</v>
      </c>
      <c r="I32" s="6" t="n">
        <v>0.13</v>
      </c>
      <c r="J32" s="6" t="n">
        <v>0.13</v>
      </c>
      <c r="K32" s="6" t="n">
        <v>0.13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0.105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4.5</v>
      </c>
    </row>
    <row r="41">
      <c r="A41" s="4" t="inlineStr">
        <is>
          <t>Terminal Value Multiple - Bull</t>
        </is>
      </c>
      <c r="C41" s="9" t="n">
        <v>5</v>
      </c>
    </row>
    <row r="42">
      <c r="A42" s="4" t="inlineStr">
        <is>
          <t>Terminal Value Multiple - Bear</t>
        </is>
      </c>
      <c r="C42" s="9" t="n">
        <v>3.5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Core Natural Resources, Inc. (CNR)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2280.018</v>
      </c>
      <c r="D6" s="5" t="n">
        <v>2506.635</v>
      </c>
      <c r="E6" s="5" t="n">
        <v>2164.406</v>
      </c>
      <c r="F6" s="5" t="n">
        <v>4164.775</v>
      </c>
    </row>
    <row r="7">
      <c r="A7" s="4" t="inlineStr">
        <is>
          <t>Cost of Revenue</t>
        </is>
      </c>
      <c r="C7" s="5" t="n">
        <v>409.319</v>
      </c>
      <c r="D7" s="5" t="n">
        <v>1618.94</v>
      </c>
      <c r="E7" s="5" t="n">
        <v>1654.958</v>
      </c>
      <c r="F7" s="5" t="n">
        <v>4165.884</v>
      </c>
    </row>
    <row r="8">
      <c r="A8" s="2" t="inlineStr">
        <is>
          <t>Gross Profit</t>
        </is>
      </c>
      <c r="C8" s="5" t="n">
        <v>1870.699</v>
      </c>
      <c r="D8" s="5" t="n">
        <v>887.6950000000001</v>
      </c>
      <c r="E8" s="5" t="n">
        <v>509.448</v>
      </c>
      <c r="F8" s="5" t="n">
        <v>-1.109</v>
      </c>
    </row>
    <row r="9">
      <c r="A9" s="4" t="inlineStr">
        <is>
          <t xml:space="preserve">  Gross Margin</t>
        </is>
      </c>
      <c r="C9" s="11" t="n">
        <v>0.8204755401053851</v>
      </c>
      <c r="D9" s="11" t="n">
        <v>0.354138117436324</v>
      </c>
      <c r="E9" s="11" t="n">
        <v>0.2353754332597489</v>
      </c>
      <c r="F9" s="11" t="n">
        <v>-0.0002662808915247522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116.696</v>
      </c>
      <c r="D12" s="5" t="n">
        <v>103.47</v>
      </c>
      <c r="E12" s="5" t="n">
        <v>115.224</v>
      </c>
      <c r="F12" s="5" t="n">
        <v>214.856</v>
      </c>
    </row>
    <row r="13">
      <c r="A13" s="2" t="inlineStr">
        <is>
          <t>Operating Income (EBIT)</t>
        </is>
      </c>
      <c r="C13" s="5" t="n">
        <v>804.7809999999999</v>
      </c>
      <c r="D13" s="5" t="n">
        <v>803.336</v>
      </c>
      <c r="E13" s="5" t="n">
        <v>394.224</v>
      </c>
      <c r="F13" s="5" t="n">
        <v>-215.965</v>
      </c>
    </row>
    <row r="14">
      <c r="A14" s="4" t="inlineStr">
        <is>
          <t xml:space="preserve">  EBIT Margin</t>
        </is>
      </c>
      <c r="C14" s="11" t="n">
        <v>0.3529713361912055</v>
      </c>
      <c r="D14" s="11" t="n">
        <v>0.3204838358995227</v>
      </c>
      <c r="E14" s="11" t="n">
        <v>0.1821395800972646</v>
      </c>
      <c r="F14" s="11" t="n">
        <v>-0.0518551422345745</v>
      </c>
    </row>
    <row r="16">
      <c r="A16" s="4" t="inlineStr">
        <is>
          <t>Interest Expense</t>
        </is>
      </c>
      <c r="C16" s="5" t="n">
        <v>52.64</v>
      </c>
      <c r="D16" s="5" t="n">
        <v>29.325</v>
      </c>
      <c r="E16" s="5" t="n">
        <v>22.192</v>
      </c>
      <c r="F16" s="5" t="n">
        <v>40.124</v>
      </c>
    </row>
    <row r="17">
      <c r="A17" s="4" t="inlineStr">
        <is>
          <t>Tax Provision</t>
        </is>
      </c>
      <c r="C17" s="5" t="n">
        <v>101.458</v>
      </c>
      <c r="D17" s="5" t="n">
        <v>121.98</v>
      </c>
      <c r="E17" s="5" t="n">
        <v>44.242</v>
      </c>
      <c r="F17" s="5" t="n">
        <v>-80.48699999999999</v>
      </c>
    </row>
    <row r="18">
      <c r="A18" s="2" t="inlineStr">
        <is>
          <t>Net Income</t>
        </is>
      </c>
      <c r="C18" s="5" t="n">
        <v>466.979</v>
      </c>
      <c r="D18" s="5" t="n">
        <v>655.8920000000001</v>
      </c>
      <c r="E18" s="5" t="n">
        <v>286.405</v>
      </c>
      <c r="F18" s="5" t="n">
        <v>-153.216</v>
      </c>
    </row>
    <row r="19">
      <c r="A19" s="4" t="inlineStr">
        <is>
          <t xml:space="preserve">  Net Margin</t>
        </is>
      </c>
      <c r="C19" s="11" t="n">
        <v>0.204813733926662</v>
      </c>
      <c r="D19" s="11" t="n">
        <v>0.2616623481280681</v>
      </c>
      <c r="E19" s="11" t="n">
        <v>0.1323249889346084</v>
      </c>
      <c r="F19" s="11" t="n">
        <v>-0.03678854199806712</v>
      </c>
    </row>
    <row r="21">
      <c r="A21" s="2" t="inlineStr">
        <is>
          <t>EBITDA</t>
        </is>
      </c>
      <c r="C21" s="5" t="n">
        <v>847.955</v>
      </c>
      <c r="D21" s="5" t="n">
        <v>1048.514</v>
      </c>
      <c r="E21" s="5" t="n">
        <v>576.365</v>
      </c>
      <c r="F21" s="5" t="n">
        <v>427.488</v>
      </c>
    </row>
    <row r="22">
      <c r="A22" s="4" t="inlineStr">
        <is>
          <t xml:space="preserve">  EBITDA Margin</t>
        </is>
      </c>
      <c r="C22" s="11" t="n">
        <v>0.3719071516102066</v>
      </c>
      <c r="D22" s="11" t="n">
        <v>0.4182954438919109</v>
      </c>
      <c r="E22" s="11" t="n">
        <v>0.2662924608414503</v>
      </c>
      <c r="F22" s="11" t="n">
        <v>0.102643720248993</v>
      </c>
    </row>
    <row r="23">
      <c r="A23" s="4" t="inlineStr">
        <is>
          <t>Diluted EPS</t>
        </is>
      </c>
      <c r="C23" s="12" t="n">
        <v>13.07</v>
      </c>
      <c r="D23" s="12" t="n">
        <v>19.79</v>
      </c>
      <c r="E23" s="12" t="n">
        <v>9.609999999999999</v>
      </c>
      <c r="F23" s="12" t="n">
        <v>-2.98</v>
      </c>
    </row>
    <row r="24">
      <c r="A24" s="4" t="inlineStr">
        <is>
          <t>D&amp;A</t>
        </is>
      </c>
      <c r="C24" s="5" t="n">
        <v>226.878</v>
      </c>
      <c r="D24" s="5" t="n">
        <v>241.317</v>
      </c>
      <c r="E24" s="5" t="n">
        <v>223.526</v>
      </c>
      <c r="F24" s="5" t="n">
        <v>621.067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273.07</v>
      </c>
      <c r="D28" s="5" t="n">
        <v>199.371</v>
      </c>
      <c r="E28" s="5" t="n">
        <v>408.24</v>
      </c>
      <c r="F28" s="5" t="n">
        <v>432.174</v>
      </c>
    </row>
    <row r="29">
      <c r="A29" s="4" t="inlineStr">
        <is>
          <t>Current Assets</t>
        </is>
      </c>
      <c r="C29" s="5" t="n">
        <v>598.4829999999999</v>
      </c>
      <c r="D29" s="5" t="n">
        <v>601.006</v>
      </c>
      <c r="E29" s="5" t="n">
        <v>785.958</v>
      </c>
      <c r="F29" s="5" t="n">
        <v>1340.222</v>
      </c>
    </row>
    <row r="30">
      <c r="A30" s="4" t="inlineStr">
        <is>
          <t>Net PP&amp;E</t>
        </is>
      </c>
      <c r="C30" s="5" t="n">
        <v>1979.881</v>
      </c>
      <c r="D30" s="5" t="n">
        <v>1917.781</v>
      </c>
      <c r="E30" s="5" t="n">
        <v>1921.699</v>
      </c>
      <c r="F30" s="5" t="n">
        <v>4386.882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2704.377</v>
      </c>
      <c r="D32" s="5" t="n">
        <v>2675.003</v>
      </c>
      <c r="E32" s="5" t="n">
        <v>2879.543</v>
      </c>
      <c r="F32" s="5" t="n">
        <v>6130.053</v>
      </c>
    </row>
    <row r="34">
      <c r="A34" s="4" t="inlineStr">
        <is>
          <t>Current Liabilities</t>
        </is>
      </c>
      <c r="C34" s="5" t="n">
        <v>448.798</v>
      </c>
      <c r="D34" s="5" t="n">
        <v>443.724</v>
      </c>
      <c r="E34" s="5" t="n">
        <v>518.684</v>
      </c>
      <c r="F34" s="5" t="n">
        <v>838.289</v>
      </c>
    </row>
    <row r="35">
      <c r="A35" s="4" t="inlineStr">
        <is>
          <t>Total Debt</t>
        </is>
      </c>
      <c r="C35" s="5" t="n">
        <v>404.176</v>
      </c>
      <c r="D35" s="5" t="n">
        <v>212.327</v>
      </c>
      <c r="E35" s="5" t="n">
        <v>207.659</v>
      </c>
      <c r="F35" s="5" t="n">
        <v>452.488</v>
      </c>
    </row>
    <row r="36">
      <c r="A36" s="2" t="inlineStr">
        <is>
          <t>Total Liabilities</t>
        </is>
      </c>
      <c r="C36" s="5" t="n">
        <v>1538.551</v>
      </c>
      <c r="D36" s="5" t="n">
        <v>1331.561</v>
      </c>
      <c r="E36" s="5" t="n">
        <v>1311.296</v>
      </c>
      <c r="F36" s="5" t="n">
        <v>2451.819</v>
      </c>
    </row>
    <row r="38">
      <c r="A38" s="2" t="inlineStr">
        <is>
          <t>Total Equity</t>
        </is>
      </c>
      <c r="C38" s="5" t="n">
        <v>1165.826</v>
      </c>
      <c r="D38" s="5" t="n">
        <v>1343.442</v>
      </c>
      <c r="E38" s="5" t="n">
        <v>1568.247</v>
      </c>
      <c r="F38" s="5" t="n">
        <v>3678.234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650.99</v>
      </c>
      <c r="D42" s="5" t="n">
        <v>857.949</v>
      </c>
      <c r="E42" s="5" t="n">
        <v>476.39</v>
      </c>
      <c r="F42" s="5" t="n">
        <v>305.752</v>
      </c>
    </row>
    <row r="43">
      <c r="A43" s="4" t="inlineStr">
        <is>
          <t>Capital Expenditure</t>
        </is>
      </c>
      <c r="C43" s="5" t="n">
        <v>-171.506</v>
      </c>
      <c r="D43" s="5" t="n">
        <v>-167.791</v>
      </c>
      <c r="E43" s="5" t="n">
        <v>-177.988</v>
      </c>
      <c r="F43" s="5" t="n">
        <v>-284.581</v>
      </c>
    </row>
    <row r="44">
      <c r="A44" s="2" t="inlineStr">
        <is>
          <t>Free Cash Flow</t>
        </is>
      </c>
      <c r="C44" s="5" t="n">
        <v>479.484</v>
      </c>
      <c r="D44" s="5" t="n">
        <v>690.158</v>
      </c>
      <c r="E44" s="5" t="n">
        <v>298.402</v>
      </c>
      <c r="F44" s="5" t="n">
        <v>21.171</v>
      </c>
    </row>
    <row r="46">
      <c r="A46" s="4" t="inlineStr">
        <is>
          <t>D&amp;A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4" t="inlineStr">
        <is>
          <t>Stock-Based Compensation</t>
        </is>
      </c>
      <c r="C47" s="5" t="n">
        <v>7.89</v>
      </c>
      <c r="D47" s="5" t="n">
        <v>10.046</v>
      </c>
      <c r="E47" s="5" t="n">
        <v>11.35</v>
      </c>
      <c r="F47" s="5" t="n">
        <v>32.918</v>
      </c>
    </row>
    <row r="48">
      <c r="A48" s="4" t="inlineStr">
        <is>
          <t>Change in Working Capital</t>
        </is>
      </c>
      <c r="C48" s="5" t="n">
        <v>-83.372</v>
      </c>
      <c r="D48" s="5" t="n">
        <v>-36.45</v>
      </c>
      <c r="E48" s="5" t="n">
        <v>-17.636</v>
      </c>
      <c r="F48" s="5" t="n">
        <v>-102.381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Core Natural Resources, Inc. (CNR)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Thermal Coal</t>
        </is>
      </c>
      <c r="C8" s="5" t="n">
        <v>2280.018</v>
      </c>
      <c r="D8" s="5" t="n">
        <v>2506.635</v>
      </c>
      <c r="E8" s="5" t="n">
        <v>2164.406</v>
      </c>
      <c r="F8" s="5" t="n">
        <v>4164.775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409.319</v>
      </c>
      <c r="D16" s="5" t="n">
        <v>1618.94</v>
      </c>
      <c r="E16" s="5" t="n">
        <v>1654.958</v>
      </c>
      <c r="F16" s="5" t="n">
        <v>4165.884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116.696</v>
      </c>
      <c r="D20" s="5" t="n">
        <v>103.47</v>
      </c>
      <c r="E20" s="5" t="n">
        <v>115.224</v>
      </c>
      <c r="F20" s="5" t="n">
        <v>214.856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226.878</v>
      </c>
      <c r="D22" s="5" t="n">
        <v>241.317</v>
      </c>
      <c r="E22" s="5" t="n">
        <v>223.526</v>
      </c>
      <c r="F22" s="5" t="n">
        <v>621.067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52.64</v>
      </c>
      <c r="D29" s="5" t="n">
        <v>29.325</v>
      </c>
      <c r="E29" s="5" t="n">
        <v>22.192</v>
      </c>
      <c r="F29" s="5" t="n">
        <v>40.124</v>
      </c>
      <c r="G29" s="5" t="n">
        <v>40.124</v>
      </c>
      <c r="H29" s="5" t="n">
        <v>40.124</v>
      </c>
      <c r="I29" s="5" t="n">
        <v>40.124</v>
      </c>
      <c r="J29" s="5" t="n">
        <v>40.124</v>
      </c>
      <c r="K29" s="5" t="n">
        <v>40.124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101.458</v>
      </c>
      <c r="D31" s="5" t="n">
        <v>121.98</v>
      </c>
      <c r="E31" s="5" t="n">
        <v>44.242</v>
      </c>
      <c r="F31" s="5" t="n">
        <v>-80.48699999999999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-83.372</v>
      </c>
      <c r="D39" s="5" t="n">
        <v>-36.45</v>
      </c>
      <c r="E39" s="5" t="n">
        <v>-17.636</v>
      </c>
      <c r="F39" s="5" t="n">
        <v>-102.381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-171.506</v>
      </c>
      <c r="D42" s="5" t="n">
        <v>-167.791</v>
      </c>
      <c r="E42" s="5" t="n">
        <v>-177.988</v>
      </c>
      <c r="F42" s="5" t="n">
        <v>-284.581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Core Natural Resources, Inc. (CNR)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87.59999999999999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-20.314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50.750366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C33/87.6-1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0x</t>
        </is>
      </c>
      <c r="D38" s="1" t="inlineStr">
        <is>
          <t>2x</t>
        </is>
      </c>
      <c r="E38" s="1" t="inlineStr">
        <is>
          <t>4x</t>
        </is>
      </c>
      <c r="F38" s="1" t="inlineStr">
        <is>
          <t>6x</t>
        </is>
      </c>
      <c r="G38" s="1" t="inlineStr">
        <is>
          <t>8x</t>
        </is>
      </c>
    </row>
    <row r="39">
      <c r="A39" s="21" t="n">
        <v>0.075</v>
      </c>
      <c r="C39" s="22">
        <f>(G$12/(1+$A$39)^1+H$12/(1+$A$39)^2+I$12/(1+$A$39)^3+J$12/(1+$A$39)^4+K$12/(1+$A$39)^5+K$8*0.5/(1+$A$39)^5+$C$29)/$C$32</f>
        <v/>
      </c>
      <c r="D39" s="22">
        <f>(G$12/(1+$A$39)^1+H$12/(1+$A$39)^2+I$12/(1+$A$39)^3+J$12/(1+$A$39)^4+K$12/(1+$A$39)^5+K$8*2.5/(1+$A$39)^5+$C$29)/$C$32</f>
        <v/>
      </c>
      <c r="E39" s="22">
        <f>(G$12/(1+$A$39)^1+H$12/(1+$A$39)^2+I$12/(1+$A$39)^3+J$12/(1+$A$39)^4+K$12/(1+$A$39)^5+K$8*4.5/(1+$A$39)^5+$C$29)/$C$32</f>
        <v/>
      </c>
      <c r="F39" s="22">
        <f>(G$12/(1+$A$39)^1+H$12/(1+$A$39)^2+I$12/(1+$A$39)^3+J$12/(1+$A$39)^4+K$12/(1+$A$39)^5+K$8*6.5/(1+$A$39)^5+$C$29)/$C$32</f>
        <v/>
      </c>
      <c r="G39" s="22">
        <f>(G$12/(1+$A$39)^1+H$12/(1+$A$39)^2+I$12/(1+$A$39)^3+J$12/(1+$A$39)^4+K$12/(1+$A$39)^5+K$8*8.5/(1+$A$39)^5+$C$29)/$C$32</f>
        <v/>
      </c>
    </row>
    <row r="40">
      <c r="A40" s="21" t="n">
        <v>0.08499999999999999</v>
      </c>
      <c r="C40" s="22">
        <f>(G$12/(1+$A$40)^1+H$12/(1+$A$40)^2+I$12/(1+$A$40)^3+J$12/(1+$A$40)^4+K$12/(1+$A$40)^5+K$8*0.5/(1+$A$40)^5+$C$29)/$C$32</f>
        <v/>
      </c>
      <c r="D40" s="22">
        <f>(G$12/(1+$A$40)^1+H$12/(1+$A$40)^2+I$12/(1+$A$40)^3+J$12/(1+$A$40)^4+K$12/(1+$A$40)^5+K$8*2.5/(1+$A$40)^5+$C$29)/$C$32</f>
        <v/>
      </c>
      <c r="E40" s="22">
        <f>(G$12/(1+$A$40)^1+H$12/(1+$A$40)^2+I$12/(1+$A$40)^3+J$12/(1+$A$40)^4+K$12/(1+$A$40)^5+K$8*4.5/(1+$A$40)^5+$C$29)/$C$32</f>
        <v/>
      </c>
      <c r="F40" s="22">
        <f>(G$12/(1+$A$40)^1+H$12/(1+$A$40)^2+I$12/(1+$A$40)^3+J$12/(1+$A$40)^4+K$12/(1+$A$40)^5+K$8*6.5/(1+$A$40)^5+$C$29)/$C$32</f>
        <v/>
      </c>
      <c r="G40" s="22">
        <f>(G$12/(1+$A$40)^1+H$12/(1+$A$40)^2+I$12/(1+$A$40)^3+J$12/(1+$A$40)^4+K$12/(1+$A$40)^5+K$8*8.5/(1+$A$40)^5+$C$29)/$C$32</f>
        <v/>
      </c>
    </row>
    <row r="41">
      <c r="A41" s="21" t="n">
        <v>0.095</v>
      </c>
      <c r="C41" s="22">
        <f>(G$12/(1+$A$41)^1+H$12/(1+$A$41)^2+I$12/(1+$A$41)^3+J$12/(1+$A$41)^4+K$12/(1+$A$41)^5+K$8*0.5/(1+$A$41)^5+$C$29)/$C$32</f>
        <v/>
      </c>
      <c r="D41" s="22">
        <f>(G$12/(1+$A$41)^1+H$12/(1+$A$41)^2+I$12/(1+$A$41)^3+J$12/(1+$A$41)^4+K$12/(1+$A$41)^5+K$8*2.5/(1+$A$41)^5+$C$29)/$C$32</f>
        <v/>
      </c>
      <c r="E41" s="22">
        <f>(G$12/(1+$A$41)^1+H$12/(1+$A$41)^2+I$12/(1+$A$41)^3+J$12/(1+$A$41)^4+K$12/(1+$A$41)^5+K$8*4.5/(1+$A$41)^5+$C$29)/$C$32</f>
        <v/>
      </c>
      <c r="F41" s="22">
        <f>(G$12/(1+$A$41)^1+H$12/(1+$A$41)^2+I$12/(1+$A$41)^3+J$12/(1+$A$41)^4+K$12/(1+$A$41)^5+K$8*6.5/(1+$A$41)^5+$C$29)/$C$32</f>
        <v/>
      </c>
      <c r="G41" s="22">
        <f>(G$12/(1+$A$41)^1+H$12/(1+$A$41)^2+I$12/(1+$A$41)^3+J$12/(1+$A$41)^4+K$12/(1+$A$41)^5+K$8*8.5/(1+$A$41)^5+$C$29)/$C$32</f>
        <v/>
      </c>
    </row>
    <row r="42">
      <c r="A42" s="21" t="n">
        <v>0.105</v>
      </c>
      <c r="C42" s="22">
        <f>(G$12/(1+$A$42)^1+H$12/(1+$A$42)^2+I$12/(1+$A$42)^3+J$12/(1+$A$42)^4+K$12/(1+$A$42)^5+K$8*0.5/(1+$A$42)^5+$C$29)/$C$32</f>
        <v/>
      </c>
      <c r="D42" s="22">
        <f>(G$12/(1+$A$42)^1+H$12/(1+$A$42)^2+I$12/(1+$A$42)^3+J$12/(1+$A$42)^4+K$12/(1+$A$42)^5+K$8*2.5/(1+$A$42)^5+$C$29)/$C$32</f>
        <v/>
      </c>
      <c r="E42" s="23">
        <f>(G$12/(1+$A$42)^1+H$12/(1+$A$42)^2+I$12/(1+$A$42)^3+J$12/(1+$A$42)^4+K$12/(1+$A$42)^5+K$8*4.5/(1+$A$42)^5+$C$29)/$C$32</f>
        <v/>
      </c>
      <c r="F42" s="22">
        <f>(G$12/(1+$A$42)^1+H$12/(1+$A$42)^2+I$12/(1+$A$42)^3+J$12/(1+$A$42)^4+K$12/(1+$A$42)^5+K$8*6.5/(1+$A$42)^5+$C$29)/$C$32</f>
        <v/>
      </c>
      <c r="G42" s="22">
        <f>(G$12/(1+$A$42)^1+H$12/(1+$A$42)^2+I$12/(1+$A$42)^3+J$12/(1+$A$42)^4+K$12/(1+$A$42)^5+K$8*8.5/(1+$A$42)^5+$C$29)/$C$32</f>
        <v/>
      </c>
    </row>
    <row r="43">
      <c r="A43" s="21" t="n">
        <v>0.115</v>
      </c>
      <c r="C43" s="22">
        <f>(G$12/(1+$A$43)^1+H$12/(1+$A$43)^2+I$12/(1+$A$43)^3+J$12/(1+$A$43)^4+K$12/(1+$A$43)^5+K$8*0.5/(1+$A$43)^5+$C$29)/$C$32</f>
        <v/>
      </c>
      <c r="D43" s="22">
        <f>(G$12/(1+$A$43)^1+H$12/(1+$A$43)^2+I$12/(1+$A$43)^3+J$12/(1+$A$43)^4+K$12/(1+$A$43)^5+K$8*2.5/(1+$A$43)^5+$C$29)/$C$32</f>
        <v/>
      </c>
      <c r="E43" s="22">
        <f>(G$12/(1+$A$43)^1+H$12/(1+$A$43)^2+I$12/(1+$A$43)^3+J$12/(1+$A$43)^4+K$12/(1+$A$43)^5+K$8*4.5/(1+$A$43)^5+$C$29)/$C$32</f>
        <v/>
      </c>
      <c r="F43" s="22">
        <f>(G$12/(1+$A$43)^1+H$12/(1+$A$43)^2+I$12/(1+$A$43)^3+J$12/(1+$A$43)^4+K$12/(1+$A$43)^5+K$8*6.5/(1+$A$43)^5+$C$29)/$C$32</f>
        <v/>
      </c>
      <c r="G43" s="22">
        <f>(G$12/(1+$A$43)^1+H$12/(1+$A$43)^2+I$12/(1+$A$43)^3+J$12/(1+$A$43)^4+K$12/(1+$A$43)^5+K$8*8.5/(1+$A$43)^5+$C$29)/$C$32</f>
        <v/>
      </c>
    </row>
    <row r="44">
      <c r="A44" s="21" t="n">
        <v>0.125</v>
      </c>
      <c r="C44" s="22">
        <f>(G$12/(1+$A$44)^1+H$12/(1+$A$44)^2+I$12/(1+$A$44)^3+J$12/(1+$A$44)^4+K$12/(1+$A$44)^5+K$8*0.5/(1+$A$44)^5+$C$29)/$C$32</f>
        <v/>
      </c>
      <c r="D44" s="22">
        <f>(G$12/(1+$A$44)^1+H$12/(1+$A$44)^2+I$12/(1+$A$44)^3+J$12/(1+$A$44)^4+K$12/(1+$A$44)^5+K$8*2.5/(1+$A$44)^5+$C$29)/$C$32</f>
        <v/>
      </c>
      <c r="E44" s="22">
        <f>(G$12/(1+$A$44)^1+H$12/(1+$A$44)^2+I$12/(1+$A$44)^3+J$12/(1+$A$44)^4+K$12/(1+$A$44)^5+K$8*4.5/(1+$A$44)^5+$C$29)/$C$32</f>
        <v/>
      </c>
      <c r="F44" s="22">
        <f>(G$12/(1+$A$44)^1+H$12/(1+$A$44)^2+I$12/(1+$A$44)^3+J$12/(1+$A$44)^4+K$12/(1+$A$44)^5+K$8*6.5/(1+$A$44)^5+$C$29)/$C$32</f>
        <v/>
      </c>
      <c r="G44" s="22">
        <f>(G$12/(1+$A$44)^1+H$12/(1+$A$44)^2+I$12/(1+$A$44)^3+J$12/(1+$A$44)^4+K$12/(1+$A$44)^5+K$8*8.5/(1+$A$44)^5+$C$29)/$C$32</f>
        <v/>
      </c>
    </row>
    <row r="45">
      <c r="A45" s="21" t="n">
        <v>0.135</v>
      </c>
      <c r="C45" s="22">
        <f>(G$12/(1+$A$45)^1+H$12/(1+$A$45)^2+I$12/(1+$A$45)^3+J$12/(1+$A$45)^4+K$12/(1+$A$45)^5+K$8*0.5/(1+$A$45)^5+$C$29)/$C$32</f>
        <v/>
      </c>
      <c r="D45" s="22">
        <f>(G$12/(1+$A$45)^1+H$12/(1+$A$45)^2+I$12/(1+$A$45)^3+J$12/(1+$A$45)^4+K$12/(1+$A$45)^5+K$8*2.5/(1+$A$45)^5+$C$29)/$C$32</f>
        <v/>
      </c>
      <c r="E45" s="22">
        <f>(G$12/(1+$A$45)^1+H$12/(1+$A$45)^2+I$12/(1+$A$45)^3+J$12/(1+$A$45)^4+K$12/(1+$A$45)^5+K$8*4.5/(1+$A$45)^5+$C$29)/$C$32</f>
        <v/>
      </c>
      <c r="F45" s="22">
        <f>(G$12/(1+$A$45)^1+H$12/(1+$A$45)^2+I$12/(1+$A$45)^3+J$12/(1+$A$45)^4+K$12/(1+$A$45)^5+K$8*6.5/(1+$A$45)^5+$C$29)/$C$32</f>
        <v/>
      </c>
      <c r="G45" s="22">
        <f>(G$12/(1+$A$45)^1+H$12/(1+$A$45)^2+I$12/(1+$A$45)^3+J$12/(1+$A$45)^4+K$12/(1+$A$45)^5+K$8*8.5/(1+$A$45)^5+$C$29)/$C$32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2026-04-15T05:27:07Z</dcterms:created>
  <dcterms:modified xmlns:dcterms="http://purl.org/dc/terms/" xmlns:xsi="http://www.w3.org/2001/XMLSchema-instance" xsi:type="dcterms:W3CDTF">2026-04-15T05:27:07Z</dcterms:modified>
</cp:coreProperties>
</file>