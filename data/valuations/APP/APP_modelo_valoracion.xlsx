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AppLovin Corporation (APP)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Advertising Agencies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2817.058</v>
      </c>
      <c r="D7" s="5" t="n">
        <v>1841.762</v>
      </c>
      <c r="E7" s="5" t="n">
        <v>3224.058</v>
      </c>
      <c r="F7" s="5" t="n">
        <v>5480.717</v>
      </c>
    </row>
    <row r="8">
      <c r="A8" s="4" t="inlineStr">
        <is>
          <t xml:space="preserve">  Revenue Growth - Base</t>
        </is>
      </c>
      <c r="G8" s="6" t="n">
        <v>0.45</v>
      </c>
      <c r="H8" s="6" t="n">
        <v>0.38</v>
      </c>
      <c r="I8" s="6" t="n">
        <v>0.25</v>
      </c>
      <c r="J8" s="6" t="n">
        <v>0.18</v>
      </c>
      <c r="K8" s="6" t="n">
        <v>0.12</v>
      </c>
    </row>
    <row r="9">
      <c r="A9" s="4" t="inlineStr">
        <is>
          <t xml:space="preserve">  Revenue Growth - Bull</t>
        </is>
      </c>
      <c r="G9" s="6" t="n">
        <v>0.55</v>
      </c>
      <c r="H9" s="6" t="n">
        <v>0.45</v>
      </c>
      <c r="I9" s="6" t="n">
        <v>0.32</v>
      </c>
      <c r="J9" s="6" t="n">
        <v>0.22</v>
      </c>
      <c r="K9" s="6" t="n">
        <v>0.15</v>
      </c>
    </row>
    <row r="10">
      <c r="A10" s="4" t="inlineStr">
        <is>
          <t xml:space="preserve">  Revenue Growth - Bear</t>
        </is>
      </c>
      <c r="G10" s="6" t="n">
        <v>0.3</v>
      </c>
      <c r="H10" s="6" t="n">
        <v>0.18</v>
      </c>
      <c r="I10" s="6" t="n">
        <v>0.12</v>
      </c>
      <c r="J10" s="6" t="n">
        <v>0.08</v>
      </c>
      <c r="K10" s="6" t="n">
        <v>0.06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0.87</v>
      </c>
      <c r="H15" s="6" t="n">
        <v>0.87</v>
      </c>
      <c r="I15" s="6" t="n">
        <v>0.87</v>
      </c>
      <c r="J15" s="6" t="n">
        <v>0.87</v>
      </c>
      <c r="K15" s="6" t="n">
        <v>0.87</v>
      </c>
    </row>
    <row r="16">
      <c r="A16" s="4" t="inlineStr">
        <is>
          <t>Gross Margin - Bull</t>
        </is>
      </c>
      <c r="G16" s="6" t="n">
        <v>0.88</v>
      </c>
      <c r="H16" s="6" t="n">
        <v>0.88</v>
      </c>
      <c r="I16" s="6" t="n">
        <v>0.88</v>
      </c>
      <c r="J16" s="6" t="n">
        <v>0.88</v>
      </c>
      <c r="K16" s="6" t="n">
        <v>0.88</v>
      </c>
    </row>
    <row r="17">
      <c r="A17" s="4" t="inlineStr">
        <is>
          <t>Gross Margin - Bear</t>
        </is>
      </c>
      <c r="G17" s="6" t="n">
        <v>0.85</v>
      </c>
      <c r="H17" s="6" t="n">
        <v>0.85</v>
      </c>
      <c r="I17" s="6" t="n">
        <v>0.85</v>
      </c>
      <c r="J17" s="6" t="n">
        <v>0.85</v>
      </c>
      <c r="K17" s="6" t="n">
        <v>0.85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0.2</v>
      </c>
      <c r="H20" s="6" t="n">
        <v>0.2</v>
      </c>
      <c r="I20" s="6" t="n">
        <v>0.2</v>
      </c>
      <c r="J20" s="6" t="n">
        <v>0.2</v>
      </c>
      <c r="K20" s="6" t="n">
        <v>0.2</v>
      </c>
    </row>
    <row r="21">
      <c r="A21" s="4" t="inlineStr">
        <is>
          <t>SG&amp;A % Revenue - Bull</t>
        </is>
      </c>
      <c r="G21" s="6" t="n">
        <v>0.18</v>
      </c>
      <c r="H21" s="6" t="n">
        <v>0.18</v>
      </c>
      <c r="I21" s="6" t="n">
        <v>0.18</v>
      </c>
      <c r="J21" s="6" t="n">
        <v>0.18</v>
      </c>
      <c r="K21" s="6" t="n">
        <v>0.18</v>
      </c>
    </row>
    <row r="22">
      <c r="A22" s="4" t="inlineStr">
        <is>
          <t>SG&amp;A % Revenue - Bear</t>
        </is>
      </c>
      <c r="G22" s="6" t="n">
        <v>0.22</v>
      </c>
      <c r="H22" s="6" t="n">
        <v>0.22</v>
      </c>
      <c r="I22" s="6" t="n">
        <v>0.22</v>
      </c>
      <c r="J22" s="6" t="n">
        <v>0.22</v>
      </c>
      <c r="K22" s="6" t="n">
        <v>0.22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0.13</v>
      </c>
      <c r="H25" s="6" t="n">
        <v>0.13</v>
      </c>
      <c r="I25" s="6" t="n">
        <v>0.13</v>
      </c>
      <c r="J25" s="6" t="n">
        <v>0.13</v>
      </c>
      <c r="K25" s="6" t="n">
        <v>0.13</v>
      </c>
    </row>
    <row r="26">
      <c r="A26" s="4" t="inlineStr">
        <is>
          <t>R&amp;D % Revenue - Bull</t>
        </is>
      </c>
      <c r="G26" s="6" t="n">
        <v>0.12</v>
      </c>
      <c r="H26" s="6" t="n">
        <v>0.12</v>
      </c>
      <c r="I26" s="6" t="n">
        <v>0.12</v>
      </c>
      <c r="J26" s="6" t="n">
        <v>0.12</v>
      </c>
      <c r="K26" s="6" t="n">
        <v>0.12</v>
      </c>
    </row>
    <row r="27">
      <c r="A27" s="4" t="inlineStr">
        <is>
          <t>R&amp;D % Revenue - Bear</t>
        </is>
      </c>
      <c r="G27" s="6" t="n">
        <v>0.14</v>
      </c>
      <c r="H27" s="6" t="n">
        <v>0.14</v>
      </c>
      <c r="I27" s="6" t="n">
        <v>0.14</v>
      </c>
      <c r="J27" s="6" t="n">
        <v>0.14</v>
      </c>
      <c r="K27" s="6" t="n">
        <v>0.14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0.16</v>
      </c>
      <c r="H30" s="6" t="n">
        <v>0.16</v>
      </c>
      <c r="I30" s="6" t="n">
        <v>0.16</v>
      </c>
      <c r="J30" s="6" t="n">
        <v>0.16</v>
      </c>
      <c r="K30" s="6" t="n">
        <v>0.16</v>
      </c>
    </row>
    <row r="31">
      <c r="A31" s="4" t="inlineStr">
        <is>
          <t>CapEx % Revenue</t>
        </is>
      </c>
      <c r="G31" s="6" t="n">
        <v>0.008</v>
      </c>
      <c r="H31" s="6" t="n">
        <v>0.008</v>
      </c>
      <c r="I31" s="6" t="n">
        <v>0.008</v>
      </c>
      <c r="J31" s="6" t="n">
        <v>0.008</v>
      </c>
      <c r="K31" s="6" t="n">
        <v>0.008</v>
      </c>
    </row>
    <row r="32">
      <c r="A32" s="4" t="inlineStr">
        <is>
          <t>Tax Rate</t>
        </is>
      </c>
      <c r="G32" s="6" t="n">
        <v>0.12</v>
      </c>
      <c r="H32" s="6" t="n">
        <v>0.12</v>
      </c>
      <c r="I32" s="6" t="n">
        <v>0.12</v>
      </c>
      <c r="J32" s="6" t="n">
        <v>0.12</v>
      </c>
      <c r="K32" s="6" t="n">
        <v>0.12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0.11</v>
      </c>
    </row>
    <row r="36">
      <c r="A36" s="4" t="inlineStr">
        <is>
          <t>WACC - Bull</t>
        </is>
      </c>
      <c r="C36" s="6" t="n">
        <v>0.1</v>
      </c>
    </row>
    <row r="37">
      <c r="A37" s="4" t="inlineStr">
        <is>
          <t>WACC - Bear</t>
        </is>
      </c>
      <c r="C37" s="6" t="n">
        <v>0.12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22</v>
      </c>
    </row>
    <row r="41">
      <c r="A41" s="4" t="inlineStr">
        <is>
          <t>Terminal Value Multiple - Bull</t>
        </is>
      </c>
      <c r="C41" s="9" t="n">
        <v>28</v>
      </c>
    </row>
    <row r="42">
      <c r="A42" s="4" t="inlineStr">
        <is>
          <t>Terminal Value Multiple - Bear</t>
        </is>
      </c>
      <c r="C42" s="9" t="n">
        <v>12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AppLovin Corporation (APP)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2817.058</v>
      </c>
      <c r="D6" s="5" t="n">
        <v>1841.762</v>
      </c>
      <c r="E6" s="5" t="n">
        <v>3224.058</v>
      </c>
      <c r="F6" s="5" t="n">
        <v>5480.717</v>
      </c>
    </row>
    <row r="7">
      <c r="A7" s="4" t="inlineStr">
        <is>
          <t>Cost of Revenue</t>
        </is>
      </c>
      <c r="C7" s="5" t="n">
        <v>1256.065</v>
      </c>
      <c r="D7" s="5" t="n">
        <v>356.613</v>
      </c>
      <c r="E7" s="5" t="n">
        <v>520.6130000000001</v>
      </c>
      <c r="F7" s="5" t="n">
        <v>665.14</v>
      </c>
    </row>
    <row r="8">
      <c r="A8" s="2" t="inlineStr">
        <is>
          <t>Gross Profit</t>
        </is>
      </c>
      <c r="C8" s="5" t="n">
        <v>1560.993</v>
      </c>
      <c r="D8" s="5" t="n">
        <v>1485.149</v>
      </c>
      <c r="E8" s="5" t="n">
        <v>2703.445</v>
      </c>
      <c r="F8" s="5" t="n">
        <v>4815.577</v>
      </c>
    </row>
    <row r="9">
      <c r="A9" s="4" t="inlineStr">
        <is>
          <t xml:space="preserve">  Gross Margin</t>
        </is>
      </c>
      <c r="C9" s="11" t="n">
        <v>0.5541217113740647</v>
      </c>
      <c r="D9" s="11" t="n">
        <v>0.8063740048931404</v>
      </c>
      <c r="E9" s="11" t="n">
        <v>0.8385224459361463</v>
      </c>
      <c r="F9" s="11" t="n">
        <v>0.8786399662671873</v>
      </c>
    </row>
    <row r="11">
      <c r="A11" s="4" t="inlineStr">
        <is>
          <t>R&amp;D Expense</t>
        </is>
      </c>
      <c r="C11" s="5" t="n">
        <v>507.607</v>
      </c>
      <c r="D11" s="5" t="n">
        <v>333.781</v>
      </c>
      <c r="E11" s="5" t="n">
        <v>374.71</v>
      </c>
      <c r="F11" s="5" t="n">
        <v>226.51</v>
      </c>
    </row>
    <row r="12">
      <c r="A12" s="4" t="inlineStr">
        <is>
          <t>SG&amp;A Expense</t>
        </is>
      </c>
      <c r="C12" s="5" t="n">
        <v>1101.177</v>
      </c>
      <c r="D12" s="5" t="n">
        <v>378.957</v>
      </c>
      <c r="E12" s="5" t="n">
        <v>417.779</v>
      </c>
      <c r="F12" s="5" t="n">
        <v>437.153</v>
      </c>
    </row>
    <row r="13">
      <c r="A13" s="2" t="inlineStr">
        <is>
          <t>Operating Income (EBIT)</t>
        </is>
      </c>
      <c r="C13" s="5" t="n">
        <v>-47.791</v>
      </c>
      <c r="D13" s="5" t="n">
        <v>772.4109999999999</v>
      </c>
      <c r="E13" s="5" t="n">
        <v>1910.956</v>
      </c>
      <c r="F13" s="5" t="n">
        <v>4151.914</v>
      </c>
    </row>
    <row r="14">
      <c r="A14" s="4" t="inlineStr">
        <is>
          <t xml:space="preserve">  EBIT Margin</t>
        </is>
      </c>
      <c r="C14" s="11" t="n">
        <v>-0.01696486192332568</v>
      </c>
      <c r="D14" s="11" t="n">
        <v>0.4193869783392208</v>
      </c>
      <c r="E14" s="11" t="n">
        <v>0.5927176248069979</v>
      </c>
      <c r="F14" s="11" t="n">
        <v>0.757549422821868</v>
      </c>
    </row>
    <row r="16">
      <c r="A16" s="4" t="inlineStr">
        <is>
          <t>Interest Expense</t>
        </is>
      </c>
      <c r="C16" s="5" t="n">
        <v>171.863</v>
      </c>
      <c r="D16" s="5" t="n">
        <v>273.508</v>
      </c>
      <c r="E16" s="5" t="n">
        <v>317.209</v>
      </c>
      <c r="F16" s="5" t="n">
        <v>207.016</v>
      </c>
    </row>
    <row r="17">
      <c r="A17" s="4" t="inlineStr">
        <is>
          <t>Tax Provision</t>
        </is>
      </c>
      <c r="C17" s="5" t="n">
        <v>-12.23</v>
      </c>
      <c r="D17" s="5" t="n">
        <v>43.776</v>
      </c>
      <c r="E17" s="5" t="n">
        <v>22.419</v>
      </c>
      <c r="F17" s="5" t="n">
        <v>519.715</v>
      </c>
    </row>
    <row r="18">
      <c r="A18" s="2" t="inlineStr">
        <is>
          <t>Net Income</t>
        </is>
      </c>
      <c r="C18" s="5" t="n">
        <v>-192.746</v>
      </c>
      <c r="D18" s="5" t="n">
        <v>357.211</v>
      </c>
      <c r="E18" s="5" t="n">
        <v>1579.79</v>
      </c>
      <c r="F18" s="5" t="n">
        <v>3333.764</v>
      </c>
    </row>
    <row r="19">
      <c r="A19" s="4" t="inlineStr">
        <is>
          <t xml:space="preserve">  Net Margin</t>
        </is>
      </c>
      <c r="C19" s="11" t="n">
        <v>-0.06842102647513824</v>
      </c>
      <c r="D19" s="11" t="n">
        <v>0.1939506841817781</v>
      </c>
      <c r="E19" s="11" t="n">
        <v>0.4900004900656253</v>
      </c>
      <c r="F19" s="11" t="n">
        <v>0.6082715090014682</v>
      </c>
    </row>
    <row r="21">
      <c r="A21" s="2" t="inlineStr">
        <is>
          <t>EBITDA</t>
        </is>
      </c>
      <c r="C21" s="5" t="n">
        <v>513.77</v>
      </c>
      <c r="D21" s="5" t="n">
        <v>1264.118</v>
      </c>
      <c r="E21" s="5" t="n">
        <v>2377.832</v>
      </c>
      <c r="F21" s="5" t="n">
        <v>4354.704</v>
      </c>
    </row>
    <row r="22">
      <c r="A22" s="4" t="inlineStr">
        <is>
          <t xml:space="preserve">  EBITDA Margin</t>
        </is>
      </c>
      <c r="C22" s="11" t="n">
        <v>0.1823782115952174</v>
      </c>
      <c r="D22" s="11" t="n">
        <v>0.6863633846284156</v>
      </c>
      <c r="E22" s="11" t="n">
        <v>0.7375276747502681</v>
      </c>
      <c r="F22" s="11" t="n">
        <v>0.7945500561331665</v>
      </c>
    </row>
    <row r="23">
      <c r="A23" s="4" t="inlineStr">
        <is>
          <t>Diluted EPS</t>
        </is>
      </c>
      <c r="C23" s="12" t="n">
        <v>-0.52</v>
      </c>
      <c r="D23" s="12" t="n">
        <v>0.98</v>
      </c>
      <c r="E23" s="12" t="n">
        <v>4.53</v>
      </c>
      <c r="F23" s="12" t="n">
        <v>9.75</v>
      </c>
    </row>
    <row r="24">
      <c r="A24" s="4" t="inlineStr">
        <is>
          <t>D&amp;A</t>
        </is>
      </c>
      <c r="C24" s="5" t="n">
        <v>547.0839999999999</v>
      </c>
      <c r="D24" s="5" t="n">
        <v>489.008</v>
      </c>
      <c r="E24" s="5" t="n">
        <v>448.68</v>
      </c>
      <c r="F24" s="5" t="n">
        <v>194.778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1080.484</v>
      </c>
      <c r="D28" s="5" t="n">
        <v>502.152</v>
      </c>
      <c r="E28" s="5" t="n">
        <v>697.03</v>
      </c>
      <c r="F28" s="5" t="n">
        <v>2487.096</v>
      </c>
    </row>
    <row r="29">
      <c r="A29" s="4" t="inlineStr">
        <is>
          <t>Current Assets</t>
        </is>
      </c>
      <c r="C29" s="5" t="n">
        <v>1939.083</v>
      </c>
      <c r="D29" s="5" t="n">
        <v>1616.163</v>
      </c>
      <c r="E29" s="5" t="n">
        <v>2312.19</v>
      </c>
      <c r="F29" s="5" t="n">
        <v>4430.792</v>
      </c>
    </row>
    <row r="30">
      <c r="A30" s="4" t="inlineStr">
        <is>
          <t>Net PP&amp;E</t>
        </is>
      </c>
      <c r="C30" s="5" t="n">
        <v>138.922</v>
      </c>
      <c r="D30" s="5" t="n">
        <v>221.541</v>
      </c>
      <c r="E30" s="5" t="n">
        <v>196.443</v>
      </c>
      <c r="F30" s="5" t="n">
        <v>147.902</v>
      </c>
    </row>
    <row r="31">
      <c r="A31" s="4" t="inlineStr">
        <is>
          <t>Goodwill</t>
        </is>
      </c>
      <c r="C31" s="5" t="n">
        <v>1823.755</v>
      </c>
      <c r="D31" s="5" t="n">
        <v>1842.85</v>
      </c>
      <c r="E31" s="5" t="n">
        <v>1457.685</v>
      </c>
      <c r="F31" s="5" t="n">
        <v>1539.986</v>
      </c>
    </row>
    <row r="32">
      <c r="A32" s="2" t="inlineStr">
        <is>
          <t>Total Assets</t>
        </is>
      </c>
      <c r="C32" s="5" t="n">
        <v>5847.846</v>
      </c>
      <c r="D32" s="5" t="n">
        <v>5359.187</v>
      </c>
      <c r="E32" s="5" t="n">
        <v>5869.259</v>
      </c>
      <c r="F32" s="5" t="n">
        <v>7259.61</v>
      </c>
    </row>
    <row r="34">
      <c r="A34" s="4" t="inlineStr">
        <is>
          <t>Current Liabilities</t>
        </is>
      </c>
      <c r="C34" s="5" t="n">
        <v>578.958</v>
      </c>
      <c r="D34" s="5" t="n">
        <v>944.122</v>
      </c>
      <c r="E34" s="5" t="n">
        <v>1057.472</v>
      </c>
      <c r="F34" s="5" t="n">
        <v>1333.788</v>
      </c>
    </row>
    <row r="35">
      <c r="A35" s="4" t="inlineStr">
        <is>
          <t>Total Debt</t>
        </is>
      </c>
      <c r="C35" s="5" t="n">
        <v>3280.209</v>
      </c>
      <c r="D35" s="5" t="n">
        <v>3177.416</v>
      </c>
      <c r="E35" s="5" t="n">
        <v>3554.61</v>
      </c>
      <c r="F35" s="5" t="n">
        <v>3544.741</v>
      </c>
    </row>
    <row r="36">
      <c r="A36" s="2" t="inlineStr">
        <is>
          <t>Total Liabilities</t>
        </is>
      </c>
      <c r="C36" s="5" t="n">
        <v>3945.169</v>
      </c>
      <c r="D36" s="5" t="n">
        <v>4102.858</v>
      </c>
      <c r="E36" s="5" t="n">
        <v>4779.441</v>
      </c>
      <c r="F36" s="5" t="n">
        <v>5124.939</v>
      </c>
    </row>
    <row r="38">
      <c r="A38" s="2" t="inlineStr">
        <is>
          <t>Total Equity</t>
        </is>
      </c>
      <c r="C38" s="5" t="n">
        <v>1902.677</v>
      </c>
      <c r="D38" s="5" t="n">
        <v>1256.329</v>
      </c>
      <c r="E38" s="5" t="n">
        <v>1089.818</v>
      </c>
      <c r="F38" s="5" t="n">
        <v>2134.671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412.773</v>
      </c>
      <c r="D42" s="5" t="n">
        <v>1061.51</v>
      </c>
      <c r="E42" s="5" t="n">
        <v>2099.011</v>
      </c>
      <c r="F42" s="5" t="n">
        <v>3971.094</v>
      </c>
    </row>
    <row r="43">
      <c r="A43" s="4" t="inlineStr">
        <is>
          <t>Capital Expenditure</t>
        </is>
      </c>
      <c r="C43" s="5" t="n">
        <v>-0.662</v>
      </c>
      <c r="D43" s="5" t="n">
        <v>-63.899</v>
      </c>
      <c r="E43" s="5" t="n">
        <v>-25.553</v>
      </c>
      <c r="F43" s="5" t="n">
        <v>-28.318</v>
      </c>
    </row>
    <row r="44">
      <c r="A44" s="2" t="inlineStr">
        <is>
          <t>Free Cash Flow</t>
        </is>
      </c>
      <c r="C44" s="5" t="n">
        <v>412.111</v>
      </c>
      <c r="D44" s="5" t="n">
        <v>997.611</v>
      </c>
      <c r="E44" s="5" t="n">
        <v>2073.458</v>
      </c>
      <c r="F44" s="5" t="n">
        <v>3942.776</v>
      </c>
    </row>
    <row r="46">
      <c r="A46" s="4" t="inlineStr">
        <is>
          <t>D&amp;A</t>
        </is>
      </c>
      <c r="C46" s="5" t="n">
        <v>547.0839999999999</v>
      </c>
      <c r="D46" s="5" t="n">
        <v>489.008</v>
      </c>
      <c r="E46" s="5" t="n">
        <v>448.68</v>
      </c>
      <c r="F46" s="5" t="n">
        <v>194.778</v>
      </c>
    </row>
    <row r="47">
      <c r="A47" s="4" t="inlineStr">
        <is>
          <t>Stock-Based Compensation</t>
        </is>
      </c>
      <c r="C47" s="5" t="n">
        <v>191.612</v>
      </c>
      <c r="D47" s="5" t="n">
        <v>363.107</v>
      </c>
      <c r="E47" s="5" t="n">
        <v>369.367</v>
      </c>
      <c r="F47" s="5" t="n">
        <v>210.421</v>
      </c>
    </row>
    <row r="48">
      <c r="A48" s="4" t="inlineStr">
        <is>
          <t>Change in Working Capital</t>
        </is>
      </c>
      <c r="C48" s="5" t="n">
        <v>-292.439</v>
      </c>
      <c r="D48" s="5" t="n">
        <v>-208.674</v>
      </c>
      <c r="E48" s="5" t="n">
        <v>-349.539</v>
      </c>
      <c r="F48" s="5" t="n">
        <v>77.922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AppLovin Corporation (APP)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Advertising Agencies</t>
        </is>
      </c>
      <c r="C8" s="5" t="n">
        <v>2817.058</v>
      </c>
      <c r="D8" s="5" t="n">
        <v>1841.762</v>
      </c>
      <c r="E8" s="5" t="n">
        <v>3224.058</v>
      </c>
      <c r="F8" s="5" t="n">
        <v>5480.717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1256.065</v>
      </c>
      <c r="D16" s="5" t="n">
        <v>356.613</v>
      </c>
      <c r="E16" s="5" t="n">
        <v>520.6130000000001</v>
      </c>
      <c r="F16" s="5" t="n">
        <v>665.14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1101.177</v>
      </c>
      <c r="D20" s="5" t="n">
        <v>378.957</v>
      </c>
      <c r="E20" s="5" t="n">
        <v>417.779</v>
      </c>
      <c r="F20" s="5" t="n">
        <v>437.153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507.607</v>
      </c>
      <c r="D21" s="5" t="n">
        <v>333.781</v>
      </c>
      <c r="E21" s="5" t="n">
        <v>374.71</v>
      </c>
      <c r="F21" s="5" t="n">
        <v>226.51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547.0839999999999</v>
      </c>
      <c r="D22" s="5" t="n">
        <v>489.008</v>
      </c>
      <c r="E22" s="5" t="n">
        <v>448.68</v>
      </c>
      <c r="F22" s="5" t="n">
        <v>194.778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171.863</v>
      </c>
      <c r="D29" s="5" t="n">
        <v>273.508</v>
      </c>
      <c r="E29" s="5" t="n">
        <v>317.209</v>
      </c>
      <c r="F29" s="5" t="n">
        <v>207.016</v>
      </c>
      <c r="G29" s="5" t="n">
        <v>207.016</v>
      </c>
      <c r="H29" s="5" t="n">
        <v>207.016</v>
      </c>
      <c r="I29" s="5" t="n">
        <v>207.016</v>
      </c>
      <c r="J29" s="5" t="n">
        <v>207.016</v>
      </c>
      <c r="K29" s="5" t="n">
        <v>207.016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-12.23</v>
      </c>
      <c r="D31" s="5" t="n">
        <v>43.776</v>
      </c>
      <c r="E31" s="5" t="n">
        <v>22.419</v>
      </c>
      <c r="F31" s="5" t="n">
        <v>519.715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-292.439</v>
      </c>
      <c r="D39" s="5" t="n">
        <v>-208.674</v>
      </c>
      <c r="E39" s="5" t="n">
        <v>-349.539</v>
      </c>
      <c r="F39" s="5" t="n">
        <v>77.922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-0.662</v>
      </c>
      <c r="D42" s="5" t="n">
        <v>-63.899</v>
      </c>
      <c r="E42" s="5" t="n">
        <v>-25.553</v>
      </c>
      <c r="F42" s="5" t="n">
        <v>-28.318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AppLovin Corporation (APP)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508.94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-1057.645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305.732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C33/508.94-1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18x</t>
        </is>
      </c>
      <c r="D38" s="1" t="inlineStr">
        <is>
          <t>20x</t>
        </is>
      </c>
      <c r="E38" s="1" t="inlineStr">
        <is>
          <t>22x</t>
        </is>
      </c>
      <c r="F38" s="1" t="inlineStr">
        <is>
          <t>24x</t>
        </is>
      </c>
      <c r="G38" s="1" t="inlineStr">
        <is>
          <t>26x</t>
        </is>
      </c>
    </row>
    <row r="39">
      <c r="A39" s="21" t="n">
        <v>0.08</v>
      </c>
      <c r="C39" s="22">
        <f>(G$12/(1+$A$39)^1+H$12/(1+$A$39)^2+I$12/(1+$A$39)^3+J$12/(1+$A$39)^4+K$12/(1+$A$39)^5+K$8*18/(1+$A$39)^5+$C$29)/$C$32</f>
        <v/>
      </c>
      <c r="D39" s="22">
        <f>(G$12/(1+$A$39)^1+H$12/(1+$A$39)^2+I$12/(1+$A$39)^3+J$12/(1+$A$39)^4+K$12/(1+$A$39)^5+K$8*20/(1+$A$39)^5+$C$29)/$C$32</f>
        <v/>
      </c>
      <c r="E39" s="22">
        <f>(G$12/(1+$A$39)^1+H$12/(1+$A$39)^2+I$12/(1+$A$39)^3+J$12/(1+$A$39)^4+K$12/(1+$A$39)^5+K$8*22/(1+$A$39)^5+$C$29)/$C$32</f>
        <v/>
      </c>
      <c r="F39" s="22">
        <f>(G$12/(1+$A$39)^1+H$12/(1+$A$39)^2+I$12/(1+$A$39)^3+J$12/(1+$A$39)^4+K$12/(1+$A$39)^5+K$8*24/(1+$A$39)^5+$C$29)/$C$32</f>
        <v/>
      </c>
      <c r="G39" s="22">
        <f>(G$12/(1+$A$39)^1+H$12/(1+$A$39)^2+I$12/(1+$A$39)^3+J$12/(1+$A$39)^4+K$12/(1+$A$39)^5+K$8*26/(1+$A$39)^5+$C$29)/$C$32</f>
        <v/>
      </c>
    </row>
    <row r="40">
      <c r="A40" s="21" t="n">
        <v>0.09</v>
      </c>
      <c r="C40" s="22">
        <f>(G$12/(1+$A$40)^1+H$12/(1+$A$40)^2+I$12/(1+$A$40)^3+J$12/(1+$A$40)^4+K$12/(1+$A$40)^5+K$8*18/(1+$A$40)^5+$C$29)/$C$32</f>
        <v/>
      </c>
      <c r="D40" s="22">
        <f>(G$12/(1+$A$40)^1+H$12/(1+$A$40)^2+I$12/(1+$A$40)^3+J$12/(1+$A$40)^4+K$12/(1+$A$40)^5+K$8*20/(1+$A$40)^5+$C$29)/$C$32</f>
        <v/>
      </c>
      <c r="E40" s="22">
        <f>(G$12/(1+$A$40)^1+H$12/(1+$A$40)^2+I$12/(1+$A$40)^3+J$12/(1+$A$40)^4+K$12/(1+$A$40)^5+K$8*22/(1+$A$40)^5+$C$29)/$C$32</f>
        <v/>
      </c>
      <c r="F40" s="22">
        <f>(G$12/(1+$A$40)^1+H$12/(1+$A$40)^2+I$12/(1+$A$40)^3+J$12/(1+$A$40)^4+K$12/(1+$A$40)^5+K$8*24/(1+$A$40)^5+$C$29)/$C$32</f>
        <v/>
      </c>
      <c r="G40" s="22">
        <f>(G$12/(1+$A$40)^1+H$12/(1+$A$40)^2+I$12/(1+$A$40)^3+J$12/(1+$A$40)^4+K$12/(1+$A$40)^5+K$8*26/(1+$A$40)^5+$C$29)/$C$32</f>
        <v/>
      </c>
    </row>
    <row r="41">
      <c r="A41" s="21" t="n">
        <v>0.1</v>
      </c>
      <c r="C41" s="22">
        <f>(G$12/(1+$A$41)^1+H$12/(1+$A$41)^2+I$12/(1+$A$41)^3+J$12/(1+$A$41)^4+K$12/(1+$A$41)^5+K$8*18/(1+$A$41)^5+$C$29)/$C$32</f>
        <v/>
      </c>
      <c r="D41" s="22">
        <f>(G$12/(1+$A$41)^1+H$12/(1+$A$41)^2+I$12/(1+$A$41)^3+J$12/(1+$A$41)^4+K$12/(1+$A$41)^5+K$8*20/(1+$A$41)^5+$C$29)/$C$32</f>
        <v/>
      </c>
      <c r="E41" s="22">
        <f>(G$12/(1+$A$41)^1+H$12/(1+$A$41)^2+I$12/(1+$A$41)^3+J$12/(1+$A$41)^4+K$12/(1+$A$41)^5+K$8*22/(1+$A$41)^5+$C$29)/$C$32</f>
        <v/>
      </c>
      <c r="F41" s="22">
        <f>(G$12/(1+$A$41)^1+H$12/(1+$A$41)^2+I$12/(1+$A$41)^3+J$12/(1+$A$41)^4+K$12/(1+$A$41)^5+K$8*24/(1+$A$41)^5+$C$29)/$C$32</f>
        <v/>
      </c>
      <c r="G41" s="22">
        <f>(G$12/(1+$A$41)^1+H$12/(1+$A$41)^2+I$12/(1+$A$41)^3+J$12/(1+$A$41)^4+K$12/(1+$A$41)^5+K$8*26/(1+$A$41)^5+$C$29)/$C$32</f>
        <v/>
      </c>
    </row>
    <row r="42">
      <c r="A42" s="21" t="n">
        <v>0.11</v>
      </c>
      <c r="C42" s="22">
        <f>(G$12/(1+$A$42)^1+H$12/(1+$A$42)^2+I$12/(1+$A$42)^3+J$12/(1+$A$42)^4+K$12/(1+$A$42)^5+K$8*18/(1+$A$42)^5+$C$29)/$C$32</f>
        <v/>
      </c>
      <c r="D42" s="22">
        <f>(G$12/(1+$A$42)^1+H$12/(1+$A$42)^2+I$12/(1+$A$42)^3+J$12/(1+$A$42)^4+K$12/(1+$A$42)^5+K$8*20/(1+$A$42)^5+$C$29)/$C$32</f>
        <v/>
      </c>
      <c r="E42" s="23">
        <f>(G$12/(1+$A$42)^1+H$12/(1+$A$42)^2+I$12/(1+$A$42)^3+J$12/(1+$A$42)^4+K$12/(1+$A$42)^5+K$8*22/(1+$A$42)^5+$C$29)/$C$32</f>
        <v/>
      </c>
      <c r="F42" s="22">
        <f>(G$12/(1+$A$42)^1+H$12/(1+$A$42)^2+I$12/(1+$A$42)^3+J$12/(1+$A$42)^4+K$12/(1+$A$42)^5+K$8*24/(1+$A$42)^5+$C$29)/$C$32</f>
        <v/>
      </c>
      <c r="G42" s="22">
        <f>(G$12/(1+$A$42)^1+H$12/(1+$A$42)^2+I$12/(1+$A$42)^3+J$12/(1+$A$42)^4+K$12/(1+$A$42)^5+K$8*26/(1+$A$42)^5+$C$29)/$C$32</f>
        <v/>
      </c>
    </row>
    <row r="43">
      <c r="A43" s="21" t="n">
        <v>0.12</v>
      </c>
      <c r="C43" s="22">
        <f>(G$12/(1+$A$43)^1+H$12/(1+$A$43)^2+I$12/(1+$A$43)^3+J$12/(1+$A$43)^4+K$12/(1+$A$43)^5+K$8*18/(1+$A$43)^5+$C$29)/$C$32</f>
        <v/>
      </c>
      <c r="D43" s="22">
        <f>(G$12/(1+$A$43)^1+H$12/(1+$A$43)^2+I$12/(1+$A$43)^3+J$12/(1+$A$43)^4+K$12/(1+$A$43)^5+K$8*20/(1+$A$43)^5+$C$29)/$C$32</f>
        <v/>
      </c>
      <c r="E43" s="22">
        <f>(G$12/(1+$A$43)^1+H$12/(1+$A$43)^2+I$12/(1+$A$43)^3+J$12/(1+$A$43)^4+K$12/(1+$A$43)^5+K$8*22/(1+$A$43)^5+$C$29)/$C$32</f>
        <v/>
      </c>
      <c r="F43" s="22">
        <f>(G$12/(1+$A$43)^1+H$12/(1+$A$43)^2+I$12/(1+$A$43)^3+J$12/(1+$A$43)^4+K$12/(1+$A$43)^5+K$8*24/(1+$A$43)^5+$C$29)/$C$32</f>
        <v/>
      </c>
      <c r="G43" s="22">
        <f>(G$12/(1+$A$43)^1+H$12/(1+$A$43)^2+I$12/(1+$A$43)^3+J$12/(1+$A$43)^4+K$12/(1+$A$43)^5+K$8*26/(1+$A$43)^5+$C$29)/$C$32</f>
        <v/>
      </c>
    </row>
    <row r="44">
      <c r="A44" s="21" t="n">
        <v>0.13</v>
      </c>
      <c r="C44" s="22">
        <f>(G$12/(1+$A$44)^1+H$12/(1+$A$44)^2+I$12/(1+$A$44)^3+J$12/(1+$A$44)^4+K$12/(1+$A$44)^5+K$8*18/(1+$A$44)^5+$C$29)/$C$32</f>
        <v/>
      </c>
      <c r="D44" s="22">
        <f>(G$12/(1+$A$44)^1+H$12/(1+$A$44)^2+I$12/(1+$A$44)^3+J$12/(1+$A$44)^4+K$12/(1+$A$44)^5+K$8*20/(1+$A$44)^5+$C$29)/$C$32</f>
        <v/>
      </c>
      <c r="E44" s="22">
        <f>(G$12/(1+$A$44)^1+H$12/(1+$A$44)^2+I$12/(1+$A$44)^3+J$12/(1+$A$44)^4+K$12/(1+$A$44)^5+K$8*22/(1+$A$44)^5+$C$29)/$C$32</f>
        <v/>
      </c>
      <c r="F44" s="22">
        <f>(G$12/(1+$A$44)^1+H$12/(1+$A$44)^2+I$12/(1+$A$44)^3+J$12/(1+$A$44)^4+K$12/(1+$A$44)^5+K$8*24/(1+$A$44)^5+$C$29)/$C$32</f>
        <v/>
      </c>
      <c r="G44" s="22">
        <f>(G$12/(1+$A$44)^1+H$12/(1+$A$44)^2+I$12/(1+$A$44)^3+J$12/(1+$A$44)^4+K$12/(1+$A$44)^5+K$8*26/(1+$A$44)^5+$C$29)/$C$32</f>
        <v/>
      </c>
    </row>
    <row r="45">
      <c r="A45" s="21" t="n">
        <v>0.14</v>
      </c>
      <c r="C45" s="22">
        <f>(G$12/(1+$A$45)^1+H$12/(1+$A$45)^2+I$12/(1+$A$45)^3+J$12/(1+$A$45)^4+K$12/(1+$A$45)^5+K$8*18/(1+$A$45)^5+$C$29)/$C$32</f>
        <v/>
      </c>
      <c r="D45" s="22">
        <f>(G$12/(1+$A$45)^1+H$12/(1+$A$45)^2+I$12/(1+$A$45)^3+J$12/(1+$A$45)^4+K$12/(1+$A$45)^5+K$8*20/(1+$A$45)^5+$C$29)/$C$32</f>
        <v/>
      </c>
      <c r="E45" s="22">
        <f>(G$12/(1+$A$45)^1+H$12/(1+$A$45)^2+I$12/(1+$A$45)^3+J$12/(1+$A$45)^4+K$12/(1+$A$45)^5+K$8*22/(1+$A$45)^5+$C$29)/$C$32</f>
        <v/>
      </c>
      <c r="F45" s="22">
        <f>(G$12/(1+$A$45)^1+H$12/(1+$A$45)^2+I$12/(1+$A$45)^3+J$12/(1+$A$45)^4+K$12/(1+$A$45)^5+K$8*24/(1+$A$45)^5+$C$29)/$C$32</f>
        <v/>
      </c>
      <c r="G45" s="22">
        <f>(G$12/(1+$A$45)^1+H$12/(1+$A$45)^2+I$12/(1+$A$45)^3+J$12/(1+$A$45)^4+K$12/(1+$A$45)^5+K$8*26/(1+$A$45)^5+$C$29)/$C$32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2026-05-26T17:35:33Z</dcterms:created>
  <dcterms:modified xmlns:dcterms="http://purl.org/dc/terms/" xmlns:xsi="http://www.w3.org/2001/XMLSchema-instance" xsi:type="dcterms:W3CDTF">2026-05-26T17:35:33Z</dcterms:modified>
</cp:coreProperties>
</file>