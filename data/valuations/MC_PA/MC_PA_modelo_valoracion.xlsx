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LVMH Moët Hennessy - Louis Vuitton, Société Européenne (MC.PA)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Luxury Goods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79183</v>
      </c>
      <c r="D7" s="5" t="n">
        <v>86153</v>
      </c>
      <c r="E7" s="5" t="n">
        <v>84682</v>
      </c>
      <c r="F7" s="5" t="n">
        <v>80807</v>
      </c>
    </row>
    <row r="8">
      <c r="A8" s="4" t="inlineStr">
        <is>
          <t xml:space="preserve">  Revenue Growth - Base</t>
        </is>
      </c>
      <c r="G8" s="6" t="n">
        <v>0.02</v>
      </c>
      <c r="H8" s="6" t="n">
        <v>0.05</v>
      </c>
      <c r="I8" s="6" t="n">
        <v>0.06</v>
      </c>
      <c r="J8" s="6" t="n">
        <v>0.05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0.05</v>
      </c>
      <c r="H9" s="6" t="n">
        <v>0.08</v>
      </c>
      <c r="I9" s="6" t="n">
        <v>0.08</v>
      </c>
      <c r="J9" s="6" t="n">
        <v>0.07000000000000001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-0.03</v>
      </c>
      <c r="H10" s="6" t="n">
        <v>0</v>
      </c>
      <c r="I10" s="6" t="n">
        <v>0.02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0.675</v>
      </c>
      <c r="H15" s="6" t="n">
        <v>0.675</v>
      </c>
      <c r="I15" s="6" t="n">
        <v>0.675</v>
      </c>
      <c r="J15" s="6" t="n">
        <v>0.675</v>
      </c>
      <c r="K15" s="6" t="n">
        <v>0.675</v>
      </c>
    </row>
    <row r="16">
      <c r="A16" s="4" t="inlineStr">
        <is>
          <t>Gross Margin - Bull</t>
        </is>
      </c>
      <c r="G16" s="6" t="n">
        <v>0.675</v>
      </c>
      <c r="H16" s="6" t="n">
        <v>0.675</v>
      </c>
      <c r="I16" s="6" t="n">
        <v>0.675</v>
      </c>
      <c r="J16" s="6" t="n">
        <v>0.675</v>
      </c>
      <c r="K16" s="6" t="n">
        <v>0.675</v>
      </c>
    </row>
    <row r="17">
      <c r="A17" s="4" t="inlineStr">
        <is>
          <t>Gross Margin - Bear</t>
        </is>
      </c>
      <c r="G17" s="6" t="n">
        <v>0.675</v>
      </c>
      <c r="H17" s="6" t="n">
        <v>0.675</v>
      </c>
      <c r="I17" s="6" t="n">
        <v>0.675</v>
      </c>
      <c r="J17" s="6" t="n">
        <v>0.675</v>
      </c>
      <c r="K17" s="6" t="n">
        <v>0.675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0.435</v>
      </c>
      <c r="H20" s="6" t="n">
        <v>0.435</v>
      </c>
      <c r="I20" s="6" t="n">
        <v>0.435</v>
      </c>
      <c r="J20" s="6" t="n">
        <v>0.435</v>
      </c>
      <c r="K20" s="6" t="n">
        <v>0.435</v>
      </c>
    </row>
    <row r="21">
      <c r="A21" s="4" t="inlineStr">
        <is>
          <t>SG&amp;A % Revenue - Bull</t>
        </is>
      </c>
      <c r="G21" s="6" t="n">
        <v>0.41</v>
      </c>
      <c r="H21" s="6" t="n">
        <v>0.41</v>
      </c>
      <c r="I21" s="6" t="n">
        <v>0.41</v>
      </c>
      <c r="J21" s="6" t="n">
        <v>0.41</v>
      </c>
      <c r="K21" s="6" t="n">
        <v>0.41</v>
      </c>
    </row>
    <row r="22">
      <c r="A22" s="4" t="inlineStr">
        <is>
          <t>SG&amp;A % Revenue - Bear</t>
        </is>
      </c>
      <c r="G22" s="6" t="n">
        <v>0.465</v>
      </c>
      <c r="H22" s="6" t="n">
        <v>0.465</v>
      </c>
      <c r="I22" s="6" t="n">
        <v>0.465</v>
      </c>
      <c r="J22" s="6" t="n">
        <v>0.465</v>
      </c>
      <c r="K22" s="6" t="n">
        <v>0.465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0.08799999999999999</v>
      </c>
      <c r="H30" s="6" t="n">
        <v>0.08799999999999999</v>
      </c>
      <c r="I30" s="6" t="n">
        <v>0.08799999999999999</v>
      </c>
      <c r="J30" s="6" t="n">
        <v>0.08799999999999999</v>
      </c>
      <c r="K30" s="6" t="n">
        <v>0.08799999999999999</v>
      </c>
    </row>
    <row r="31">
      <c r="A31" s="4" t="inlineStr">
        <is>
          <t>CapEx % Revenue</t>
        </is>
      </c>
      <c r="G31" s="6" t="n">
        <v>0.065</v>
      </c>
      <c r="H31" s="6" t="n">
        <v>0.065</v>
      </c>
      <c r="I31" s="6" t="n">
        <v>0.065</v>
      </c>
      <c r="J31" s="6" t="n">
        <v>0.065</v>
      </c>
      <c r="K31" s="6" t="n">
        <v>0.065</v>
      </c>
    </row>
    <row r="32">
      <c r="A32" s="4" t="inlineStr">
        <is>
          <t>Tax Rate</t>
        </is>
      </c>
      <c r="G32" s="6" t="n">
        <v>0.27</v>
      </c>
      <c r="H32" s="6" t="n">
        <v>0.27</v>
      </c>
      <c r="I32" s="6" t="n">
        <v>0.27</v>
      </c>
      <c r="J32" s="6" t="n">
        <v>0.27</v>
      </c>
      <c r="K32" s="6" t="n">
        <v>0.27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</v>
      </c>
    </row>
    <row r="36">
      <c r="A36" s="4" t="inlineStr">
        <is>
          <t>WACC - Bull</t>
        </is>
      </c>
      <c r="C36" s="6" t="n">
        <v>0.08500000000000001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13</v>
      </c>
    </row>
    <row r="41">
      <c r="A41" s="4" t="inlineStr">
        <is>
          <t>Terminal Value Multiple - Bull</t>
        </is>
      </c>
      <c r="C41" s="9" t="n">
        <v>16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LVMH Moët Hennessy - Louis Vuitton, Société Européenne (MC.PA)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79183</v>
      </c>
      <c r="D6" s="5" t="n">
        <v>86153</v>
      </c>
      <c r="E6" s="5" t="n">
        <v>84682</v>
      </c>
      <c r="F6" s="5" t="n">
        <v>80807</v>
      </c>
    </row>
    <row r="7">
      <c r="A7" s="4" t="inlineStr">
        <is>
          <t>Cost of Revenue</t>
        </is>
      </c>
      <c r="C7" s="5" t="n">
        <v>24988</v>
      </c>
      <c r="D7" s="5" t="n">
        <v>26876</v>
      </c>
      <c r="E7" s="5" t="n">
        <v>27918</v>
      </c>
      <c r="F7" s="5" t="n">
        <v>27279</v>
      </c>
    </row>
    <row r="8">
      <c r="A8" s="2" t="inlineStr">
        <is>
          <t>Gross Profit</t>
        </is>
      </c>
      <c r="C8" s="5" t="n">
        <v>54195</v>
      </c>
      <c r="D8" s="5" t="n">
        <v>59277</v>
      </c>
      <c r="E8" s="5" t="n">
        <v>56764</v>
      </c>
      <c r="F8" s="5" t="n">
        <v>53528</v>
      </c>
    </row>
    <row r="9">
      <c r="A9" s="4" t="inlineStr">
        <is>
          <t xml:space="preserve">  Gross Margin</t>
        </is>
      </c>
      <c r="C9" s="11" t="n">
        <v>0.6844272129118624</v>
      </c>
      <c r="D9" s="11" t="n">
        <v>0.6880433647116178</v>
      </c>
      <c r="E9" s="11" t="n">
        <v>0.6703195484282374</v>
      </c>
      <c r="F9" s="11" t="n">
        <v>0.6624178598388754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33178</v>
      </c>
      <c r="D12" s="5" t="n">
        <v>36482</v>
      </c>
      <c r="E12" s="5" t="n">
        <v>37222</v>
      </c>
      <c r="F12" s="5" t="n">
        <v>35848</v>
      </c>
    </row>
    <row r="13">
      <c r="A13" s="2" t="inlineStr">
        <is>
          <t>Operating Income (EBIT)</t>
        </is>
      </c>
      <c r="C13" s="5" t="n">
        <v>21014</v>
      </c>
      <c r="D13" s="5" t="n">
        <v>22781</v>
      </c>
      <c r="E13" s="5" t="n">
        <v>19577</v>
      </c>
      <c r="F13" s="5" t="n">
        <v>17668</v>
      </c>
    </row>
    <row r="14">
      <c r="A14" s="4" t="inlineStr">
        <is>
          <t xml:space="preserve">  EBIT Margin</t>
        </is>
      </c>
      <c r="C14" s="11" t="n">
        <v>0.2653852468332849</v>
      </c>
      <c r="D14" s="11" t="n">
        <v>0.2644249184590206</v>
      </c>
      <c r="E14" s="11" t="n">
        <v>0.2311825417444085</v>
      </c>
      <c r="F14" s="11" t="n">
        <v>0.2186444243691759</v>
      </c>
    </row>
    <row r="16">
      <c r="A16" s="4" t="inlineStr">
        <is>
          <t>Interest Expense</t>
        </is>
      </c>
      <c r="C16" s="5" t="n">
        <v>382</v>
      </c>
      <c r="D16" s="5" t="n">
        <v>973</v>
      </c>
      <c r="E16" s="5" t="n">
        <v>1186</v>
      </c>
      <c r="F16" s="5" t="n">
        <v>1151</v>
      </c>
    </row>
    <row r="17">
      <c r="A17" s="4" t="inlineStr">
        <is>
          <t>Tax Provision</t>
        </is>
      </c>
      <c r="C17" s="5" t="n">
        <v>5362</v>
      </c>
      <c r="D17" s="5" t="n">
        <v>5673</v>
      </c>
      <c r="E17" s="5" t="n">
        <v>5157</v>
      </c>
      <c r="F17" s="5" t="n">
        <v>5476</v>
      </c>
    </row>
    <row r="18">
      <c r="A18" s="2" t="inlineStr">
        <is>
          <t>Net Income</t>
        </is>
      </c>
      <c r="C18" s="5" t="n">
        <v>14084</v>
      </c>
      <c r="D18" s="5" t="n">
        <v>15174</v>
      </c>
      <c r="E18" s="5" t="n">
        <v>12550</v>
      </c>
      <c r="F18" s="5" t="n">
        <v>10878</v>
      </c>
    </row>
    <row r="19">
      <c r="A19" s="4" t="inlineStr">
        <is>
          <t xml:space="preserve">  Net Margin</t>
        </is>
      </c>
      <c r="C19" s="11" t="n">
        <v>0.1778664612353662</v>
      </c>
      <c r="D19" s="11" t="n">
        <v>0.1761285155479206</v>
      </c>
      <c r="E19" s="11" t="n">
        <v>0.1482015068137267</v>
      </c>
      <c r="F19" s="11" t="n">
        <v>0.1346170505030505</v>
      </c>
    </row>
    <row r="21">
      <c r="A21" s="2" t="inlineStr">
        <is>
          <t>EBITDA</t>
        </is>
      </c>
      <c r="C21" s="5" t="n">
        <v>26721</v>
      </c>
      <c r="D21" s="5" t="n">
        <v>29776</v>
      </c>
      <c r="E21" s="5" t="n">
        <v>27094</v>
      </c>
      <c r="F21" s="5" t="n">
        <v>25850</v>
      </c>
    </row>
    <row r="22">
      <c r="A22" s="4" t="inlineStr">
        <is>
          <t xml:space="preserve">  EBITDA Margin</t>
        </is>
      </c>
      <c r="C22" s="11" t="n">
        <v>0.3374587979743127</v>
      </c>
      <c r="D22" s="11" t="n">
        <v>0.3456176801736446</v>
      </c>
      <c r="E22" s="11" t="n">
        <v>0.3199499303275785</v>
      </c>
      <c r="F22" s="11" t="n">
        <v>0.319898028636133</v>
      </c>
    </row>
    <row r="23">
      <c r="A23" s="4" t="inlineStr">
        <is>
          <t>Diluted EPS</t>
        </is>
      </c>
      <c r="C23" s="12" t="n">
        <v>28.03</v>
      </c>
      <c r="D23" s="12" t="n">
        <v>30.33</v>
      </c>
      <c r="E23" s="12" t="n">
        <v>25.12</v>
      </c>
      <c r="F23" s="12" t="n">
        <v>0</v>
      </c>
    </row>
    <row r="24">
      <c r="A24" s="4" t="inlineStr">
        <is>
          <t>D&amp;A</t>
        </is>
      </c>
      <c r="C24" s="5" t="n">
        <v>6226</v>
      </c>
      <c r="D24" s="5" t="n">
        <v>7177</v>
      </c>
      <c r="E24" s="5" t="n">
        <v>7796</v>
      </c>
      <c r="F24" s="5" t="n">
        <v>8001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7300</v>
      </c>
      <c r="D28" s="5" t="n">
        <v>7774</v>
      </c>
      <c r="E28" s="5" t="n">
        <v>9631</v>
      </c>
      <c r="F28" s="5" t="n">
        <v>8794</v>
      </c>
    </row>
    <row r="29">
      <c r="A29" s="4" t="inlineStr">
        <is>
          <t>Current Assets</t>
        </is>
      </c>
      <c r="C29" s="5" t="n">
        <v>39740</v>
      </c>
      <c r="D29" s="5" t="n">
        <v>43710</v>
      </c>
      <c r="E29" s="5" t="n">
        <v>47471</v>
      </c>
      <c r="F29" s="5" t="n">
        <v>48179</v>
      </c>
    </row>
    <row r="30">
      <c r="A30" s="4" t="inlineStr">
        <is>
          <t>Net PP&amp;E</t>
        </is>
      </c>
      <c r="C30" s="5" t="n">
        <v>37670</v>
      </c>
      <c r="D30" s="5" t="n">
        <v>42695</v>
      </c>
      <c r="E30" s="5" t="n">
        <v>46506</v>
      </c>
      <c r="F30" s="5" t="n">
        <v>44018</v>
      </c>
    </row>
    <row r="31">
      <c r="A31" s="4" t="inlineStr">
        <is>
          <t>Goodwill</t>
        </is>
      </c>
      <c r="C31" s="5" t="n">
        <v>24782</v>
      </c>
      <c r="D31" s="5" t="n">
        <v>24022</v>
      </c>
      <c r="E31" s="5" t="n">
        <v>20307</v>
      </c>
      <c r="F31" s="5" t="n">
        <v>18315</v>
      </c>
    </row>
    <row r="32">
      <c r="A32" s="2" t="inlineStr">
        <is>
          <t>Total Assets</t>
        </is>
      </c>
      <c r="C32" s="5" t="n">
        <v>134646</v>
      </c>
      <c r="D32" s="5" t="n">
        <v>143694</v>
      </c>
      <c r="E32" s="5" t="n">
        <v>149190</v>
      </c>
      <c r="F32" s="5" t="n">
        <v>142037</v>
      </c>
    </row>
    <row r="34">
      <c r="A34" s="4" t="inlineStr">
        <is>
          <t>Current Liabilities</t>
        </is>
      </c>
      <c r="C34" s="5" t="n">
        <v>31543</v>
      </c>
      <c r="D34" s="5" t="n">
        <v>33145</v>
      </c>
      <c r="E34" s="5" t="n">
        <v>33696</v>
      </c>
      <c r="F34" s="5" t="n">
        <v>30416</v>
      </c>
    </row>
    <row r="35">
      <c r="A35" s="4" t="inlineStr">
        <is>
          <t>Total Debt</t>
        </is>
      </c>
      <c r="C35" s="5" t="n">
        <v>35147</v>
      </c>
      <c r="D35" s="5" t="n">
        <v>38876</v>
      </c>
      <c r="E35" s="5" t="n">
        <v>41203</v>
      </c>
      <c r="F35" s="5" t="n">
        <v>36731</v>
      </c>
    </row>
    <row r="36">
      <c r="A36" s="2" t="inlineStr">
        <is>
          <t>Total Liabilities</t>
        </is>
      </c>
      <c r="C36" s="5" t="n">
        <v>78042</v>
      </c>
      <c r="D36" s="5" t="n">
        <v>80993</v>
      </c>
      <c r="E36" s="5" t="n">
        <v>79903</v>
      </c>
      <c r="F36" s="5" t="n">
        <v>73088</v>
      </c>
    </row>
    <row r="38">
      <c r="A38" s="2" t="inlineStr">
        <is>
          <t>Total Equity</t>
        </is>
      </c>
      <c r="C38" s="5" t="n">
        <v>56604</v>
      </c>
      <c r="D38" s="5" t="n">
        <v>62701</v>
      </c>
      <c r="E38" s="5" t="n">
        <v>69287</v>
      </c>
      <c r="F38" s="5" t="n">
        <v>68949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17835</v>
      </c>
      <c r="D42" s="5" t="n">
        <v>18403</v>
      </c>
      <c r="E42" s="5" t="n">
        <v>18925</v>
      </c>
      <c r="F42" s="5" t="n">
        <v>18875</v>
      </c>
    </row>
    <row r="43">
      <c r="A43" s="4" t="inlineStr">
        <is>
          <t>Capital Expenditure</t>
        </is>
      </c>
      <c r="C43" s="5" t="n">
        <v>-5082</v>
      </c>
      <c r="D43" s="5" t="n">
        <v>-7807</v>
      </c>
      <c r="E43" s="5" t="n">
        <v>-5552</v>
      </c>
      <c r="F43" s="5" t="n">
        <v>-4670</v>
      </c>
    </row>
    <row r="44">
      <c r="A44" s="2" t="inlineStr">
        <is>
          <t>Free Cash Flow</t>
        </is>
      </c>
      <c r="C44" s="5" t="n">
        <v>12753</v>
      </c>
      <c r="D44" s="5" t="n">
        <v>10596</v>
      </c>
      <c r="E44" s="5" t="n">
        <v>13373</v>
      </c>
      <c r="F44" s="5" t="n">
        <v>14205</v>
      </c>
    </row>
    <row r="46">
      <c r="A46" s="4" t="inlineStr">
        <is>
          <t>D&amp;A</t>
        </is>
      </c>
      <c r="C46" s="5" t="n">
        <v>6226</v>
      </c>
      <c r="D46" s="5" t="n">
        <v>7177</v>
      </c>
      <c r="E46" s="5" t="n">
        <v>7796</v>
      </c>
      <c r="F46" s="5" t="n">
        <v>8001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-3017</v>
      </c>
      <c r="D48" s="5" t="n">
        <v>-4574</v>
      </c>
      <c r="E48" s="5" t="n">
        <v>-1924</v>
      </c>
      <c r="F48" s="5" t="n">
        <v>-575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LVMH Moët Hennessy - Louis Vuitton, Société Européenne (MC.PA)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Luxury Goods</t>
        </is>
      </c>
      <c r="C8" s="5" t="n">
        <v>79183</v>
      </c>
      <c r="D8" s="5" t="n">
        <v>86153</v>
      </c>
      <c r="E8" s="5" t="n">
        <v>84682</v>
      </c>
      <c r="F8" s="5" t="n">
        <v>80807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24988</v>
      </c>
      <c r="D16" s="5" t="n">
        <v>26876</v>
      </c>
      <c r="E16" s="5" t="n">
        <v>27918</v>
      </c>
      <c r="F16" s="5" t="n">
        <v>27279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33178</v>
      </c>
      <c r="D20" s="5" t="n">
        <v>36482</v>
      </c>
      <c r="E20" s="5" t="n">
        <v>37222</v>
      </c>
      <c r="F20" s="5" t="n">
        <v>35848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6226</v>
      </c>
      <c r="D22" s="5" t="n">
        <v>7177</v>
      </c>
      <c r="E22" s="5" t="n">
        <v>7796</v>
      </c>
      <c r="F22" s="5" t="n">
        <v>8001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382</v>
      </c>
      <c r="D29" s="5" t="n">
        <v>973</v>
      </c>
      <c r="E29" s="5" t="n">
        <v>1186</v>
      </c>
      <c r="F29" s="5" t="n">
        <v>1151</v>
      </c>
      <c r="G29" s="5" t="n">
        <v>1151</v>
      </c>
      <c r="H29" s="5" t="n">
        <v>1151</v>
      </c>
      <c r="I29" s="5" t="n">
        <v>1151</v>
      </c>
      <c r="J29" s="5" t="n">
        <v>1151</v>
      </c>
      <c r="K29" s="5" t="n">
        <v>1151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5362</v>
      </c>
      <c r="D31" s="5" t="n">
        <v>5673</v>
      </c>
      <c r="E31" s="5" t="n">
        <v>5157</v>
      </c>
      <c r="F31" s="5" t="n">
        <v>5476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-3017</v>
      </c>
      <c r="D39" s="5" t="n">
        <v>-4574</v>
      </c>
      <c r="E39" s="5" t="n">
        <v>-1924</v>
      </c>
      <c r="F39" s="5" t="n">
        <v>-575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-5082</v>
      </c>
      <c r="D42" s="5" t="n">
        <v>-7807</v>
      </c>
      <c r="E42" s="5" t="n">
        <v>-5552</v>
      </c>
      <c r="F42" s="5" t="n">
        <v>-4670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LVMH Moët Hennessy - Louis Vuitton, Société Européenne (MC.PA)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456.25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-27937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494.077227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C33/456.25-1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9x</t>
        </is>
      </c>
      <c r="D38" s="1" t="inlineStr">
        <is>
          <t>11x</t>
        </is>
      </c>
      <c r="E38" s="1" t="inlineStr">
        <is>
          <t>13x</t>
        </is>
      </c>
      <c r="F38" s="1" t="inlineStr">
        <is>
          <t>15x</t>
        </is>
      </c>
      <c r="G38" s="1" t="inlineStr">
        <is>
          <t>17x</t>
        </is>
      </c>
    </row>
    <row r="39">
      <c r="A39" s="21" t="n">
        <v>0.06</v>
      </c>
      <c r="C39" s="22">
        <f>(G$12/(1+$A$39)^1+H$12/(1+$A$39)^2+I$12/(1+$A$39)^3+J$12/(1+$A$39)^4+K$12/(1+$A$39)^5+K$8*9/(1+$A$39)^5+$C$29)/$C$32</f>
        <v/>
      </c>
      <c r="D39" s="22">
        <f>(G$12/(1+$A$39)^1+H$12/(1+$A$39)^2+I$12/(1+$A$39)^3+J$12/(1+$A$39)^4+K$12/(1+$A$39)^5+K$8*11/(1+$A$39)^5+$C$29)/$C$32</f>
        <v/>
      </c>
      <c r="E39" s="22">
        <f>(G$12/(1+$A$39)^1+H$12/(1+$A$39)^2+I$12/(1+$A$39)^3+J$12/(1+$A$39)^4+K$12/(1+$A$39)^5+K$8*13/(1+$A$39)^5+$C$29)/$C$32</f>
        <v/>
      </c>
      <c r="F39" s="22">
        <f>(G$12/(1+$A$39)^1+H$12/(1+$A$39)^2+I$12/(1+$A$39)^3+J$12/(1+$A$39)^4+K$12/(1+$A$39)^5+K$8*15/(1+$A$39)^5+$C$29)/$C$32</f>
        <v/>
      </c>
      <c r="G39" s="22">
        <f>(G$12/(1+$A$39)^1+H$12/(1+$A$39)^2+I$12/(1+$A$39)^3+J$12/(1+$A$39)^4+K$12/(1+$A$39)^5+K$8*17/(1+$A$39)^5+$C$29)/$C$32</f>
        <v/>
      </c>
    </row>
    <row r="40">
      <c r="A40" s="21" t="n">
        <v>0.06999999999999999</v>
      </c>
      <c r="C40" s="22">
        <f>(G$12/(1+$A$40)^1+H$12/(1+$A$40)^2+I$12/(1+$A$40)^3+J$12/(1+$A$40)^4+K$12/(1+$A$40)^5+K$8*9/(1+$A$40)^5+$C$29)/$C$32</f>
        <v/>
      </c>
      <c r="D40" s="22">
        <f>(G$12/(1+$A$40)^1+H$12/(1+$A$40)^2+I$12/(1+$A$40)^3+J$12/(1+$A$40)^4+K$12/(1+$A$40)^5+K$8*11/(1+$A$40)^5+$C$29)/$C$32</f>
        <v/>
      </c>
      <c r="E40" s="22">
        <f>(G$12/(1+$A$40)^1+H$12/(1+$A$40)^2+I$12/(1+$A$40)^3+J$12/(1+$A$40)^4+K$12/(1+$A$40)^5+K$8*13/(1+$A$40)^5+$C$29)/$C$32</f>
        <v/>
      </c>
      <c r="F40" s="22">
        <f>(G$12/(1+$A$40)^1+H$12/(1+$A$40)^2+I$12/(1+$A$40)^3+J$12/(1+$A$40)^4+K$12/(1+$A$40)^5+K$8*15/(1+$A$40)^5+$C$29)/$C$32</f>
        <v/>
      </c>
      <c r="G40" s="22">
        <f>(G$12/(1+$A$40)^1+H$12/(1+$A$40)^2+I$12/(1+$A$40)^3+J$12/(1+$A$40)^4+K$12/(1+$A$40)^5+K$8*17/(1+$A$40)^5+$C$29)/$C$32</f>
        <v/>
      </c>
    </row>
    <row r="41">
      <c r="A41" s="21" t="n">
        <v>0.08</v>
      </c>
      <c r="C41" s="22">
        <f>(G$12/(1+$A$41)^1+H$12/(1+$A$41)^2+I$12/(1+$A$41)^3+J$12/(1+$A$41)^4+K$12/(1+$A$41)^5+K$8*9/(1+$A$41)^5+$C$29)/$C$32</f>
        <v/>
      </c>
      <c r="D41" s="22">
        <f>(G$12/(1+$A$41)^1+H$12/(1+$A$41)^2+I$12/(1+$A$41)^3+J$12/(1+$A$41)^4+K$12/(1+$A$41)^5+K$8*11/(1+$A$41)^5+$C$29)/$C$32</f>
        <v/>
      </c>
      <c r="E41" s="22">
        <f>(G$12/(1+$A$41)^1+H$12/(1+$A$41)^2+I$12/(1+$A$41)^3+J$12/(1+$A$41)^4+K$12/(1+$A$41)^5+K$8*13/(1+$A$41)^5+$C$29)/$C$32</f>
        <v/>
      </c>
      <c r="F41" s="22">
        <f>(G$12/(1+$A$41)^1+H$12/(1+$A$41)^2+I$12/(1+$A$41)^3+J$12/(1+$A$41)^4+K$12/(1+$A$41)^5+K$8*15/(1+$A$41)^5+$C$29)/$C$32</f>
        <v/>
      </c>
      <c r="G41" s="22">
        <f>(G$12/(1+$A$41)^1+H$12/(1+$A$41)^2+I$12/(1+$A$41)^3+J$12/(1+$A$41)^4+K$12/(1+$A$41)^5+K$8*17/(1+$A$41)^5+$C$29)/$C$32</f>
        <v/>
      </c>
    </row>
    <row r="42">
      <c r="A42" s="21" t="n">
        <v>0.09</v>
      </c>
      <c r="C42" s="22">
        <f>(G$12/(1+$A$42)^1+H$12/(1+$A$42)^2+I$12/(1+$A$42)^3+J$12/(1+$A$42)^4+K$12/(1+$A$42)^5+K$8*9/(1+$A$42)^5+$C$29)/$C$32</f>
        <v/>
      </c>
      <c r="D42" s="22">
        <f>(G$12/(1+$A$42)^1+H$12/(1+$A$42)^2+I$12/(1+$A$42)^3+J$12/(1+$A$42)^4+K$12/(1+$A$42)^5+K$8*11/(1+$A$42)^5+$C$29)/$C$32</f>
        <v/>
      </c>
      <c r="E42" s="23">
        <f>(G$12/(1+$A$42)^1+H$12/(1+$A$42)^2+I$12/(1+$A$42)^3+J$12/(1+$A$42)^4+K$12/(1+$A$42)^5+K$8*13/(1+$A$42)^5+$C$29)/$C$32</f>
        <v/>
      </c>
      <c r="F42" s="22">
        <f>(G$12/(1+$A$42)^1+H$12/(1+$A$42)^2+I$12/(1+$A$42)^3+J$12/(1+$A$42)^4+K$12/(1+$A$42)^5+K$8*15/(1+$A$42)^5+$C$29)/$C$32</f>
        <v/>
      </c>
      <c r="G42" s="22">
        <f>(G$12/(1+$A$42)^1+H$12/(1+$A$42)^2+I$12/(1+$A$42)^3+J$12/(1+$A$42)^4+K$12/(1+$A$42)^5+K$8*17/(1+$A$42)^5+$C$29)/$C$32</f>
        <v/>
      </c>
    </row>
    <row r="43">
      <c r="A43" s="21" t="n">
        <v>0.09999999999999999</v>
      </c>
      <c r="C43" s="22">
        <f>(G$12/(1+$A$43)^1+H$12/(1+$A$43)^2+I$12/(1+$A$43)^3+J$12/(1+$A$43)^4+K$12/(1+$A$43)^5+K$8*9/(1+$A$43)^5+$C$29)/$C$32</f>
        <v/>
      </c>
      <c r="D43" s="22">
        <f>(G$12/(1+$A$43)^1+H$12/(1+$A$43)^2+I$12/(1+$A$43)^3+J$12/(1+$A$43)^4+K$12/(1+$A$43)^5+K$8*11/(1+$A$43)^5+$C$29)/$C$32</f>
        <v/>
      </c>
      <c r="E43" s="22">
        <f>(G$12/(1+$A$43)^1+H$12/(1+$A$43)^2+I$12/(1+$A$43)^3+J$12/(1+$A$43)^4+K$12/(1+$A$43)^5+K$8*13/(1+$A$43)^5+$C$29)/$C$32</f>
        <v/>
      </c>
      <c r="F43" s="22">
        <f>(G$12/(1+$A$43)^1+H$12/(1+$A$43)^2+I$12/(1+$A$43)^3+J$12/(1+$A$43)^4+K$12/(1+$A$43)^5+K$8*15/(1+$A$43)^5+$C$29)/$C$32</f>
        <v/>
      </c>
      <c r="G43" s="22">
        <f>(G$12/(1+$A$43)^1+H$12/(1+$A$43)^2+I$12/(1+$A$43)^3+J$12/(1+$A$43)^4+K$12/(1+$A$43)^5+K$8*17/(1+$A$43)^5+$C$29)/$C$32</f>
        <v/>
      </c>
    </row>
    <row r="44">
      <c r="A44" s="21" t="n">
        <v>0.11</v>
      </c>
      <c r="C44" s="22">
        <f>(G$12/(1+$A$44)^1+H$12/(1+$A$44)^2+I$12/(1+$A$44)^3+J$12/(1+$A$44)^4+K$12/(1+$A$44)^5+K$8*9/(1+$A$44)^5+$C$29)/$C$32</f>
        <v/>
      </c>
      <c r="D44" s="22">
        <f>(G$12/(1+$A$44)^1+H$12/(1+$A$44)^2+I$12/(1+$A$44)^3+J$12/(1+$A$44)^4+K$12/(1+$A$44)^5+K$8*11/(1+$A$44)^5+$C$29)/$C$32</f>
        <v/>
      </c>
      <c r="E44" s="22">
        <f>(G$12/(1+$A$44)^1+H$12/(1+$A$44)^2+I$12/(1+$A$44)^3+J$12/(1+$A$44)^4+K$12/(1+$A$44)^5+K$8*13/(1+$A$44)^5+$C$29)/$C$32</f>
        <v/>
      </c>
      <c r="F44" s="22">
        <f>(G$12/(1+$A$44)^1+H$12/(1+$A$44)^2+I$12/(1+$A$44)^3+J$12/(1+$A$44)^4+K$12/(1+$A$44)^5+K$8*15/(1+$A$44)^5+$C$29)/$C$32</f>
        <v/>
      </c>
      <c r="G44" s="22">
        <f>(G$12/(1+$A$44)^1+H$12/(1+$A$44)^2+I$12/(1+$A$44)^3+J$12/(1+$A$44)^4+K$12/(1+$A$44)^5+K$8*17/(1+$A$44)^5+$C$29)/$C$32</f>
        <v/>
      </c>
    </row>
    <row r="45">
      <c r="A45" s="21" t="n">
        <v>0.12</v>
      </c>
      <c r="C45" s="22">
        <f>(G$12/(1+$A$45)^1+H$12/(1+$A$45)^2+I$12/(1+$A$45)^3+J$12/(1+$A$45)^4+K$12/(1+$A$45)^5+K$8*9/(1+$A$45)^5+$C$29)/$C$32</f>
        <v/>
      </c>
      <c r="D45" s="22">
        <f>(G$12/(1+$A$45)^1+H$12/(1+$A$45)^2+I$12/(1+$A$45)^3+J$12/(1+$A$45)^4+K$12/(1+$A$45)^5+K$8*11/(1+$A$45)^5+$C$29)/$C$32</f>
        <v/>
      </c>
      <c r="E45" s="22">
        <f>(G$12/(1+$A$45)^1+H$12/(1+$A$45)^2+I$12/(1+$A$45)^3+J$12/(1+$A$45)^4+K$12/(1+$A$45)^5+K$8*13/(1+$A$45)^5+$C$29)/$C$32</f>
        <v/>
      </c>
      <c r="F45" s="22">
        <f>(G$12/(1+$A$45)^1+H$12/(1+$A$45)^2+I$12/(1+$A$45)^3+J$12/(1+$A$45)^4+K$12/(1+$A$45)^5+K$8*15/(1+$A$45)^5+$C$29)/$C$32</f>
        <v/>
      </c>
      <c r="G45" s="22">
        <f>(G$12/(1+$A$45)^1+H$12/(1+$A$45)^2+I$12/(1+$A$45)^3+J$12/(1+$A$45)^4+K$12/(1+$A$45)^5+K$8*17/(1+$A$45)^5+$C$29)/$C$32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2026-05-18T16:21:22Z</dcterms:created>
  <dcterms:modified xmlns:dcterms="http://purl.org/dc/terms/" xmlns:xsi="http://www.w3.org/2001/XMLSchema-instance" xsi:type="dcterms:W3CDTF">2026-05-18T16:21:22Z</dcterms:modified>
</cp:coreProperties>
</file>