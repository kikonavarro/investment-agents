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Nemetschek SE (NEM_DE)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FY2021</t>
        </is>
      </c>
      <c r="D4" s="1" t="inlineStr">
        <is>
          <t>FY2022</t>
        </is>
      </c>
      <c r="E4" s="1" t="inlineStr">
        <is>
          <t>FY2023</t>
        </is>
      </c>
      <c r="F4" s="1" t="inlineStr">
        <is>
          <t>FY2024</t>
        </is>
      </c>
      <c r="G4" s="1" t="inlineStr">
        <is>
          <t>FY2025</t>
        </is>
      </c>
      <c r="H4" s="1" t="inlineStr">
        <is>
          <t>FY2026</t>
        </is>
      </c>
      <c r="I4" s="1" t="inlineStr">
        <is>
          <t>FY2027</t>
        </is>
      </c>
      <c r="J4" s="1" t="inlineStr">
        <is>
          <t>FY2028</t>
        </is>
      </c>
      <c r="K4" s="1" t="inlineStr">
        <is>
          <t>FY2029</t>
        </is>
      </c>
    </row>
    <row r="6">
      <c r="A6" s="1" t="inlineStr">
        <is>
          <t>Software - Application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681.471</v>
      </c>
      <c r="D7" s="5" t="n">
        <v>801.813</v>
      </c>
      <c r="E7" s="5" t="n">
        <v>851.563</v>
      </c>
      <c r="F7" s="5" t="n">
        <v>995.5650000000001</v>
      </c>
    </row>
    <row r="8">
      <c r="A8" s="4" t="inlineStr">
        <is>
          <t xml:space="preserve">  Revenue Growth - Base</t>
        </is>
      </c>
      <c r="G8" s="6" t="n">
        <v>0.14</v>
      </c>
      <c r="H8" s="6" t="n">
        <v>0.13</v>
      </c>
      <c r="I8" s="6" t="n">
        <v>0.12</v>
      </c>
      <c r="J8" s="6" t="n">
        <v>0.1</v>
      </c>
      <c r="K8" s="6" t="n">
        <v>0.08</v>
      </c>
    </row>
    <row r="9">
      <c r="A9" s="4" t="inlineStr">
        <is>
          <t xml:space="preserve">  Revenue Growth - Bull</t>
        </is>
      </c>
      <c r="G9" s="6" t="n">
        <v>0.18</v>
      </c>
      <c r="H9" s="6" t="n">
        <v>0.16</v>
      </c>
      <c r="I9" s="6" t="n">
        <v>0.15</v>
      </c>
      <c r="J9" s="6" t="n">
        <v>0.13</v>
      </c>
      <c r="K9" s="6" t="n">
        <v>0.1</v>
      </c>
    </row>
    <row r="10">
      <c r="A10" s="4" t="inlineStr">
        <is>
          <t xml:space="preserve">  Revenue Growth - Bear</t>
        </is>
      </c>
      <c r="G10" s="6" t="n">
        <v>0.08</v>
      </c>
      <c r="H10" s="6" t="n">
        <v>0.07000000000000001</v>
      </c>
      <c r="I10" s="6" t="n">
        <v>0.06</v>
      </c>
      <c r="J10" s="6" t="n">
        <v>0.05</v>
      </c>
      <c r="K10" s="6" t="n">
        <v>0.04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0.6</v>
      </c>
      <c r="H15" s="6" t="n">
        <v>0.6</v>
      </c>
      <c r="I15" s="6" t="n">
        <v>0.6</v>
      </c>
      <c r="J15" s="6" t="n">
        <v>0.6</v>
      </c>
      <c r="K15" s="6" t="n">
        <v>0.6</v>
      </c>
    </row>
    <row r="16">
      <c r="A16" s="4" t="inlineStr">
        <is>
          <t>Gross Margin - Bull</t>
        </is>
      </c>
      <c r="G16" s="6" t="n">
        <v>0.63</v>
      </c>
      <c r="H16" s="6" t="n">
        <v>0.63</v>
      </c>
      <c r="I16" s="6" t="n">
        <v>0.63</v>
      </c>
      <c r="J16" s="6" t="n">
        <v>0.63</v>
      </c>
      <c r="K16" s="6" t="n">
        <v>0.63</v>
      </c>
    </row>
    <row r="17">
      <c r="A17" s="4" t="inlineStr">
        <is>
          <t>Gross Margin - Bear</t>
        </is>
      </c>
      <c r="G17" s="6" t="n">
        <v>0.5600000000000001</v>
      </c>
      <c r="H17" s="6" t="n">
        <v>0.5600000000000001</v>
      </c>
      <c r="I17" s="6" t="n">
        <v>0.5600000000000001</v>
      </c>
      <c r="J17" s="6" t="n">
        <v>0.5600000000000001</v>
      </c>
      <c r="K17" s="6" t="n">
        <v>0.5600000000000001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0.075</v>
      </c>
      <c r="H20" s="6" t="n">
        <v>0.075</v>
      </c>
      <c r="I20" s="6" t="n">
        <v>0.075</v>
      </c>
      <c r="J20" s="6" t="n">
        <v>0.075</v>
      </c>
      <c r="K20" s="6" t="n">
        <v>0.075</v>
      </c>
    </row>
    <row r="21">
      <c r="A21" s="4" t="inlineStr">
        <is>
          <t>SG&amp;A % Revenue - Bull</t>
        </is>
      </c>
      <c r="G21" s="6" t="n">
        <v>0.07000000000000001</v>
      </c>
      <c r="H21" s="6" t="n">
        <v>0.07000000000000001</v>
      </c>
      <c r="I21" s="6" t="n">
        <v>0.07000000000000001</v>
      </c>
      <c r="J21" s="6" t="n">
        <v>0.07000000000000001</v>
      </c>
      <c r="K21" s="6" t="n">
        <v>0.07000000000000001</v>
      </c>
    </row>
    <row r="22">
      <c r="A22" s="4" t="inlineStr">
        <is>
          <t>SG&amp;A % Revenue - Bear</t>
        </is>
      </c>
      <c r="G22" s="6" t="n">
        <v>0.09</v>
      </c>
      <c r="H22" s="6" t="n">
        <v>0.09</v>
      </c>
      <c r="I22" s="6" t="n">
        <v>0.09</v>
      </c>
      <c r="J22" s="6" t="n">
        <v>0.09</v>
      </c>
      <c r="K22" s="6" t="n">
        <v>0.09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0.065</v>
      </c>
      <c r="H30" s="6" t="n">
        <v>0.065</v>
      </c>
      <c r="I30" s="6" t="n">
        <v>0.065</v>
      </c>
      <c r="J30" s="6" t="n">
        <v>0.065</v>
      </c>
      <c r="K30" s="6" t="n">
        <v>0.065</v>
      </c>
    </row>
    <row r="31">
      <c r="A31" s="4" t="inlineStr">
        <is>
          <t>CapEx % Revenue</t>
        </is>
      </c>
      <c r="G31" s="6" t="n">
        <v>0.015</v>
      </c>
      <c r="H31" s="6" t="n">
        <v>0.015</v>
      </c>
      <c r="I31" s="6" t="n">
        <v>0.015</v>
      </c>
      <c r="J31" s="6" t="n">
        <v>0.015</v>
      </c>
      <c r="K31" s="6" t="n">
        <v>0.015</v>
      </c>
    </row>
    <row r="32">
      <c r="A32" s="4" t="inlineStr">
        <is>
          <t>Tax Rate</t>
        </is>
      </c>
      <c r="G32" s="6" t="n">
        <v>0.2</v>
      </c>
      <c r="H32" s="6" t="n">
        <v>0.2</v>
      </c>
      <c r="I32" s="6" t="n">
        <v>0.2</v>
      </c>
      <c r="J32" s="6" t="n">
        <v>0.2</v>
      </c>
      <c r="K32" s="6" t="n">
        <v>0.2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</v>
      </c>
    </row>
    <row r="36">
      <c r="A36" s="4" t="inlineStr">
        <is>
          <t>WACC - Bull</t>
        </is>
      </c>
      <c r="C36" s="6" t="n">
        <v>0.095</v>
      </c>
    </row>
    <row r="37">
      <c r="A37" s="4" t="inlineStr">
        <is>
          <t>WACC - Bear</t>
        </is>
      </c>
      <c r="C37" s="6" t="n">
        <v>0.11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20</v>
      </c>
    </row>
    <row r="41">
      <c r="A41" s="4" t="inlineStr">
        <is>
          <t>Terminal Value Multiple - Bull</t>
        </is>
      </c>
      <c r="C41" s="9" t="n">
        <v>24</v>
      </c>
    </row>
    <row r="42">
      <c r="A42" s="4" t="inlineStr">
        <is>
          <t>Terminal Value Multiple - Bear</t>
        </is>
      </c>
      <c r="C42" s="9" t="n">
        <v>16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Nemetschek SE (NEM_DE)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FY2021</t>
        </is>
      </c>
      <c r="D3" s="1" t="inlineStr">
        <is>
          <t>FY2022</t>
        </is>
      </c>
      <c r="E3" s="1" t="inlineStr">
        <is>
          <t>FY2023</t>
        </is>
      </c>
      <c r="F3" s="1" t="inlineStr">
        <is>
          <t>FY2024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681.471</v>
      </c>
      <c r="D6" s="5" t="n">
        <v>801.813</v>
      </c>
      <c r="E6" s="5" t="n">
        <v>851.563</v>
      </c>
      <c r="F6" s="5" t="n">
        <v>995.5650000000001</v>
      </c>
    </row>
    <row r="7">
      <c r="A7" s="4" t="inlineStr">
        <is>
          <t>Cost of Revenue</t>
        </is>
      </c>
      <c r="C7" s="5" t="n">
        <v>277.189</v>
      </c>
      <c r="D7" s="5" t="n">
        <v>339.951</v>
      </c>
      <c r="E7" s="5" t="n">
        <v>360.667</v>
      </c>
      <c r="F7" s="5" t="n">
        <v>404.931</v>
      </c>
    </row>
    <row r="8">
      <c r="A8" s="2" t="inlineStr">
        <is>
          <t>Gross Profit</t>
        </is>
      </c>
      <c r="C8" s="5" t="n">
        <v>404.282</v>
      </c>
      <c r="D8" s="5" t="n">
        <v>461.862</v>
      </c>
      <c r="E8" s="5" t="n">
        <v>490.896</v>
      </c>
      <c r="F8" s="5" t="n">
        <v>590.634</v>
      </c>
    </row>
    <row r="9">
      <c r="A9" s="4" t="inlineStr">
        <is>
          <t xml:space="preserve">  Gross Margin</t>
        </is>
      </c>
      <c r="C9" s="11" t="n">
        <v>0.5932490157321442</v>
      </c>
      <c r="D9" s="11" t="n">
        <v>0.5760220899386764</v>
      </c>
      <c r="E9" s="11" t="n">
        <v>0.576464689048256</v>
      </c>
      <c r="F9" s="11" t="n">
        <v>0.5932651308553435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41.136</v>
      </c>
      <c r="D12" s="5" t="n">
        <v>68.405</v>
      </c>
      <c r="E12" s="5" t="n">
        <v>69.91800000000001</v>
      </c>
      <c r="F12" s="5" t="n">
        <v>90.161</v>
      </c>
    </row>
    <row r="13">
      <c r="A13" s="2" t="inlineStr">
        <is>
          <t>Operating Income (EBIT)</t>
        </is>
      </c>
      <c r="C13" s="5" t="n">
        <v>168.979</v>
      </c>
      <c r="D13" s="5" t="n">
        <v>196.255</v>
      </c>
      <c r="E13" s="5" t="n">
        <v>203.131</v>
      </c>
      <c r="F13" s="5" t="n">
        <v>240.277</v>
      </c>
    </row>
    <row r="14">
      <c r="A14" s="4" t="inlineStr">
        <is>
          <t xml:space="preserve">  EBIT Margin</t>
        </is>
      </c>
      <c r="C14" s="11" t="n">
        <v>0.2479621289827447</v>
      </c>
      <c r="D14" s="11" t="n">
        <v>0.2447640534638376</v>
      </c>
      <c r="E14" s="11" t="n">
        <v>0.2385390159036971</v>
      </c>
      <c r="F14" s="11" t="n">
        <v>0.2413473756108341</v>
      </c>
    </row>
    <row r="16">
      <c r="A16" s="4" t="inlineStr">
        <is>
          <t>Interest Expense</t>
        </is>
      </c>
      <c r="C16" s="5" t="n">
        <v>2.74</v>
      </c>
      <c r="D16" s="5" t="n">
        <v>2.624</v>
      </c>
      <c r="E16" s="5" t="n">
        <v>3.277</v>
      </c>
      <c r="F16" s="5" t="n">
        <v>16.742</v>
      </c>
    </row>
    <row r="17">
      <c r="A17" s="4" t="inlineStr">
        <is>
          <t>Tax Provision</t>
        </is>
      </c>
      <c r="C17" s="5" t="n">
        <v>33.702</v>
      </c>
      <c r="D17" s="5" t="n">
        <v>34.426</v>
      </c>
      <c r="E17" s="5" t="n">
        <v>40.562</v>
      </c>
      <c r="F17" s="5" t="n">
        <v>49.44</v>
      </c>
    </row>
    <row r="18">
      <c r="A18" s="2" t="inlineStr">
        <is>
          <t>Net Income</t>
        </is>
      </c>
      <c r="C18" s="5" t="n">
        <v>134.618</v>
      </c>
      <c r="D18" s="5" t="n">
        <v>161.899</v>
      </c>
      <c r="E18" s="5" t="n">
        <v>161.256</v>
      </c>
      <c r="F18" s="5" t="n">
        <v>175.422</v>
      </c>
    </row>
    <row r="19">
      <c r="A19" s="4" t="inlineStr">
        <is>
          <t xml:space="preserve">  Net Margin</t>
        </is>
      </c>
      <c r="C19" s="11" t="n">
        <v>0.1975403208647177</v>
      </c>
      <c r="D19" s="11" t="n">
        <v>0.2019161575080474</v>
      </c>
      <c r="E19" s="11" t="n">
        <v>0.1893647328500651</v>
      </c>
      <c r="F19" s="11" t="n">
        <v>0.1762034623555468</v>
      </c>
    </row>
    <row r="21">
      <c r="A21" s="2" t="inlineStr">
        <is>
          <t>EBITDA</t>
        </is>
      </c>
      <c r="C21" s="5" t="n">
        <v>223.339</v>
      </c>
      <c r="D21" s="5" t="n">
        <v>260.996</v>
      </c>
      <c r="E21" s="5" t="n">
        <v>266.035</v>
      </c>
      <c r="F21" s="5" t="n">
        <v>311.745</v>
      </c>
    </row>
    <row r="22">
      <c r="A22" s="4" t="inlineStr">
        <is>
          <t xml:space="preserve">  EBITDA Margin</t>
        </is>
      </c>
      <c r="C22" s="11" t="n">
        <v>0.3277307471631221</v>
      </c>
      <c r="D22" s="11" t="n">
        <v>0.3255073190382296</v>
      </c>
      <c r="E22" s="11" t="n">
        <v>0.3124078899623398</v>
      </c>
      <c r="F22" s="11" t="n">
        <v>0.3131337481731479</v>
      </c>
    </row>
    <row r="23">
      <c r="A23" s="4" t="inlineStr">
        <is>
          <t>Diluted EPS</t>
        </is>
      </c>
      <c r="C23" s="12" t="n">
        <v>1.17</v>
      </c>
      <c r="D23" s="12" t="n">
        <v>1.4</v>
      </c>
      <c r="E23" s="12" t="n">
        <v>1.4</v>
      </c>
      <c r="F23" s="12" t="n">
        <v>1.52</v>
      </c>
    </row>
    <row r="24">
      <c r="A24" s="4" t="inlineStr">
        <is>
          <t>D&amp;A</t>
        </is>
      </c>
      <c r="C24" s="5" t="n">
        <v>49.974</v>
      </c>
      <c r="D24" s="5" t="n">
        <v>58.842</v>
      </c>
      <c r="E24" s="5" t="n">
        <v>58.216</v>
      </c>
      <c r="F24" s="5" t="n">
        <v>66.78700000000001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157.095</v>
      </c>
      <c r="D28" s="5" t="n">
        <v>196.821</v>
      </c>
      <c r="E28" s="5" t="n">
        <v>268.041</v>
      </c>
      <c r="F28" s="5" t="n">
        <v>205.733</v>
      </c>
    </row>
    <row r="29">
      <c r="A29" s="4" t="inlineStr">
        <is>
          <t>Current Assets</t>
        </is>
      </c>
      <c r="C29" s="5" t="n">
        <v>263.128</v>
      </c>
      <c r="D29" s="5" t="n">
        <v>327.132</v>
      </c>
      <c r="E29" s="5" t="n">
        <v>418.213</v>
      </c>
      <c r="F29" s="5" t="n">
        <v>413.654</v>
      </c>
    </row>
    <row r="30">
      <c r="A30" s="4" t="inlineStr">
        <is>
          <t>Net PP&amp;E</t>
        </is>
      </c>
      <c r="C30" s="5" t="n">
        <v>79.97</v>
      </c>
      <c r="D30" s="5" t="n">
        <v>96.364</v>
      </c>
      <c r="E30" s="5" t="n">
        <v>84.657</v>
      </c>
      <c r="F30" s="5" t="n">
        <v>82.77500000000001</v>
      </c>
    </row>
    <row r="31">
      <c r="A31" s="4" t="inlineStr">
        <is>
          <t>Goodwill</t>
        </is>
      </c>
      <c r="C31" s="5" t="n">
        <v>541.998</v>
      </c>
      <c r="D31" s="5" t="n">
        <v>557.047</v>
      </c>
      <c r="E31" s="5" t="n">
        <v>552.037</v>
      </c>
      <c r="F31" s="5" t="n">
        <v>1135.241</v>
      </c>
    </row>
    <row r="32">
      <c r="A32" s="2" t="inlineStr">
        <is>
          <t>Total Assets</t>
        </is>
      </c>
      <c r="C32" s="5" t="n">
        <v>1072.224</v>
      </c>
      <c r="D32" s="5" t="n">
        <v>1198.128</v>
      </c>
      <c r="E32" s="5" t="n">
        <v>1274.332</v>
      </c>
      <c r="F32" s="5" t="n">
        <v>2136.31</v>
      </c>
    </row>
    <row r="34">
      <c r="A34" s="4" t="inlineStr">
        <is>
          <t>Current Liabilities</t>
        </is>
      </c>
      <c r="C34" s="5" t="n">
        <v>384.526</v>
      </c>
      <c r="D34" s="5" t="n">
        <v>403.841</v>
      </c>
      <c r="E34" s="5" t="n">
        <v>400.616</v>
      </c>
      <c r="F34" s="5" t="n">
        <v>535.621</v>
      </c>
    </row>
    <row r="35">
      <c r="A35" s="4" t="inlineStr">
        <is>
          <t>Total Debt</t>
        </is>
      </c>
      <c r="C35" s="5" t="n">
        <v>194.738</v>
      </c>
      <c r="D35" s="5" t="n">
        <v>149.242</v>
      </c>
      <c r="E35" s="5" t="n">
        <v>76.33799999999999</v>
      </c>
      <c r="F35" s="5" t="n">
        <v>569.867</v>
      </c>
    </row>
    <row r="36">
      <c r="A36" s="2" t="inlineStr">
        <is>
          <t>Total Liabilities</t>
        </is>
      </c>
      <c r="C36" s="5" t="n">
        <v>512.532</v>
      </c>
      <c r="D36" s="5" t="n">
        <v>508.905</v>
      </c>
      <c r="E36" s="5" t="n">
        <v>492.434</v>
      </c>
      <c r="F36" s="5" t="n">
        <v>1191.933</v>
      </c>
    </row>
    <row r="38">
      <c r="A38" s="2" t="inlineStr">
        <is>
          <t>Total Equity</t>
        </is>
      </c>
      <c r="C38" s="5" t="n">
        <v>559.692</v>
      </c>
      <c r="D38" s="5" t="n">
        <v>689.223</v>
      </c>
      <c r="E38" s="5" t="n">
        <v>781.898</v>
      </c>
      <c r="F38" s="5" t="n">
        <v>944.377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214.361</v>
      </c>
      <c r="D42" s="5" t="n">
        <v>213.784</v>
      </c>
      <c r="E42" s="5" t="n">
        <v>252.879</v>
      </c>
      <c r="F42" s="5" t="n">
        <v>306.804</v>
      </c>
    </row>
    <row r="43">
      <c r="A43" s="4" t="inlineStr">
        <is>
          <t>Capital Expenditure</t>
        </is>
      </c>
      <c r="C43" s="5" t="n">
        <v>-9.925000000000001</v>
      </c>
      <c r="D43" s="5" t="n">
        <v>-19.028</v>
      </c>
      <c r="E43" s="5" t="n">
        <v>-12.677</v>
      </c>
      <c r="F43" s="5" t="n">
        <v>-13.726</v>
      </c>
    </row>
    <row r="44">
      <c r="A44" s="2" t="inlineStr">
        <is>
          <t>Free Cash Flow</t>
        </is>
      </c>
      <c r="C44" s="5" t="n">
        <v>204.436</v>
      </c>
      <c r="D44" s="5" t="n">
        <v>194.756</v>
      </c>
      <c r="E44" s="5" t="n">
        <v>240.202</v>
      </c>
      <c r="F44" s="5" t="n">
        <v>293.078</v>
      </c>
    </row>
    <row r="46">
      <c r="A46" s="4" t="inlineStr">
        <is>
          <t>D&amp;A</t>
        </is>
      </c>
      <c r="C46" s="5" t="n">
        <v>49.974</v>
      </c>
      <c r="D46" s="5" t="n">
        <v>58.842</v>
      </c>
      <c r="E46" s="5" t="n">
        <v>58.216</v>
      </c>
      <c r="F46" s="5" t="n">
        <v>66.78700000000001</v>
      </c>
    </row>
    <row r="47">
      <c r="A47" s="4" t="inlineStr">
        <is>
          <t>Stock-Based Compensation</t>
        </is>
      </c>
      <c r="C47" s="5" t="n">
        <v>0</v>
      </c>
      <c r="D47" s="5" t="n">
        <v>0</v>
      </c>
      <c r="E47" s="5" t="n">
        <v>0</v>
      </c>
      <c r="F47" s="5" t="n">
        <v>0</v>
      </c>
    </row>
    <row r="48">
      <c r="A48" s="4" t="inlineStr">
        <is>
          <t>Change in Working Capital</t>
        </is>
      </c>
      <c r="C48" s="5" t="n">
        <v>29.184</v>
      </c>
      <c r="D48" s="5" t="n">
        <v>14.325</v>
      </c>
      <c r="E48" s="5" t="n">
        <v>48.047</v>
      </c>
      <c r="F48" s="5" t="n">
        <v>60.49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Nemetschek SE (NEM_DE)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FY2021</t>
        </is>
      </c>
      <c r="D4" s="1" t="inlineStr">
        <is>
          <t>FY2022</t>
        </is>
      </c>
      <c r="E4" s="1" t="inlineStr">
        <is>
          <t>FY2023</t>
        </is>
      </c>
      <c r="F4" s="1" t="inlineStr">
        <is>
          <t>FY2024</t>
        </is>
      </c>
      <c r="G4" s="1" t="inlineStr">
        <is>
          <t>FY2025</t>
        </is>
      </c>
      <c r="H4" s="1" t="inlineStr">
        <is>
          <t>FY2026</t>
        </is>
      </c>
      <c r="I4" s="1" t="inlineStr">
        <is>
          <t>FY2027</t>
        </is>
      </c>
      <c r="J4" s="1" t="inlineStr">
        <is>
          <t>FY2028</t>
        </is>
      </c>
      <c r="K4" s="1" t="inlineStr">
        <is>
          <t>FY2029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Software - Application</t>
        </is>
      </c>
      <c r="C8" s="5" t="n">
        <v>681.471</v>
      </c>
      <c r="D8" s="5" t="n">
        <v>801.813</v>
      </c>
      <c r="E8" s="5" t="n">
        <v>851.563</v>
      </c>
      <c r="F8" s="5" t="n">
        <v>995.5650000000001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277.189</v>
      </c>
      <c r="D16" s="5" t="n">
        <v>339.951</v>
      </c>
      <c r="E16" s="5" t="n">
        <v>360.667</v>
      </c>
      <c r="F16" s="5" t="n">
        <v>404.931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41.136</v>
      </c>
      <c r="D20" s="5" t="n">
        <v>68.405</v>
      </c>
      <c r="E20" s="5" t="n">
        <v>69.91800000000001</v>
      </c>
      <c r="F20" s="5" t="n">
        <v>90.161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49.974</v>
      </c>
      <c r="D22" s="5" t="n">
        <v>58.842</v>
      </c>
      <c r="E22" s="5" t="n">
        <v>58.216</v>
      </c>
      <c r="F22" s="5" t="n">
        <v>66.78700000000001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2.74</v>
      </c>
      <c r="D29" s="5" t="n">
        <v>2.624</v>
      </c>
      <c r="E29" s="5" t="n">
        <v>3.277</v>
      </c>
      <c r="F29" s="5" t="n">
        <v>16.742</v>
      </c>
      <c r="G29" s="5" t="n">
        <v>16.742</v>
      </c>
      <c r="H29" s="5" t="n">
        <v>16.742</v>
      </c>
      <c r="I29" s="5" t="n">
        <v>16.742</v>
      </c>
      <c r="J29" s="5" t="n">
        <v>16.742</v>
      </c>
      <c r="K29" s="5" t="n">
        <v>16.742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33.702</v>
      </c>
      <c r="D31" s="5" t="n">
        <v>34.426</v>
      </c>
      <c r="E31" s="5" t="n">
        <v>40.562</v>
      </c>
      <c r="F31" s="5" t="n">
        <v>49.44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29.184</v>
      </c>
      <c r="D39" s="5" t="n">
        <v>14.325</v>
      </c>
      <c r="E39" s="5" t="n">
        <v>48.047</v>
      </c>
      <c r="F39" s="5" t="n">
        <v>60.49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-9.925000000000001</v>
      </c>
      <c r="D42" s="5" t="n">
        <v>-19.028</v>
      </c>
      <c r="E42" s="5" t="n">
        <v>-12.677</v>
      </c>
      <c r="F42" s="5" t="n">
        <v>-13.726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Nemetschek SE (NEM_DE)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61.55</v>
      </c>
    </row>
    <row r="4">
      <c r="A4" s="4" t="inlineStr">
        <is>
          <t>Year</t>
        </is>
      </c>
      <c r="G4" s="1" t="n">
        <v>2025</v>
      </c>
      <c r="H4" s="1" t="n">
        <v>2026</v>
      </c>
      <c r="I4" s="1" t="n">
        <v>2027</v>
      </c>
      <c r="J4" s="1" t="n">
        <v>2028</v>
      </c>
      <c r="K4" s="1" t="n">
        <v>2029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-364.134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115.408795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C33/61.55-1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16x</t>
        </is>
      </c>
      <c r="D38" s="1" t="inlineStr">
        <is>
          <t>18x</t>
        </is>
      </c>
      <c r="E38" s="1" t="inlineStr">
        <is>
          <t>20x</t>
        </is>
      </c>
      <c r="F38" s="1" t="inlineStr">
        <is>
          <t>22x</t>
        </is>
      </c>
      <c r="G38" s="1" t="inlineStr">
        <is>
          <t>24x</t>
        </is>
      </c>
    </row>
    <row r="39">
      <c r="A39" s="21" t="n">
        <v>0.07000000000000001</v>
      </c>
      <c r="C39" s="22">
        <f>(G$12/(1+$A$39)^1+H$12/(1+$A$39)^2+I$12/(1+$A$39)^3+J$12/(1+$A$39)^4+K$12/(1+$A$39)^5+K$8*16/(1+$A$39)^5+$C$29)/$C$32</f>
        <v/>
      </c>
      <c r="D39" s="22">
        <f>(G$12/(1+$A$39)^1+H$12/(1+$A$39)^2+I$12/(1+$A$39)^3+J$12/(1+$A$39)^4+K$12/(1+$A$39)^5+K$8*18/(1+$A$39)^5+$C$29)/$C$32</f>
        <v/>
      </c>
      <c r="E39" s="22">
        <f>(G$12/(1+$A$39)^1+H$12/(1+$A$39)^2+I$12/(1+$A$39)^3+J$12/(1+$A$39)^4+K$12/(1+$A$39)^5+K$8*20/(1+$A$39)^5+$C$29)/$C$32</f>
        <v/>
      </c>
      <c r="F39" s="22">
        <f>(G$12/(1+$A$39)^1+H$12/(1+$A$39)^2+I$12/(1+$A$39)^3+J$12/(1+$A$39)^4+K$12/(1+$A$39)^5+K$8*22/(1+$A$39)^5+$C$29)/$C$32</f>
        <v/>
      </c>
      <c r="G39" s="22">
        <f>(G$12/(1+$A$39)^1+H$12/(1+$A$39)^2+I$12/(1+$A$39)^3+J$12/(1+$A$39)^4+K$12/(1+$A$39)^5+K$8*24/(1+$A$39)^5+$C$29)/$C$32</f>
        <v/>
      </c>
    </row>
    <row r="40">
      <c r="A40" s="21" t="n">
        <v>0.08</v>
      </c>
      <c r="C40" s="22">
        <f>(G$12/(1+$A$40)^1+H$12/(1+$A$40)^2+I$12/(1+$A$40)^3+J$12/(1+$A$40)^4+K$12/(1+$A$40)^5+K$8*16/(1+$A$40)^5+$C$29)/$C$32</f>
        <v/>
      </c>
      <c r="D40" s="22">
        <f>(G$12/(1+$A$40)^1+H$12/(1+$A$40)^2+I$12/(1+$A$40)^3+J$12/(1+$A$40)^4+K$12/(1+$A$40)^5+K$8*18/(1+$A$40)^5+$C$29)/$C$32</f>
        <v/>
      </c>
      <c r="E40" s="22">
        <f>(G$12/(1+$A$40)^1+H$12/(1+$A$40)^2+I$12/(1+$A$40)^3+J$12/(1+$A$40)^4+K$12/(1+$A$40)^5+K$8*20/(1+$A$40)^5+$C$29)/$C$32</f>
        <v/>
      </c>
      <c r="F40" s="22">
        <f>(G$12/(1+$A$40)^1+H$12/(1+$A$40)^2+I$12/(1+$A$40)^3+J$12/(1+$A$40)^4+K$12/(1+$A$40)^5+K$8*22/(1+$A$40)^5+$C$29)/$C$32</f>
        <v/>
      </c>
      <c r="G40" s="22">
        <f>(G$12/(1+$A$40)^1+H$12/(1+$A$40)^2+I$12/(1+$A$40)^3+J$12/(1+$A$40)^4+K$12/(1+$A$40)^5+K$8*24/(1+$A$40)^5+$C$29)/$C$32</f>
        <v/>
      </c>
    </row>
    <row r="41">
      <c r="A41" s="21" t="n">
        <v>0.09000000000000001</v>
      </c>
      <c r="C41" s="22">
        <f>(G$12/(1+$A$41)^1+H$12/(1+$A$41)^2+I$12/(1+$A$41)^3+J$12/(1+$A$41)^4+K$12/(1+$A$41)^5+K$8*16/(1+$A$41)^5+$C$29)/$C$32</f>
        <v/>
      </c>
      <c r="D41" s="22">
        <f>(G$12/(1+$A$41)^1+H$12/(1+$A$41)^2+I$12/(1+$A$41)^3+J$12/(1+$A$41)^4+K$12/(1+$A$41)^5+K$8*18/(1+$A$41)^5+$C$29)/$C$32</f>
        <v/>
      </c>
      <c r="E41" s="22">
        <f>(G$12/(1+$A$41)^1+H$12/(1+$A$41)^2+I$12/(1+$A$41)^3+J$12/(1+$A$41)^4+K$12/(1+$A$41)^5+K$8*20/(1+$A$41)^5+$C$29)/$C$32</f>
        <v/>
      </c>
      <c r="F41" s="22">
        <f>(G$12/(1+$A$41)^1+H$12/(1+$A$41)^2+I$12/(1+$A$41)^3+J$12/(1+$A$41)^4+K$12/(1+$A$41)^5+K$8*22/(1+$A$41)^5+$C$29)/$C$32</f>
        <v/>
      </c>
      <c r="G41" s="22">
        <f>(G$12/(1+$A$41)^1+H$12/(1+$A$41)^2+I$12/(1+$A$41)^3+J$12/(1+$A$41)^4+K$12/(1+$A$41)^5+K$8*24/(1+$A$41)^5+$C$29)/$C$32</f>
        <v/>
      </c>
    </row>
    <row r="42">
      <c r="A42" s="21" t="n">
        <v>0.1</v>
      </c>
      <c r="C42" s="22">
        <f>(G$12/(1+$A$42)^1+H$12/(1+$A$42)^2+I$12/(1+$A$42)^3+J$12/(1+$A$42)^4+K$12/(1+$A$42)^5+K$8*16/(1+$A$42)^5+$C$29)/$C$32</f>
        <v/>
      </c>
      <c r="D42" s="22">
        <f>(G$12/(1+$A$42)^1+H$12/(1+$A$42)^2+I$12/(1+$A$42)^3+J$12/(1+$A$42)^4+K$12/(1+$A$42)^5+K$8*18/(1+$A$42)^5+$C$29)/$C$32</f>
        <v/>
      </c>
      <c r="E42" s="23">
        <f>(G$12/(1+$A$42)^1+H$12/(1+$A$42)^2+I$12/(1+$A$42)^3+J$12/(1+$A$42)^4+K$12/(1+$A$42)^5+K$8*20/(1+$A$42)^5+$C$29)/$C$32</f>
        <v/>
      </c>
      <c r="F42" s="22">
        <f>(G$12/(1+$A$42)^1+H$12/(1+$A$42)^2+I$12/(1+$A$42)^3+J$12/(1+$A$42)^4+K$12/(1+$A$42)^5+K$8*22/(1+$A$42)^5+$C$29)/$C$32</f>
        <v/>
      </c>
      <c r="G42" s="22">
        <f>(G$12/(1+$A$42)^1+H$12/(1+$A$42)^2+I$12/(1+$A$42)^3+J$12/(1+$A$42)^4+K$12/(1+$A$42)^5+K$8*24/(1+$A$42)^5+$C$29)/$C$32</f>
        <v/>
      </c>
    </row>
    <row r="43">
      <c r="A43" s="21" t="n">
        <v>0.11</v>
      </c>
      <c r="C43" s="22">
        <f>(G$12/(1+$A$43)^1+H$12/(1+$A$43)^2+I$12/(1+$A$43)^3+J$12/(1+$A$43)^4+K$12/(1+$A$43)^5+K$8*16/(1+$A$43)^5+$C$29)/$C$32</f>
        <v/>
      </c>
      <c r="D43" s="22">
        <f>(G$12/(1+$A$43)^1+H$12/(1+$A$43)^2+I$12/(1+$A$43)^3+J$12/(1+$A$43)^4+K$12/(1+$A$43)^5+K$8*18/(1+$A$43)^5+$C$29)/$C$32</f>
        <v/>
      </c>
      <c r="E43" s="22">
        <f>(G$12/(1+$A$43)^1+H$12/(1+$A$43)^2+I$12/(1+$A$43)^3+J$12/(1+$A$43)^4+K$12/(1+$A$43)^5+K$8*20/(1+$A$43)^5+$C$29)/$C$32</f>
        <v/>
      </c>
      <c r="F43" s="22">
        <f>(G$12/(1+$A$43)^1+H$12/(1+$A$43)^2+I$12/(1+$A$43)^3+J$12/(1+$A$43)^4+K$12/(1+$A$43)^5+K$8*22/(1+$A$43)^5+$C$29)/$C$32</f>
        <v/>
      </c>
      <c r="G43" s="22">
        <f>(G$12/(1+$A$43)^1+H$12/(1+$A$43)^2+I$12/(1+$A$43)^3+J$12/(1+$A$43)^4+K$12/(1+$A$43)^5+K$8*24/(1+$A$43)^5+$C$29)/$C$32</f>
        <v/>
      </c>
    </row>
    <row r="44">
      <c r="A44" s="21" t="n">
        <v>0.12</v>
      </c>
      <c r="C44" s="22">
        <f>(G$12/(1+$A$44)^1+H$12/(1+$A$44)^2+I$12/(1+$A$44)^3+J$12/(1+$A$44)^4+K$12/(1+$A$44)^5+K$8*16/(1+$A$44)^5+$C$29)/$C$32</f>
        <v/>
      </c>
      <c r="D44" s="22">
        <f>(G$12/(1+$A$44)^1+H$12/(1+$A$44)^2+I$12/(1+$A$44)^3+J$12/(1+$A$44)^4+K$12/(1+$A$44)^5+K$8*18/(1+$A$44)^5+$C$29)/$C$32</f>
        <v/>
      </c>
      <c r="E44" s="22">
        <f>(G$12/(1+$A$44)^1+H$12/(1+$A$44)^2+I$12/(1+$A$44)^3+J$12/(1+$A$44)^4+K$12/(1+$A$44)^5+K$8*20/(1+$A$44)^5+$C$29)/$C$32</f>
        <v/>
      </c>
      <c r="F44" s="22">
        <f>(G$12/(1+$A$44)^1+H$12/(1+$A$44)^2+I$12/(1+$A$44)^3+J$12/(1+$A$44)^4+K$12/(1+$A$44)^5+K$8*22/(1+$A$44)^5+$C$29)/$C$32</f>
        <v/>
      </c>
      <c r="G44" s="22">
        <f>(G$12/(1+$A$44)^1+H$12/(1+$A$44)^2+I$12/(1+$A$44)^3+J$12/(1+$A$44)^4+K$12/(1+$A$44)^5+K$8*24/(1+$A$44)^5+$C$29)/$C$32</f>
        <v/>
      </c>
    </row>
    <row r="45">
      <c r="A45" s="21" t="n">
        <v>0.13</v>
      </c>
      <c r="C45" s="22">
        <f>(G$12/(1+$A$45)^1+H$12/(1+$A$45)^2+I$12/(1+$A$45)^3+J$12/(1+$A$45)^4+K$12/(1+$A$45)^5+K$8*16/(1+$A$45)^5+$C$29)/$C$32</f>
        <v/>
      </c>
      <c r="D45" s="22">
        <f>(G$12/(1+$A$45)^1+H$12/(1+$A$45)^2+I$12/(1+$A$45)^3+J$12/(1+$A$45)^4+K$12/(1+$A$45)^5+K$8*18/(1+$A$45)^5+$C$29)/$C$32</f>
        <v/>
      </c>
      <c r="E45" s="22">
        <f>(G$12/(1+$A$45)^1+H$12/(1+$A$45)^2+I$12/(1+$A$45)^3+J$12/(1+$A$45)^4+K$12/(1+$A$45)^5+K$8*20/(1+$A$45)^5+$C$29)/$C$32</f>
        <v/>
      </c>
      <c r="F45" s="22">
        <f>(G$12/(1+$A$45)^1+H$12/(1+$A$45)^2+I$12/(1+$A$45)^3+J$12/(1+$A$45)^4+K$12/(1+$A$45)^5+K$8*22/(1+$A$45)^5+$C$29)/$C$32</f>
        <v/>
      </c>
      <c r="G45" s="22">
        <f>(G$12/(1+$A$45)^1+H$12/(1+$A$45)^2+I$12/(1+$A$45)^3+J$12/(1+$A$45)^4+K$12/(1+$A$45)^5+K$8*24/(1+$A$45)^5+$C$29)/$C$32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2026-04-10T07:11:11Z</dcterms:created>
  <dcterms:modified xmlns:dcterms="http://purl.org/dc/terms/" xmlns:xsi="http://www.w3.org/2001/XMLSchema-instance" xsi:type="dcterms:W3CDTF">2026-04-10T07:11:12Z</dcterms:modified>
</cp:coreProperties>
</file>