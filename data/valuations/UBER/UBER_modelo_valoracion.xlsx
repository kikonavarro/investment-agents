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Uber Technologies, Inc. (UBER)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Application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31877</v>
      </c>
      <c r="D7" s="5" t="n">
        <v>37281</v>
      </c>
      <c r="E7" s="5" t="n">
        <v>43978</v>
      </c>
      <c r="F7" s="5" t="n">
        <v>52017</v>
      </c>
    </row>
    <row r="8">
      <c r="A8" s="4" t="inlineStr">
        <is>
          <t xml:space="preserve">  Revenue Growth - Base</t>
        </is>
      </c>
      <c r="G8" s="6" t="n">
        <v>0.17</v>
      </c>
      <c r="H8" s="6" t="n">
        <v>0.15</v>
      </c>
      <c r="I8" s="6" t="n">
        <v>0.13</v>
      </c>
      <c r="J8" s="6" t="n">
        <v>0.11</v>
      </c>
      <c r="K8" s="6" t="n">
        <v>0.09</v>
      </c>
    </row>
    <row r="9">
      <c r="A9" s="4" t="inlineStr">
        <is>
          <t xml:space="preserve">  Revenue Growth - Bull</t>
        </is>
      </c>
      <c r="G9" s="6" t="n">
        <v>0.21</v>
      </c>
      <c r="H9" s="6" t="n">
        <v>0.18</v>
      </c>
      <c r="I9" s="6" t="n">
        <v>0.15</v>
      </c>
      <c r="J9" s="6" t="n">
        <v>0.12</v>
      </c>
      <c r="K9" s="6" t="n">
        <v>0.1</v>
      </c>
    </row>
    <row r="10">
      <c r="A10" s="4" t="inlineStr">
        <is>
          <t xml:space="preserve">  Revenue Growth - Bear</t>
        </is>
      </c>
      <c r="G10" s="6" t="n">
        <v>0.14</v>
      </c>
      <c r="H10" s="6" t="n">
        <v>0.12</v>
      </c>
      <c r="I10" s="6" t="n">
        <v>0.1</v>
      </c>
      <c r="J10" s="6" t="n">
        <v>0.08</v>
      </c>
      <c r="K10" s="6" t="n">
        <v>0.06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0.393</v>
      </c>
      <c r="H15" s="6" t="n">
        <v>0.393</v>
      </c>
      <c r="I15" s="6" t="n">
        <v>0.393</v>
      </c>
      <c r="J15" s="6" t="n">
        <v>0.393</v>
      </c>
      <c r="K15" s="6" t="n">
        <v>0.393</v>
      </c>
    </row>
    <row r="16">
      <c r="A16" s="4" t="inlineStr">
        <is>
          <t>Gross Margin - Bull</t>
        </is>
      </c>
      <c r="G16" s="6" t="n">
        <v>0.405</v>
      </c>
      <c r="H16" s="6" t="n">
        <v>0.405</v>
      </c>
      <c r="I16" s="6" t="n">
        <v>0.405</v>
      </c>
      <c r="J16" s="6" t="n">
        <v>0.405</v>
      </c>
      <c r="K16" s="6" t="n">
        <v>0.405</v>
      </c>
    </row>
    <row r="17">
      <c r="A17" s="4" t="inlineStr">
        <is>
          <t>Gross Margin - Bear</t>
        </is>
      </c>
      <c r="G17" s="6" t="n">
        <v>0.385</v>
      </c>
      <c r="H17" s="6" t="n">
        <v>0.385</v>
      </c>
      <c r="I17" s="6" t="n">
        <v>0.385</v>
      </c>
      <c r="J17" s="6" t="n">
        <v>0.385</v>
      </c>
      <c r="K17" s="6" t="n">
        <v>0.385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0.18</v>
      </c>
      <c r="H20" s="6" t="n">
        <v>0.18</v>
      </c>
      <c r="I20" s="6" t="n">
        <v>0.18</v>
      </c>
      <c r="J20" s="6" t="n">
        <v>0.18</v>
      </c>
      <c r="K20" s="6" t="n">
        <v>0.18</v>
      </c>
    </row>
    <row r="21">
      <c r="A21" s="4" t="inlineStr">
        <is>
          <t>SG&amp;A % Revenue - Bull</t>
        </is>
      </c>
      <c r="G21" s="6" t="n">
        <v>0.17</v>
      </c>
      <c r="H21" s="6" t="n">
        <v>0.17</v>
      </c>
      <c r="I21" s="6" t="n">
        <v>0.17</v>
      </c>
      <c r="J21" s="6" t="n">
        <v>0.17</v>
      </c>
      <c r="K21" s="6" t="n">
        <v>0.17</v>
      </c>
    </row>
    <row r="22">
      <c r="A22" s="4" t="inlineStr">
        <is>
          <t>SG&amp;A % Revenue - Bear</t>
        </is>
      </c>
      <c r="G22" s="6" t="n">
        <v>0.19</v>
      </c>
      <c r="H22" s="6" t="n">
        <v>0.19</v>
      </c>
      <c r="I22" s="6" t="n">
        <v>0.19</v>
      </c>
      <c r="J22" s="6" t="n">
        <v>0.19</v>
      </c>
      <c r="K22" s="6" t="n">
        <v>0.19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0.07000000000000001</v>
      </c>
      <c r="H25" s="6" t="n">
        <v>0.07000000000000001</v>
      </c>
      <c r="I25" s="6" t="n">
        <v>0.07000000000000001</v>
      </c>
      <c r="J25" s="6" t="n">
        <v>0.07000000000000001</v>
      </c>
      <c r="K25" s="6" t="n">
        <v>0.07000000000000001</v>
      </c>
    </row>
    <row r="26">
      <c r="A26" s="4" t="inlineStr">
        <is>
          <t>R&amp;D % Revenue - Bull</t>
        </is>
      </c>
      <c r="G26" s="6" t="n">
        <v>0.065</v>
      </c>
      <c r="H26" s="6" t="n">
        <v>0.065</v>
      </c>
      <c r="I26" s="6" t="n">
        <v>0.065</v>
      </c>
      <c r="J26" s="6" t="n">
        <v>0.065</v>
      </c>
      <c r="K26" s="6" t="n">
        <v>0.065</v>
      </c>
    </row>
    <row r="27">
      <c r="A27" s="4" t="inlineStr">
        <is>
          <t>R&amp;D % Revenue - Bear</t>
        </is>
      </c>
      <c r="G27" s="6" t="n">
        <v>0.075</v>
      </c>
      <c r="H27" s="6" t="n">
        <v>0.075</v>
      </c>
      <c r="I27" s="6" t="n">
        <v>0.075</v>
      </c>
      <c r="J27" s="6" t="n">
        <v>0.075</v>
      </c>
      <c r="K27" s="6" t="n">
        <v>0.075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0.021</v>
      </c>
      <c r="H30" s="6" t="n">
        <v>0.021</v>
      </c>
      <c r="I30" s="6" t="n">
        <v>0.021</v>
      </c>
      <c r="J30" s="6" t="n">
        <v>0.021</v>
      </c>
      <c r="K30" s="6" t="n">
        <v>0.021</v>
      </c>
    </row>
    <row r="31">
      <c r="A31" s="4" t="inlineStr">
        <is>
          <t>CapEx % Revenue</t>
        </is>
      </c>
      <c r="G31" s="6" t="n">
        <v>0.006</v>
      </c>
      <c r="H31" s="6" t="n">
        <v>0.006</v>
      </c>
      <c r="I31" s="6" t="n">
        <v>0.006</v>
      </c>
      <c r="J31" s="6" t="n">
        <v>0.006</v>
      </c>
      <c r="K31" s="6" t="n">
        <v>0.006</v>
      </c>
    </row>
    <row r="32">
      <c r="A32" s="4" t="inlineStr">
        <is>
          <t>Tax Rate</t>
        </is>
      </c>
      <c r="G32" s="6" t="n">
        <v>0.21</v>
      </c>
      <c r="H32" s="6" t="n">
        <v>0.21</v>
      </c>
      <c r="I32" s="6" t="n">
        <v>0.21</v>
      </c>
      <c r="J32" s="6" t="n">
        <v>0.21</v>
      </c>
      <c r="K32" s="6" t="n">
        <v>0.21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</v>
      </c>
    </row>
    <row r="36">
      <c r="A36" s="4" t="inlineStr">
        <is>
          <t>WACC - Bull</t>
        </is>
      </c>
      <c r="C36" s="6" t="n">
        <v>0.09</v>
      </c>
    </row>
    <row r="37">
      <c r="A37" s="4" t="inlineStr">
        <is>
          <t>WACC - Bear</t>
        </is>
      </c>
      <c r="C37" s="6" t="n">
        <v>0.11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14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Uber Technologies, Inc. (UBER)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31877</v>
      </c>
      <c r="D6" s="5" t="n">
        <v>37281</v>
      </c>
      <c r="E6" s="5" t="n">
        <v>43978</v>
      </c>
      <c r="F6" s="5" t="n">
        <v>52017</v>
      </c>
    </row>
    <row r="7">
      <c r="A7" s="4" t="inlineStr">
        <is>
          <t>Cost of Revenue</t>
        </is>
      </c>
      <c r="C7" s="5" t="n">
        <v>19659</v>
      </c>
      <c r="D7" s="5" t="n">
        <v>22457</v>
      </c>
      <c r="E7" s="5" t="n">
        <v>26651</v>
      </c>
      <c r="F7" s="5" t="n">
        <v>31338</v>
      </c>
    </row>
    <row r="8">
      <c r="A8" s="2" t="inlineStr">
        <is>
          <t>Gross Profit</t>
        </is>
      </c>
      <c r="C8" s="5" t="n">
        <v>12218</v>
      </c>
      <c r="D8" s="5" t="n">
        <v>14824</v>
      </c>
      <c r="E8" s="5" t="n">
        <v>17327</v>
      </c>
      <c r="F8" s="5" t="n">
        <v>20679</v>
      </c>
    </row>
    <row r="9">
      <c r="A9" s="4" t="inlineStr">
        <is>
          <t xml:space="preserve">  Gross Margin</t>
        </is>
      </c>
      <c r="C9" s="11" t="n">
        <v>0.383285754619318</v>
      </c>
      <c r="D9" s="11" t="n">
        <v>0.3976288189694482</v>
      </c>
      <c r="E9" s="11" t="n">
        <v>0.3939924507708399</v>
      </c>
      <c r="F9" s="11" t="n">
        <v>0.3975431109060499</v>
      </c>
    </row>
    <row r="11">
      <c r="A11" s="4" t="inlineStr">
        <is>
          <t>R&amp;D Expense</t>
        </is>
      </c>
      <c r="C11" s="5" t="n">
        <v>2798</v>
      </c>
      <c r="D11" s="5" t="n">
        <v>3164</v>
      </c>
      <c r="E11" s="5" t="n">
        <v>3109</v>
      </c>
      <c r="F11" s="5" t="n">
        <v>3402</v>
      </c>
    </row>
    <row r="12">
      <c r="A12" s="4" t="inlineStr">
        <is>
          <t>SG&amp;A Expense</t>
        </is>
      </c>
      <c r="C12" s="5" t="n">
        <v>7892</v>
      </c>
      <c r="D12" s="5" t="n">
        <v>7038</v>
      </c>
      <c r="E12" s="5" t="n">
        <v>7976</v>
      </c>
      <c r="F12" s="5" t="n">
        <v>8139</v>
      </c>
    </row>
    <row r="13">
      <c r="A13" s="2" t="inlineStr">
        <is>
          <t>Operating Income (EBIT)</t>
        </is>
      </c>
      <c r="C13" s="5" t="n">
        <v>-1832</v>
      </c>
      <c r="D13" s="5" t="n">
        <v>1110</v>
      </c>
      <c r="E13" s="5" t="n">
        <v>2799</v>
      </c>
      <c r="F13" s="5" t="n">
        <v>5565</v>
      </c>
    </row>
    <row r="14">
      <c r="A14" s="4" t="inlineStr">
        <is>
          <t xml:space="preserve">  EBIT Margin</t>
        </is>
      </c>
      <c r="C14" s="11" t="n">
        <v>-0.05747090378642909</v>
      </c>
      <c r="D14" s="11" t="n">
        <v>0.02977387945602317</v>
      </c>
      <c r="E14" s="11" t="n">
        <v>0.06364545909318295</v>
      </c>
      <c r="F14" s="11" t="n">
        <v>0.1069842551473557</v>
      </c>
    </row>
    <row r="16">
      <c r="A16" s="4" t="inlineStr">
        <is>
          <t>Interest Expense</t>
        </is>
      </c>
      <c r="C16" s="5" t="n">
        <v>565</v>
      </c>
      <c r="D16" s="5" t="n">
        <v>633</v>
      </c>
      <c r="E16" s="5" t="n">
        <v>523</v>
      </c>
      <c r="F16" s="5" t="n">
        <v>440</v>
      </c>
    </row>
    <row r="17">
      <c r="A17" s="4" t="inlineStr">
        <is>
          <t>Tax Provision</t>
        </is>
      </c>
      <c r="C17" s="5" t="n">
        <v>-181</v>
      </c>
      <c r="D17" s="5" t="n">
        <v>213</v>
      </c>
      <c r="E17" s="5" t="n">
        <v>-5758</v>
      </c>
      <c r="F17" s="5" t="n">
        <v>-4346</v>
      </c>
    </row>
    <row r="18">
      <c r="A18" s="2" t="inlineStr">
        <is>
          <t>Net Income</t>
        </is>
      </c>
      <c r="C18" s="5" t="n">
        <v>-9141</v>
      </c>
      <c r="D18" s="5" t="n">
        <v>1887</v>
      </c>
      <c r="E18" s="5" t="n">
        <v>9856</v>
      </c>
      <c r="F18" s="5" t="n">
        <v>10053</v>
      </c>
    </row>
    <row r="19">
      <c r="A19" s="4" t="inlineStr">
        <is>
          <t xml:space="preserve">  Net Margin</t>
        </is>
      </c>
      <c r="C19" s="11" t="n">
        <v>-0.2867584778994259</v>
      </c>
      <c r="D19" s="11" t="n">
        <v>0.0506155950752394</v>
      </c>
      <c r="E19" s="11" t="n">
        <v>0.224112056028014</v>
      </c>
      <c r="F19" s="11" t="n">
        <v>0.1932637407001557</v>
      </c>
    </row>
    <row r="21">
      <c r="A21" s="2" t="inlineStr">
        <is>
          <t>EBITDA</t>
        </is>
      </c>
      <c r="C21" s="5" t="n">
        <v>-7914</v>
      </c>
      <c r="D21" s="5" t="n">
        <v>3777</v>
      </c>
      <c r="E21" s="5" t="n">
        <v>5385</v>
      </c>
      <c r="F21" s="5" t="n">
        <v>6987</v>
      </c>
    </row>
    <row r="22">
      <c r="A22" s="4" t="inlineStr">
        <is>
          <t xml:space="preserve">  EBITDA Margin</t>
        </is>
      </c>
      <c r="C22" s="11" t="n">
        <v>-0.248266775418013</v>
      </c>
      <c r="D22" s="11" t="n">
        <v>0.1013116600949545</v>
      </c>
      <c r="E22" s="11" t="n">
        <v>0.1224475874300787</v>
      </c>
      <c r="F22" s="11" t="n">
        <v>0.1343214718265182</v>
      </c>
    </row>
    <row r="23">
      <c r="A23" s="4" t="inlineStr">
        <is>
          <t>Diluted EPS</t>
        </is>
      </c>
      <c r="C23" s="12" t="n">
        <v>-4.65</v>
      </c>
      <c r="D23" s="12" t="n">
        <v>0.87</v>
      </c>
      <c r="E23" s="12" t="n">
        <v>4.56</v>
      </c>
      <c r="F23" s="12" t="n">
        <v>4.73</v>
      </c>
    </row>
    <row r="24">
      <c r="A24" s="4" t="inlineStr">
        <is>
          <t>D&amp;A</t>
        </is>
      </c>
      <c r="C24" s="5" t="n">
        <v>947</v>
      </c>
      <c r="D24" s="5" t="n">
        <v>823</v>
      </c>
      <c r="E24" s="5" t="n">
        <v>737</v>
      </c>
      <c r="F24" s="5" t="n">
        <v>747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4208</v>
      </c>
      <c r="D28" s="5" t="n">
        <v>4680</v>
      </c>
      <c r="E28" s="5" t="n">
        <v>5893</v>
      </c>
      <c r="F28" s="5" t="n">
        <v>7105</v>
      </c>
    </row>
    <row r="29">
      <c r="A29" s="4" t="inlineStr">
        <is>
          <t>Current Assets</t>
        </is>
      </c>
      <c r="C29" s="5" t="n">
        <v>9249</v>
      </c>
      <c r="D29" s="5" t="n">
        <v>11297</v>
      </c>
      <c r="E29" s="5" t="n">
        <v>12245</v>
      </c>
      <c r="F29" s="5" t="n">
        <v>13993</v>
      </c>
    </row>
    <row r="30">
      <c r="A30" s="4" t="inlineStr">
        <is>
          <t>Net PP&amp;E</t>
        </is>
      </c>
      <c r="C30" s="5" t="n">
        <v>3531</v>
      </c>
      <c r="D30" s="5" t="n">
        <v>3314</v>
      </c>
      <c r="E30" s="5" t="n">
        <v>3110</v>
      </c>
      <c r="F30" s="5" t="n">
        <v>3011</v>
      </c>
    </row>
    <row r="31">
      <c r="A31" s="4" t="inlineStr">
        <is>
          <t>Goodwill</t>
        </is>
      </c>
      <c r="C31" s="5" t="n">
        <v>8263</v>
      </c>
      <c r="D31" s="5" t="n">
        <v>8151</v>
      </c>
      <c r="E31" s="5" t="n">
        <v>8066</v>
      </c>
      <c r="F31" s="5" t="n">
        <v>8931</v>
      </c>
    </row>
    <row r="32">
      <c r="A32" s="2" t="inlineStr">
        <is>
          <t>Total Assets</t>
        </is>
      </c>
      <c r="C32" s="5" t="n">
        <v>32109</v>
      </c>
      <c r="D32" s="5" t="n">
        <v>38699</v>
      </c>
      <c r="E32" s="5" t="n">
        <v>51244</v>
      </c>
      <c r="F32" s="5" t="n">
        <v>61802</v>
      </c>
    </row>
    <row r="34">
      <c r="A34" s="4" t="inlineStr">
        <is>
          <t>Current Liabilities</t>
        </is>
      </c>
      <c r="C34" s="5" t="n">
        <v>8853</v>
      </c>
      <c r="D34" s="5" t="n">
        <v>9454</v>
      </c>
      <c r="E34" s="5" t="n">
        <v>11476</v>
      </c>
      <c r="F34" s="5" t="n">
        <v>12320</v>
      </c>
    </row>
    <row r="35">
      <c r="A35" s="4" t="inlineStr">
        <is>
          <t>Total Debt</t>
        </is>
      </c>
      <c r="C35" s="5" t="n">
        <v>11139</v>
      </c>
      <c r="D35" s="5" t="n">
        <v>11224</v>
      </c>
      <c r="E35" s="5" t="n">
        <v>11126</v>
      </c>
      <c r="F35" s="5" t="n">
        <v>12080</v>
      </c>
    </row>
    <row r="36">
      <c r="A36" s="2" t="inlineStr">
        <is>
          <t>Total Liabilities</t>
        </is>
      </c>
      <c r="C36" s="5" t="n">
        <v>23605</v>
      </c>
      <c r="D36" s="5" t="n">
        <v>26017</v>
      </c>
      <c r="E36" s="5" t="n">
        <v>28768</v>
      </c>
      <c r="F36" s="5" t="n">
        <v>33719</v>
      </c>
    </row>
    <row r="38">
      <c r="A38" s="2" t="inlineStr">
        <is>
          <t>Total Equity</t>
        </is>
      </c>
      <c r="C38" s="5" t="n">
        <v>8504</v>
      </c>
      <c r="D38" s="5" t="n">
        <v>12682</v>
      </c>
      <c r="E38" s="5" t="n">
        <v>22476</v>
      </c>
      <c r="F38" s="5" t="n">
        <v>28083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642</v>
      </c>
      <c r="D42" s="5" t="n">
        <v>3585</v>
      </c>
      <c r="E42" s="5" t="n">
        <v>7137</v>
      </c>
      <c r="F42" s="5" t="n">
        <v>10099</v>
      </c>
    </row>
    <row r="43">
      <c r="A43" s="4" t="inlineStr">
        <is>
          <t>Capital Expenditure</t>
        </is>
      </c>
      <c r="C43" s="5" t="n">
        <v>-252</v>
      </c>
      <c r="D43" s="5" t="n">
        <v>-223</v>
      </c>
      <c r="E43" s="5" t="n">
        <v>-242</v>
      </c>
      <c r="F43" s="5" t="n">
        <v>-336</v>
      </c>
    </row>
    <row r="44">
      <c r="A44" s="2" t="inlineStr">
        <is>
          <t>Free Cash Flow</t>
        </is>
      </c>
      <c r="C44" s="5" t="n">
        <v>390</v>
      </c>
      <c r="D44" s="5" t="n">
        <v>3362</v>
      </c>
      <c r="E44" s="5" t="n">
        <v>6895</v>
      </c>
      <c r="F44" s="5" t="n">
        <v>9763</v>
      </c>
    </row>
    <row r="46">
      <c r="A46" s="4" t="inlineStr">
        <is>
          <t>D&amp;A</t>
        </is>
      </c>
      <c r="C46" s="5" t="n">
        <v>947</v>
      </c>
      <c r="D46" s="5" t="n">
        <v>823</v>
      </c>
      <c r="E46" s="5" t="n">
        <v>737</v>
      </c>
      <c r="F46" s="5" t="n">
        <v>747</v>
      </c>
    </row>
    <row r="47">
      <c r="A47" s="4" t="inlineStr">
        <is>
          <t>Stock-Based Compensation</t>
        </is>
      </c>
      <c r="C47" s="5" t="n">
        <v>1793</v>
      </c>
      <c r="D47" s="5" t="n">
        <v>1935</v>
      </c>
      <c r="E47" s="5" t="n">
        <v>1796</v>
      </c>
      <c r="F47" s="5" t="n">
        <v>1826</v>
      </c>
    </row>
    <row r="48">
      <c r="A48" s="4" t="inlineStr">
        <is>
          <t>Change in Working Capital</t>
        </is>
      </c>
      <c r="C48" s="5" t="n">
        <v>335</v>
      </c>
      <c r="D48" s="5" t="n">
        <v>165</v>
      </c>
      <c r="E48" s="5" t="n">
        <v>2374</v>
      </c>
      <c r="F48" s="5" t="n">
        <v>2227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Uber Technologies, Inc. (UBER)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Application</t>
        </is>
      </c>
      <c r="C8" s="5" t="n">
        <v>31877</v>
      </c>
      <c r="D8" s="5" t="n">
        <v>37281</v>
      </c>
      <c r="E8" s="5" t="n">
        <v>43978</v>
      </c>
      <c r="F8" s="5" t="n">
        <v>52017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19659</v>
      </c>
      <c r="D16" s="5" t="n">
        <v>22457</v>
      </c>
      <c r="E16" s="5" t="n">
        <v>26651</v>
      </c>
      <c r="F16" s="5" t="n">
        <v>31338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7892</v>
      </c>
      <c r="D20" s="5" t="n">
        <v>7038</v>
      </c>
      <c r="E20" s="5" t="n">
        <v>7976</v>
      </c>
      <c r="F20" s="5" t="n">
        <v>8139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2798</v>
      </c>
      <c r="D21" s="5" t="n">
        <v>3164</v>
      </c>
      <c r="E21" s="5" t="n">
        <v>3109</v>
      </c>
      <c r="F21" s="5" t="n">
        <v>3402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947</v>
      </c>
      <c r="D22" s="5" t="n">
        <v>823</v>
      </c>
      <c r="E22" s="5" t="n">
        <v>737</v>
      </c>
      <c r="F22" s="5" t="n">
        <v>747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565</v>
      </c>
      <c r="D29" s="5" t="n">
        <v>633</v>
      </c>
      <c r="E29" s="5" t="n">
        <v>523</v>
      </c>
      <c r="F29" s="5" t="n">
        <v>440</v>
      </c>
      <c r="G29" s="5" t="n">
        <v>440</v>
      </c>
      <c r="H29" s="5" t="n">
        <v>440</v>
      </c>
      <c r="I29" s="5" t="n">
        <v>440</v>
      </c>
      <c r="J29" s="5" t="n">
        <v>440</v>
      </c>
      <c r="K29" s="5" t="n">
        <v>440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-181</v>
      </c>
      <c r="D31" s="5" t="n">
        <v>213</v>
      </c>
      <c r="E31" s="5" t="n">
        <v>-5758</v>
      </c>
      <c r="F31" s="5" t="n">
        <v>-4346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335</v>
      </c>
      <c r="D39" s="5" t="n">
        <v>165</v>
      </c>
      <c r="E39" s="5" t="n">
        <v>2374</v>
      </c>
      <c r="F39" s="5" t="n">
        <v>2227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-252</v>
      </c>
      <c r="D42" s="5" t="n">
        <v>-223</v>
      </c>
      <c r="E42" s="5" t="n">
        <v>-242</v>
      </c>
      <c r="F42" s="5" t="n">
        <v>-336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Uber Technologies, Inc. (UBER)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74.64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-4975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2036.824858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C33/74.64-1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10x</t>
        </is>
      </c>
      <c r="D38" s="1" t="inlineStr">
        <is>
          <t>12x</t>
        </is>
      </c>
      <c r="E38" s="1" t="inlineStr">
        <is>
          <t>14x</t>
        </is>
      </c>
      <c r="F38" s="1" t="inlineStr">
        <is>
          <t>16x</t>
        </is>
      </c>
      <c r="G38" s="1" t="inlineStr">
        <is>
          <t>18x</t>
        </is>
      </c>
    </row>
    <row r="39">
      <c r="A39" s="21" t="n">
        <v>0.07000000000000001</v>
      </c>
      <c r="C39" s="22">
        <f>(G$12/(1+$A$39)^1+H$12/(1+$A$39)^2+I$12/(1+$A$39)^3+J$12/(1+$A$39)^4+K$12/(1+$A$39)^5+K$8*10/(1+$A$39)^5+$C$29)/$C$32</f>
        <v/>
      </c>
      <c r="D39" s="22">
        <f>(G$12/(1+$A$39)^1+H$12/(1+$A$39)^2+I$12/(1+$A$39)^3+J$12/(1+$A$39)^4+K$12/(1+$A$39)^5+K$8*12/(1+$A$39)^5+$C$29)/$C$32</f>
        <v/>
      </c>
      <c r="E39" s="22">
        <f>(G$12/(1+$A$39)^1+H$12/(1+$A$39)^2+I$12/(1+$A$39)^3+J$12/(1+$A$39)^4+K$12/(1+$A$39)^5+K$8*14/(1+$A$39)^5+$C$29)/$C$32</f>
        <v/>
      </c>
      <c r="F39" s="22">
        <f>(G$12/(1+$A$39)^1+H$12/(1+$A$39)^2+I$12/(1+$A$39)^3+J$12/(1+$A$39)^4+K$12/(1+$A$39)^5+K$8*16/(1+$A$39)^5+$C$29)/$C$32</f>
        <v/>
      </c>
      <c r="G39" s="22">
        <f>(G$12/(1+$A$39)^1+H$12/(1+$A$39)^2+I$12/(1+$A$39)^3+J$12/(1+$A$39)^4+K$12/(1+$A$39)^5+K$8*18/(1+$A$39)^5+$C$29)/$C$32</f>
        <v/>
      </c>
    </row>
    <row r="40">
      <c r="A40" s="21" t="n">
        <v>0.08</v>
      </c>
      <c r="C40" s="22">
        <f>(G$12/(1+$A$40)^1+H$12/(1+$A$40)^2+I$12/(1+$A$40)^3+J$12/(1+$A$40)^4+K$12/(1+$A$40)^5+K$8*10/(1+$A$40)^5+$C$29)/$C$32</f>
        <v/>
      </c>
      <c r="D40" s="22">
        <f>(G$12/(1+$A$40)^1+H$12/(1+$A$40)^2+I$12/(1+$A$40)^3+J$12/(1+$A$40)^4+K$12/(1+$A$40)^5+K$8*12/(1+$A$40)^5+$C$29)/$C$32</f>
        <v/>
      </c>
      <c r="E40" s="22">
        <f>(G$12/(1+$A$40)^1+H$12/(1+$A$40)^2+I$12/(1+$A$40)^3+J$12/(1+$A$40)^4+K$12/(1+$A$40)^5+K$8*14/(1+$A$40)^5+$C$29)/$C$32</f>
        <v/>
      </c>
      <c r="F40" s="22">
        <f>(G$12/(1+$A$40)^1+H$12/(1+$A$40)^2+I$12/(1+$A$40)^3+J$12/(1+$A$40)^4+K$12/(1+$A$40)^5+K$8*16/(1+$A$40)^5+$C$29)/$C$32</f>
        <v/>
      </c>
      <c r="G40" s="22">
        <f>(G$12/(1+$A$40)^1+H$12/(1+$A$40)^2+I$12/(1+$A$40)^3+J$12/(1+$A$40)^4+K$12/(1+$A$40)^5+K$8*18/(1+$A$40)^5+$C$29)/$C$32</f>
        <v/>
      </c>
    </row>
    <row r="41">
      <c r="A41" s="21" t="n">
        <v>0.09000000000000001</v>
      </c>
      <c r="C41" s="22">
        <f>(G$12/(1+$A$41)^1+H$12/(1+$A$41)^2+I$12/(1+$A$41)^3+J$12/(1+$A$41)^4+K$12/(1+$A$41)^5+K$8*10/(1+$A$41)^5+$C$29)/$C$32</f>
        <v/>
      </c>
      <c r="D41" s="22">
        <f>(G$12/(1+$A$41)^1+H$12/(1+$A$41)^2+I$12/(1+$A$41)^3+J$12/(1+$A$41)^4+K$12/(1+$A$41)^5+K$8*12/(1+$A$41)^5+$C$29)/$C$32</f>
        <v/>
      </c>
      <c r="E41" s="22">
        <f>(G$12/(1+$A$41)^1+H$12/(1+$A$41)^2+I$12/(1+$A$41)^3+J$12/(1+$A$41)^4+K$12/(1+$A$41)^5+K$8*14/(1+$A$41)^5+$C$29)/$C$32</f>
        <v/>
      </c>
      <c r="F41" s="22">
        <f>(G$12/(1+$A$41)^1+H$12/(1+$A$41)^2+I$12/(1+$A$41)^3+J$12/(1+$A$41)^4+K$12/(1+$A$41)^5+K$8*16/(1+$A$41)^5+$C$29)/$C$32</f>
        <v/>
      </c>
      <c r="G41" s="22">
        <f>(G$12/(1+$A$41)^1+H$12/(1+$A$41)^2+I$12/(1+$A$41)^3+J$12/(1+$A$41)^4+K$12/(1+$A$41)^5+K$8*18/(1+$A$41)^5+$C$29)/$C$32</f>
        <v/>
      </c>
    </row>
    <row r="42">
      <c r="A42" s="21" t="n">
        <v>0.1</v>
      </c>
      <c r="C42" s="22">
        <f>(G$12/(1+$A$42)^1+H$12/(1+$A$42)^2+I$12/(1+$A$42)^3+J$12/(1+$A$42)^4+K$12/(1+$A$42)^5+K$8*10/(1+$A$42)^5+$C$29)/$C$32</f>
        <v/>
      </c>
      <c r="D42" s="22">
        <f>(G$12/(1+$A$42)^1+H$12/(1+$A$42)^2+I$12/(1+$A$42)^3+J$12/(1+$A$42)^4+K$12/(1+$A$42)^5+K$8*12/(1+$A$42)^5+$C$29)/$C$32</f>
        <v/>
      </c>
      <c r="E42" s="23">
        <f>(G$12/(1+$A$42)^1+H$12/(1+$A$42)^2+I$12/(1+$A$42)^3+J$12/(1+$A$42)^4+K$12/(1+$A$42)^5+K$8*14/(1+$A$42)^5+$C$29)/$C$32</f>
        <v/>
      </c>
      <c r="F42" s="22">
        <f>(G$12/(1+$A$42)^1+H$12/(1+$A$42)^2+I$12/(1+$A$42)^3+J$12/(1+$A$42)^4+K$12/(1+$A$42)^5+K$8*16/(1+$A$42)^5+$C$29)/$C$32</f>
        <v/>
      </c>
      <c r="G42" s="22">
        <f>(G$12/(1+$A$42)^1+H$12/(1+$A$42)^2+I$12/(1+$A$42)^3+J$12/(1+$A$42)^4+K$12/(1+$A$42)^5+K$8*18/(1+$A$42)^5+$C$29)/$C$32</f>
        <v/>
      </c>
    </row>
    <row r="43">
      <c r="A43" s="21" t="n">
        <v>0.11</v>
      </c>
      <c r="C43" s="22">
        <f>(G$12/(1+$A$43)^1+H$12/(1+$A$43)^2+I$12/(1+$A$43)^3+J$12/(1+$A$43)^4+K$12/(1+$A$43)^5+K$8*10/(1+$A$43)^5+$C$29)/$C$32</f>
        <v/>
      </c>
      <c r="D43" s="22">
        <f>(G$12/(1+$A$43)^1+H$12/(1+$A$43)^2+I$12/(1+$A$43)^3+J$12/(1+$A$43)^4+K$12/(1+$A$43)^5+K$8*12/(1+$A$43)^5+$C$29)/$C$32</f>
        <v/>
      </c>
      <c r="E43" s="22">
        <f>(G$12/(1+$A$43)^1+H$12/(1+$A$43)^2+I$12/(1+$A$43)^3+J$12/(1+$A$43)^4+K$12/(1+$A$43)^5+K$8*14/(1+$A$43)^5+$C$29)/$C$32</f>
        <v/>
      </c>
      <c r="F43" s="22">
        <f>(G$12/(1+$A$43)^1+H$12/(1+$A$43)^2+I$12/(1+$A$43)^3+J$12/(1+$A$43)^4+K$12/(1+$A$43)^5+K$8*16/(1+$A$43)^5+$C$29)/$C$32</f>
        <v/>
      </c>
      <c r="G43" s="22">
        <f>(G$12/(1+$A$43)^1+H$12/(1+$A$43)^2+I$12/(1+$A$43)^3+J$12/(1+$A$43)^4+K$12/(1+$A$43)^5+K$8*18/(1+$A$43)^5+$C$29)/$C$32</f>
        <v/>
      </c>
    </row>
    <row r="44">
      <c r="A44" s="21" t="n">
        <v>0.12</v>
      </c>
      <c r="C44" s="22">
        <f>(G$12/(1+$A$44)^1+H$12/(1+$A$44)^2+I$12/(1+$A$44)^3+J$12/(1+$A$44)^4+K$12/(1+$A$44)^5+K$8*10/(1+$A$44)^5+$C$29)/$C$32</f>
        <v/>
      </c>
      <c r="D44" s="22">
        <f>(G$12/(1+$A$44)^1+H$12/(1+$A$44)^2+I$12/(1+$A$44)^3+J$12/(1+$A$44)^4+K$12/(1+$A$44)^5+K$8*12/(1+$A$44)^5+$C$29)/$C$32</f>
        <v/>
      </c>
      <c r="E44" s="22">
        <f>(G$12/(1+$A$44)^1+H$12/(1+$A$44)^2+I$12/(1+$A$44)^3+J$12/(1+$A$44)^4+K$12/(1+$A$44)^5+K$8*14/(1+$A$44)^5+$C$29)/$C$32</f>
        <v/>
      </c>
      <c r="F44" s="22">
        <f>(G$12/(1+$A$44)^1+H$12/(1+$A$44)^2+I$12/(1+$A$44)^3+J$12/(1+$A$44)^4+K$12/(1+$A$44)^5+K$8*16/(1+$A$44)^5+$C$29)/$C$32</f>
        <v/>
      </c>
      <c r="G44" s="22">
        <f>(G$12/(1+$A$44)^1+H$12/(1+$A$44)^2+I$12/(1+$A$44)^3+J$12/(1+$A$44)^4+K$12/(1+$A$44)^5+K$8*18/(1+$A$44)^5+$C$29)/$C$32</f>
        <v/>
      </c>
    </row>
    <row r="45">
      <c r="A45" s="21" t="n">
        <v>0.13</v>
      </c>
      <c r="C45" s="22">
        <f>(G$12/(1+$A$45)^1+H$12/(1+$A$45)^2+I$12/(1+$A$45)^3+J$12/(1+$A$45)^4+K$12/(1+$A$45)^5+K$8*10/(1+$A$45)^5+$C$29)/$C$32</f>
        <v/>
      </c>
      <c r="D45" s="22">
        <f>(G$12/(1+$A$45)^1+H$12/(1+$A$45)^2+I$12/(1+$A$45)^3+J$12/(1+$A$45)^4+K$12/(1+$A$45)^5+K$8*12/(1+$A$45)^5+$C$29)/$C$32</f>
        <v/>
      </c>
      <c r="E45" s="22">
        <f>(G$12/(1+$A$45)^1+H$12/(1+$A$45)^2+I$12/(1+$A$45)^3+J$12/(1+$A$45)^4+K$12/(1+$A$45)^5+K$8*14/(1+$A$45)^5+$C$29)/$C$32</f>
        <v/>
      </c>
      <c r="F45" s="22">
        <f>(G$12/(1+$A$45)^1+H$12/(1+$A$45)^2+I$12/(1+$A$45)^3+J$12/(1+$A$45)^4+K$12/(1+$A$45)^5+K$8*16/(1+$A$45)^5+$C$29)/$C$32</f>
        <v/>
      </c>
      <c r="G45" s="22">
        <f>(G$12/(1+$A$45)^1+H$12/(1+$A$45)^2+I$12/(1+$A$45)^3+J$12/(1+$A$45)^4+K$12/(1+$A$45)^5+K$8*18/(1+$A$45)^5+$C$29)/$C$32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2026-04-26T19:59:58Z</dcterms:created>
  <dcterms:modified xmlns:dcterms="http://purl.org/dc/terms/" xmlns:xsi="http://www.w3.org/2001/XMLSchema-instance" xsi:type="dcterms:W3CDTF">2026-04-26T19:59:58Z</dcterms:modified>
</cp:coreProperties>
</file>