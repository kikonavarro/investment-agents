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Viatris Inc. (VTRS)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Drug Manufacturers - Specialty &amp; Generic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16262.7</v>
      </c>
      <c r="D7" s="5" t="n">
        <v>15426.9</v>
      </c>
      <c r="E7" s="5" t="n">
        <v>14739.3</v>
      </c>
      <c r="F7" s="5" t="n">
        <v>14299.9</v>
      </c>
    </row>
    <row r="8">
      <c r="A8" s="4" t="inlineStr">
        <is>
          <t xml:space="preserve">  Revenue Growth - Base</t>
        </is>
      </c>
      <c r="G8" s="6" t="n">
        <v>-0.02</v>
      </c>
      <c r="H8" s="6" t="n">
        <v>0</v>
      </c>
      <c r="I8" s="6" t="n">
        <v>0.01</v>
      </c>
      <c r="J8" s="6" t="n">
        <v>0.01</v>
      </c>
      <c r="K8" s="6" t="n">
        <v>0.01</v>
      </c>
    </row>
    <row r="9">
      <c r="A9" s="4" t="inlineStr">
        <is>
          <t xml:space="preserve">  Revenue Growth - Bull</t>
        </is>
      </c>
      <c r="G9" s="6" t="n">
        <v>0</v>
      </c>
      <c r="H9" s="6" t="n">
        <v>0.02</v>
      </c>
      <c r="I9" s="6" t="n">
        <v>0.03</v>
      </c>
      <c r="J9" s="6" t="n">
        <v>0.03</v>
      </c>
      <c r="K9" s="6" t="n">
        <v>0.03</v>
      </c>
    </row>
    <row r="10">
      <c r="A10" s="4" t="inlineStr">
        <is>
          <t xml:space="preserve">  Revenue Growth - Bear</t>
        </is>
      </c>
      <c r="G10" s="6" t="n">
        <v>-0.04</v>
      </c>
      <c r="H10" s="6" t="n">
        <v>-0.04</v>
      </c>
      <c r="I10" s="6" t="n">
        <v>-0.03</v>
      </c>
      <c r="J10" s="6" t="n">
        <v>-0.02</v>
      </c>
      <c r="K10" s="6" t="n">
        <v>-0.02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0.38</v>
      </c>
      <c r="H15" s="6" t="n">
        <v>0.38</v>
      </c>
      <c r="I15" s="6" t="n">
        <v>0.38</v>
      </c>
      <c r="J15" s="6" t="n">
        <v>0.38</v>
      </c>
      <c r="K15" s="6" t="n">
        <v>0.38</v>
      </c>
    </row>
    <row r="16">
      <c r="A16" s="4" t="inlineStr">
        <is>
          <t>Gross Margin - Bull</t>
        </is>
      </c>
      <c r="G16" s="6" t="n">
        <v>0.4</v>
      </c>
      <c r="H16" s="6" t="n">
        <v>0.4</v>
      </c>
      <c r="I16" s="6" t="n">
        <v>0.4</v>
      </c>
      <c r="J16" s="6" t="n">
        <v>0.4</v>
      </c>
      <c r="K16" s="6" t="n">
        <v>0.4</v>
      </c>
    </row>
    <row r="17">
      <c r="A17" s="4" t="inlineStr">
        <is>
          <t>Gross Margin - Bear</t>
        </is>
      </c>
      <c r="G17" s="6" t="n">
        <v>0.35</v>
      </c>
      <c r="H17" s="6" t="n">
        <v>0.35</v>
      </c>
      <c r="I17" s="6" t="n">
        <v>0.35</v>
      </c>
      <c r="J17" s="6" t="n">
        <v>0.35</v>
      </c>
      <c r="K17" s="6" t="n">
        <v>0.35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0.26</v>
      </c>
      <c r="H20" s="6" t="n">
        <v>0.26</v>
      </c>
      <c r="I20" s="6" t="n">
        <v>0.26</v>
      </c>
      <c r="J20" s="6" t="n">
        <v>0.26</v>
      </c>
      <c r="K20" s="6" t="n">
        <v>0.26</v>
      </c>
    </row>
    <row r="21">
      <c r="A21" s="4" t="inlineStr">
        <is>
          <t>SG&amp;A % Revenue - Bull</t>
        </is>
      </c>
      <c r="G21" s="6" t="n">
        <v>0.25</v>
      </c>
      <c r="H21" s="6" t="n">
        <v>0.25</v>
      </c>
      <c r="I21" s="6" t="n">
        <v>0.25</v>
      </c>
      <c r="J21" s="6" t="n">
        <v>0.25</v>
      </c>
      <c r="K21" s="6" t="n">
        <v>0.25</v>
      </c>
    </row>
    <row r="22">
      <c r="A22" s="4" t="inlineStr">
        <is>
          <t>SG&amp;A % Revenue - Bear</t>
        </is>
      </c>
      <c r="G22" s="6" t="n">
        <v>0.27</v>
      </c>
      <c r="H22" s="6" t="n">
        <v>0.27</v>
      </c>
      <c r="I22" s="6" t="n">
        <v>0.27</v>
      </c>
      <c r="J22" s="6" t="n">
        <v>0.27</v>
      </c>
      <c r="K22" s="6" t="n">
        <v>0.27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0.06</v>
      </c>
      <c r="H27" s="6" t="n">
        <v>0.06</v>
      </c>
      <c r="I27" s="6" t="n">
        <v>0.06</v>
      </c>
      <c r="J27" s="6" t="n">
        <v>0.06</v>
      </c>
      <c r="K27" s="6" t="n">
        <v>0.06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0.19</v>
      </c>
      <c r="H30" s="6" t="n">
        <v>0.19</v>
      </c>
      <c r="I30" s="6" t="n">
        <v>0.19</v>
      </c>
      <c r="J30" s="6" t="n">
        <v>0.19</v>
      </c>
      <c r="K30" s="6" t="n">
        <v>0.19</v>
      </c>
    </row>
    <row r="31">
      <c r="A31" s="4" t="inlineStr">
        <is>
          <t>CapEx % Revenue</t>
        </is>
      </c>
      <c r="G31" s="6" t="n">
        <v>0.03</v>
      </c>
      <c r="H31" s="6" t="n">
        <v>0.03</v>
      </c>
      <c r="I31" s="6" t="n">
        <v>0.03</v>
      </c>
      <c r="J31" s="6" t="n">
        <v>0.03</v>
      </c>
      <c r="K31" s="6" t="n">
        <v>0.03</v>
      </c>
    </row>
    <row r="32">
      <c r="A32" s="4" t="inlineStr">
        <is>
          <t>Tax Rate</t>
        </is>
      </c>
      <c r="G32" s="6" t="n">
        <v>0.21</v>
      </c>
      <c r="H32" s="6" t="n">
        <v>0.21</v>
      </c>
      <c r="I32" s="6" t="n">
        <v>0.21</v>
      </c>
      <c r="J32" s="6" t="n">
        <v>0.21</v>
      </c>
      <c r="K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</v>
      </c>
    </row>
    <row r="36">
      <c r="A36" s="4" t="inlineStr">
        <is>
          <t>WACC - Bull</t>
        </is>
      </c>
      <c r="C36" s="6" t="n">
        <v>0.08500000000000001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</v>
      </c>
    </row>
    <row r="41">
      <c r="A41" s="4" t="inlineStr">
        <is>
          <t>Terminal Value Multiple - Bull</t>
        </is>
      </c>
      <c r="C41" s="9" t="n">
        <v>10</v>
      </c>
    </row>
    <row r="42">
      <c r="A42" s="4" t="inlineStr">
        <is>
          <t>Terminal Value Multiple - Bear</t>
        </is>
      </c>
      <c r="C42" s="9" t="n">
        <v>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Viatris Inc. (VTRS)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16262.7</v>
      </c>
      <c r="D6" s="5" t="n">
        <v>15426.9</v>
      </c>
      <c r="E6" s="5" t="n">
        <v>14739.3</v>
      </c>
      <c r="F6" s="5" t="n">
        <v>14299.9</v>
      </c>
    </row>
    <row r="7">
      <c r="A7" s="4" t="inlineStr">
        <is>
          <t>Cost of Revenue</t>
        </is>
      </c>
      <c r="C7" s="5" t="n">
        <v>9765.700000000001</v>
      </c>
      <c r="D7" s="5" t="n">
        <v>8988.299999999999</v>
      </c>
      <c r="E7" s="5" t="n">
        <v>9115.700000000001</v>
      </c>
      <c r="F7" s="5" t="n">
        <v>9286.4</v>
      </c>
    </row>
    <row r="8">
      <c r="A8" s="2" t="inlineStr">
        <is>
          <t>Gross Profit</t>
        </is>
      </c>
      <c r="C8" s="5" t="n">
        <v>6497</v>
      </c>
      <c r="D8" s="5" t="n">
        <v>6438.6</v>
      </c>
      <c r="E8" s="5" t="n">
        <v>5623.6</v>
      </c>
      <c r="F8" s="5" t="n">
        <v>5013.5</v>
      </c>
    </row>
    <row r="9">
      <c r="A9" s="4" t="inlineStr">
        <is>
          <t xml:space="preserve">  Gross Margin</t>
        </is>
      </c>
      <c r="C9" s="11" t="n">
        <v>0.3995031575322671</v>
      </c>
      <c r="D9" s="11" t="n">
        <v>0.4173618808704276</v>
      </c>
      <c r="E9" s="11" t="n">
        <v>0.3815377935180096</v>
      </c>
      <c r="F9" s="11" t="n">
        <v>0.3505968573206806</v>
      </c>
    </row>
    <row r="11">
      <c r="A11" s="4" t="inlineStr">
        <is>
          <t>R&amp;D Expense</t>
        </is>
      </c>
      <c r="C11" s="5" t="n">
        <v>662.2</v>
      </c>
      <c r="D11" s="5" t="n">
        <v>805.2</v>
      </c>
      <c r="E11" s="5" t="n">
        <v>808.7</v>
      </c>
      <c r="F11" s="5" t="n">
        <v>965.9</v>
      </c>
    </row>
    <row r="12">
      <c r="A12" s="4" t="inlineStr">
        <is>
          <t>SG&amp;A Expense</t>
        </is>
      </c>
      <c r="C12" s="5" t="n">
        <v>4179.1</v>
      </c>
      <c r="D12" s="5" t="n">
        <v>4070</v>
      </c>
      <c r="E12" s="5" t="n">
        <v>4104.6</v>
      </c>
      <c r="F12" s="5" t="n">
        <v>3794.1</v>
      </c>
    </row>
    <row r="13">
      <c r="A13" s="2" t="inlineStr">
        <is>
          <t>Operating Income (EBIT)</t>
        </is>
      </c>
      <c r="C13" s="5" t="n">
        <v>1655.7</v>
      </c>
      <c r="D13" s="5" t="n">
        <v>1563.4</v>
      </c>
      <c r="E13" s="5" t="n">
        <v>710.3</v>
      </c>
      <c r="F13" s="5" t="n">
        <v>253.5</v>
      </c>
    </row>
    <row r="14">
      <c r="A14" s="4" t="inlineStr">
        <is>
          <t xml:space="preserve">  EBIT Margin</t>
        </is>
      </c>
      <c r="C14" s="11" t="n">
        <v>0.1018096626021509</v>
      </c>
      <c r="D14" s="11" t="n">
        <v>0.1013424602480083</v>
      </c>
      <c r="E14" s="11" t="n">
        <v>0.04819089101924786</v>
      </c>
      <c r="F14" s="11" t="n">
        <v>0.01772739669508178</v>
      </c>
    </row>
    <row r="16">
      <c r="A16" s="4" t="inlineStr">
        <is>
          <t>Interest Expense</t>
        </is>
      </c>
      <c r="C16" s="5" t="n">
        <v>592.4</v>
      </c>
      <c r="D16" s="5" t="n">
        <v>573.1</v>
      </c>
      <c r="E16" s="5" t="n">
        <v>550</v>
      </c>
      <c r="F16" s="5" t="n">
        <v>471.3</v>
      </c>
    </row>
    <row r="17">
      <c r="A17" s="4" t="inlineStr">
        <is>
          <t>Tax Provision</t>
        </is>
      </c>
      <c r="C17" s="5" t="n">
        <v>734.6</v>
      </c>
      <c r="D17" s="5" t="n">
        <v>148.2</v>
      </c>
      <c r="E17" s="5" t="n">
        <v>11</v>
      </c>
      <c r="F17" s="5" t="n">
        <v>-150.1</v>
      </c>
    </row>
    <row r="18">
      <c r="A18" s="2" t="inlineStr">
        <is>
          <t>Net Income</t>
        </is>
      </c>
      <c r="C18" s="5" t="n">
        <v>2078.6</v>
      </c>
      <c r="D18" s="5" t="n">
        <v>54.7</v>
      </c>
      <c r="E18" s="5" t="n">
        <v>-634.2</v>
      </c>
      <c r="F18" s="5" t="n">
        <v>-3514.9</v>
      </c>
    </row>
    <row r="19">
      <c r="A19" s="4" t="inlineStr">
        <is>
          <t xml:space="preserve">  Net Margin</t>
        </is>
      </c>
      <c r="C19" s="11" t="n">
        <v>0.1278139546323796</v>
      </c>
      <c r="D19" s="11" t="n">
        <v>0.003545754493773862</v>
      </c>
      <c r="E19" s="11" t="n">
        <v>-0.0430278235737111</v>
      </c>
      <c r="F19" s="11" t="n">
        <v>-0.2457989216707809</v>
      </c>
    </row>
    <row r="21">
      <c r="A21" s="2" t="inlineStr">
        <is>
          <t>EBITDA</t>
        </is>
      </c>
      <c r="C21" s="5" t="n">
        <v>6433.2</v>
      </c>
      <c r="D21" s="5" t="n">
        <v>3516.5</v>
      </c>
      <c r="E21" s="5" t="n">
        <v>2820</v>
      </c>
      <c r="F21" s="5" t="n">
        <v>-395.4</v>
      </c>
    </row>
    <row r="22">
      <c r="A22" s="4" t="inlineStr">
        <is>
          <t xml:space="preserve">  EBITDA Margin</t>
        </is>
      </c>
      <c r="C22" s="11" t="n">
        <v>0.3955800697301186</v>
      </c>
      <c r="D22" s="11" t="n">
        <v>0.2279459904452612</v>
      </c>
      <c r="E22" s="11" t="n">
        <v>0.1913252325415725</v>
      </c>
      <c r="F22" s="11" t="n">
        <v>-0.02765054301079028</v>
      </c>
    </row>
    <row r="23">
      <c r="A23" s="4" t="inlineStr">
        <is>
          <t>Diluted EPS</t>
        </is>
      </c>
      <c r="C23" s="12" t="n">
        <v>1.71</v>
      </c>
      <c r="D23" s="12" t="n">
        <v>0.05</v>
      </c>
      <c r="E23" s="12" t="n">
        <v>-0.53</v>
      </c>
      <c r="F23" s="12" t="n">
        <v>-3</v>
      </c>
    </row>
    <row r="24">
      <c r="A24" s="4" t="inlineStr">
        <is>
          <t>D&amp;A</t>
        </is>
      </c>
      <c r="C24" s="5" t="n">
        <v>3027.6</v>
      </c>
      <c r="D24" s="5" t="n">
        <v>2740.5</v>
      </c>
      <c r="E24" s="5" t="n">
        <v>2893.2</v>
      </c>
      <c r="F24" s="5" t="n">
        <v>2798.3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1259.9</v>
      </c>
      <c r="D28" s="5" t="n">
        <v>991.9</v>
      </c>
      <c r="E28" s="5" t="n">
        <v>734.8</v>
      </c>
      <c r="F28" s="5" t="n">
        <v>1322.4</v>
      </c>
    </row>
    <row r="29">
      <c r="A29" s="4" t="inlineStr">
        <is>
          <t>Current Assets</t>
        </is>
      </c>
      <c r="C29" s="5" t="n">
        <v>10635.4</v>
      </c>
      <c r="D29" s="5" t="n">
        <v>12976.1</v>
      </c>
      <c r="E29" s="5" t="n">
        <v>9520.700000000001</v>
      </c>
      <c r="F29" s="5" t="n">
        <v>9789.200000000001</v>
      </c>
    </row>
    <row r="30">
      <c r="A30" s="4" t="inlineStr">
        <is>
          <t>Net PP&amp;E</t>
        </is>
      </c>
      <c r="C30" s="5" t="n">
        <v>3283.8</v>
      </c>
      <c r="D30" s="5" t="n">
        <v>3005.2</v>
      </c>
      <c r="E30" s="5" t="n">
        <v>2919.2</v>
      </c>
      <c r="F30" s="5" t="n">
        <v>2885.3</v>
      </c>
    </row>
    <row r="31">
      <c r="A31" s="4" t="inlineStr">
        <is>
          <t>Goodwill</t>
        </is>
      </c>
      <c r="C31" s="5" t="n">
        <v>10425.8</v>
      </c>
      <c r="D31" s="5" t="n">
        <v>9867.1</v>
      </c>
      <c r="E31" s="5" t="n">
        <v>9133.299999999999</v>
      </c>
      <c r="F31" s="5" t="n">
        <v>6754.7</v>
      </c>
    </row>
    <row r="32">
      <c r="A32" s="2" t="inlineStr">
        <is>
          <t>Total Assets</t>
        </is>
      </c>
      <c r="C32" s="5" t="n">
        <v>50022.2</v>
      </c>
      <c r="D32" s="5" t="n">
        <v>47685.5</v>
      </c>
      <c r="E32" s="5" t="n">
        <v>41500.9</v>
      </c>
      <c r="F32" s="5" t="n">
        <v>37193.1</v>
      </c>
    </row>
    <row r="34">
      <c r="A34" s="4" t="inlineStr">
        <is>
          <t>Current Liabilities</t>
        </is>
      </c>
      <c r="C34" s="5" t="n">
        <v>6746.2</v>
      </c>
      <c r="D34" s="5" t="n">
        <v>7777.4</v>
      </c>
      <c r="E34" s="5" t="n">
        <v>5779.4</v>
      </c>
      <c r="F34" s="5" t="n">
        <v>7094.3</v>
      </c>
    </row>
    <row r="35">
      <c r="A35" s="4" t="inlineStr">
        <is>
          <t>Total Debt</t>
        </is>
      </c>
      <c r="C35" s="5" t="n">
        <v>19527.7</v>
      </c>
      <c r="D35" s="5" t="n">
        <v>18371.2</v>
      </c>
      <c r="E35" s="5" t="n">
        <v>14305.9</v>
      </c>
      <c r="F35" s="5" t="n">
        <v>14698</v>
      </c>
    </row>
    <row r="36">
      <c r="A36" s="2" t="inlineStr">
        <is>
          <t>Total Liabilities</t>
        </is>
      </c>
      <c r="C36" s="5" t="n">
        <v>28949.9</v>
      </c>
      <c r="D36" s="5" t="n">
        <v>27218.1</v>
      </c>
      <c r="E36" s="5" t="n">
        <v>22865.4</v>
      </c>
      <c r="F36" s="5" t="n">
        <v>22481.8</v>
      </c>
    </row>
    <row r="38">
      <c r="A38" s="2" t="inlineStr">
        <is>
          <t>Total Equity</t>
        </is>
      </c>
      <c r="C38" s="5" t="n">
        <v>21072.3</v>
      </c>
      <c r="D38" s="5" t="n">
        <v>20467.4</v>
      </c>
      <c r="E38" s="5" t="n">
        <v>18635.5</v>
      </c>
      <c r="F38" s="5" t="n">
        <v>14711.3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2999</v>
      </c>
      <c r="D42" s="5" t="n">
        <v>2900</v>
      </c>
      <c r="E42" s="5" t="n">
        <v>2302.9</v>
      </c>
      <c r="F42" s="5" t="n">
        <v>2315.9</v>
      </c>
    </row>
    <row r="43">
      <c r="A43" s="4" t="inlineStr">
        <is>
          <t>Capital Expenditure</t>
        </is>
      </c>
      <c r="C43" s="5" t="n">
        <v>-489.4</v>
      </c>
      <c r="D43" s="5" t="n">
        <v>-574.9</v>
      </c>
      <c r="E43" s="5" t="n">
        <v>-359.1</v>
      </c>
      <c r="F43" s="5" t="n">
        <v>-465.1</v>
      </c>
    </row>
    <row r="44">
      <c r="A44" s="2" t="inlineStr">
        <is>
          <t>Free Cash Flow</t>
        </is>
      </c>
      <c r="C44" s="5" t="n">
        <v>2509.6</v>
      </c>
      <c r="D44" s="5" t="n">
        <v>2325.1</v>
      </c>
      <c r="E44" s="5" t="n">
        <v>1943.8</v>
      </c>
      <c r="F44" s="5" t="n">
        <v>1850.8</v>
      </c>
    </row>
    <row r="46">
      <c r="A46" s="4" t="inlineStr">
        <is>
          <t>D&amp;A</t>
        </is>
      </c>
      <c r="C46" s="5" t="n">
        <v>3027.6</v>
      </c>
      <c r="D46" s="5" t="n">
        <v>2740.5</v>
      </c>
      <c r="E46" s="5" t="n">
        <v>2893.2</v>
      </c>
      <c r="F46" s="5" t="n">
        <v>2798.3</v>
      </c>
    </row>
    <row r="47">
      <c r="A47" s="4" t="inlineStr">
        <is>
          <t>Stock-Based Compensation</t>
        </is>
      </c>
      <c r="C47" s="5" t="n">
        <v>116.4</v>
      </c>
      <c r="D47" s="5" t="n">
        <v>180.7</v>
      </c>
      <c r="E47" s="5" t="n">
        <v>146.1</v>
      </c>
      <c r="F47" s="5" t="n">
        <v>177.7</v>
      </c>
    </row>
    <row r="48">
      <c r="A48" s="4" t="inlineStr">
        <is>
          <t>Change in Working Capital</t>
        </is>
      </c>
      <c r="C48" s="5" t="n">
        <v>-922.6</v>
      </c>
      <c r="D48" s="5" t="n">
        <v>-711.3</v>
      </c>
      <c r="E48" s="5" t="n">
        <v>-318.6</v>
      </c>
      <c r="F48" s="5" t="n">
        <v>-686.4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Viatris Inc. (VTRS)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Drug Manufacturers - Specialty &amp; Generic</t>
        </is>
      </c>
      <c r="C8" s="5" t="n">
        <v>16262.7</v>
      </c>
      <c r="D8" s="5" t="n">
        <v>15426.9</v>
      </c>
      <c r="E8" s="5" t="n">
        <v>14739.3</v>
      </c>
      <c r="F8" s="5" t="n">
        <v>14299.9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9765.700000000001</v>
      </c>
      <c r="D16" s="5" t="n">
        <v>8988.299999999999</v>
      </c>
      <c r="E16" s="5" t="n">
        <v>9115.700000000001</v>
      </c>
      <c r="F16" s="5" t="n">
        <v>9286.4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4179.1</v>
      </c>
      <c r="D20" s="5" t="n">
        <v>4070</v>
      </c>
      <c r="E20" s="5" t="n">
        <v>4104.6</v>
      </c>
      <c r="F20" s="5" t="n">
        <v>3794.1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662.2</v>
      </c>
      <c r="D21" s="5" t="n">
        <v>805.2</v>
      </c>
      <c r="E21" s="5" t="n">
        <v>808.7</v>
      </c>
      <c r="F21" s="5" t="n">
        <v>965.9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3027.6</v>
      </c>
      <c r="D22" s="5" t="n">
        <v>2740.5</v>
      </c>
      <c r="E22" s="5" t="n">
        <v>2893.2</v>
      </c>
      <c r="F22" s="5" t="n">
        <v>2798.3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592.4</v>
      </c>
      <c r="D29" s="5" t="n">
        <v>573.1</v>
      </c>
      <c r="E29" s="5" t="n">
        <v>550</v>
      </c>
      <c r="F29" s="5" t="n">
        <v>471.3</v>
      </c>
      <c r="G29" s="5" t="n">
        <v>471.3</v>
      </c>
      <c r="H29" s="5" t="n">
        <v>471.3</v>
      </c>
      <c r="I29" s="5" t="n">
        <v>471.3</v>
      </c>
      <c r="J29" s="5" t="n">
        <v>471.3</v>
      </c>
      <c r="K29" s="5" t="n">
        <v>471.3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734.6</v>
      </c>
      <c r="D31" s="5" t="n">
        <v>148.2</v>
      </c>
      <c r="E31" s="5" t="n">
        <v>11</v>
      </c>
      <c r="F31" s="5" t="n">
        <v>-150.1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-922.6</v>
      </c>
      <c r="D39" s="5" t="n">
        <v>-711.3</v>
      </c>
      <c r="E39" s="5" t="n">
        <v>-318.6</v>
      </c>
      <c r="F39" s="5" t="n">
        <v>-686.4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-489.4</v>
      </c>
      <c r="D42" s="5" t="n">
        <v>-574.9</v>
      </c>
      <c r="E42" s="5" t="n">
        <v>-359.1</v>
      </c>
      <c r="F42" s="5" t="n">
        <v>-465.1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Viatris Inc. (VTRS)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16.92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-13375.6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1164.552654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C33/16.92-1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0.06</v>
      </c>
      <c r="C39" s="22">
        <f>(G$12/(1+$A$39)^1+H$12/(1+$A$39)^2+I$12/(1+$A$39)^3+J$12/(1+$A$39)^4+K$12/(1+$A$39)^5+K$8*4/(1+$A$39)^5+$C$29)/$C$32</f>
        <v/>
      </c>
      <c r="D39" s="22">
        <f>(G$12/(1+$A$39)^1+H$12/(1+$A$39)^2+I$12/(1+$A$39)^3+J$12/(1+$A$39)^4+K$12/(1+$A$39)^5+K$8*6/(1+$A$39)^5+$C$29)/$C$32</f>
        <v/>
      </c>
      <c r="E39" s="22">
        <f>(G$12/(1+$A$39)^1+H$12/(1+$A$39)^2+I$12/(1+$A$39)^3+J$12/(1+$A$39)^4+K$12/(1+$A$39)^5+K$8*8/(1+$A$39)^5+$C$29)/$C$32</f>
        <v/>
      </c>
      <c r="F39" s="22">
        <f>(G$12/(1+$A$39)^1+H$12/(1+$A$39)^2+I$12/(1+$A$39)^3+J$12/(1+$A$39)^4+K$12/(1+$A$39)^5+K$8*10/(1+$A$39)^5+$C$29)/$C$32</f>
        <v/>
      </c>
      <c r="G39" s="22">
        <f>(G$12/(1+$A$39)^1+H$12/(1+$A$39)^2+I$12/(1+$A$39)^3+J$12/(1+$A$39)^4+K$12/(1+$A$39)^5+K$8*12/(1+$A$39)^5+$C$29)/$C$32</f>
        <v/>
      </c>
    </row>
    <row r="40">
      <c r="A40" s="21" t="n">
        <v>0.06999999999999999</v>
      </c>
      <c r="C40" s="22">
        <f>(G$12/(1+$A$40)^1+H$12/(1+$A$40)^2+I$12/(1+$A$40)^3+J$12/(1+$A$40)^4+K$12/(1+$A$40)^5+K$8*4/(1+$A$40)^5+$C$29)/$C$32</f>
        <v/>
      </c>
      <c r="D40" s="22">
        <f>(G$12/(1+$A$40)^1+H$12/(1+$A$40)^2+I$12/(1+$A$40)^3+J$12/(1+$A$40)^4+K$12/(1+$A$40)^5+K$8*6/(1+$A$40)^5+$C$29)/$C$32</f>
        <v/>
      </c>
      <c r="E40" s="22">
        <f>(G$12/(1+$A$40)^1+H$12/(1+$A$40)^2+I$12/(1+$A$40)^3+J$12/(1+$A$40)^4+K$12/(1+$A$40)^5+K$8*8/(1+$A$40)^5+$C$29)/$C$32</f>
        <v/>
      </c>
      <c r="F40" s="22">
        <f>(G$12/(1+$A$40)^1+H$12/(1+$A$40)^2+I$12/(1+$A$40)^3+J$12/(1+$A$40)^4+K$12/(1+$A$40)^5+K$8*10/(1+$A$40)^5+$C$29)/$C$32</f>
        <v/>
      </c>
      <c r="G40" s="22">
        <f>(G$12/(1+$A$40)^1+H$12/(1+$A$40)^2+I$12/(1+$A$40)^3+J$12/(1+$A$40)^4+K$12/(1+$A$40)^5+K$8*12/(1+$A$40)^5+$C$29)/$C$32</f>
        <v/>
      </c>
    </row>
    <row r="41">
      <c r="A41" s="21" t="n">
        <v>0.08</v>
      </c>
      <c r="C41" s="22">
        <f>(G$12/(1+$A$41)^1+H$12/(1+$A$41)^2+I$12/(1+$A$41)^3+J$12/(1+$A$41)^4+K$12/(1+$A$41)^5+K$8*4/(1+$A$41)^5+$C$29)/$C$32</f>
        <v/>
      </c>
      <c r="D41" s="22">
        <f>(G$12/(1+$A$41)^1+H$12/(1+$A$41)^2+I$12/(1+$A$41)^3+J$12/(1+$A$41)^4+K$12/(1+$A$41)^5+K$8*6/(1+$A$41)^5+$C$29)/$C$32</f>
        <v/>
      </c>
      <c r="E41" s="22">
        <f>(G$12/(1+$A$41)^1+H$12/(1+$A$41)^2+I$12/(1+$A$41)^3+J$12/(1+$A$41)^4+K$12/(1+$A$41)^5+K$8*8/(1+$A$41)^5+$C$29)/$C$32</f>
        <v/>
      </c>
      <c r="F41" s="22">
        <f>(G$12/(1+$A$41)^1+H$12/(1+$A$41)^2+I$12/(1+$A$41)^3+J$12/(1+$A$41)^4+K$12/(1+$A$41)^5+K$8*10/(1+$A$41)^5+$C$29)/$C$32</f>
        <v/>
      </c>
      <c r="G41" s="22">
        <f>(G$12/(1+$A$41)^1+H$12/(1+$A$41)^2+I$12/(1+$A$41)^3+J$12/(1+$A$41)^4+K$12/(1+$A$41)^5+K$8*12/(1+$A$41)^5+$C$29)/$C$32</f>
        <v/>
      </c>
    </row>
    <row r="42">
      <c r="A42" s="21" t="n">
        <v>0.09</v>
      </c>
      <c r="C42" s="22">
        <f>(G$12/(1+$A$42)^1+H$12/(1+$A$42)^2+I$12/(1+$A$42)^3+J$12/(1+$A$42)^4+K$12/(1+$A$42)^5+K$8*4/(1+$A$42)^5+$C$29)/$C$32</f>
        <v/>
      </c>
      <c r="D42" s="22">
        <f>(G$12/(1+$A$42)^1+H$12/(1+$A$42)^2+I$12/(1+$A$42)^3+J$12/(1+$A$42)^4+K$12/(1+$A$42)^5+K$8*6/(1+$A$42)^5+$C$29)/$C$32</f>
        <v/>
      </c>
      <c r="E42" s="23">
        <f>(G$12/(1+$A$42)^1+H$12/(1+$A$42)^2+I$12/(1+$A$42)^3+J$12/(1+$A$42)^4+K$12/(1+$A$42)^5+K$8*8/(1+$A$42)^5+$C$29)/$C$32</f>
        <v/>
      </c>
      <c r="F42" s="22">
        <f>(G$12/(1+$A$42)^1+H$12/(1+$A$42)^2+I$12/(1+$A$42)^3+J$12/(1+$A$42)^4+K$12/(1+$A$42)^5+K$8*10/(1+$A$42)^5+$C$29)/$C$32</f>
        <v/>
      </c>
      <c r="G42" s="22">
        <f>(G$12/(1+$A$42)^1+H$12/(1+$A$42)^2+I$12/(1+$A$42)^3+J$12/(1+$A$42)^4+K$12/(1+$A$42)^5+K$8*12/(1+$A$42)^5+$C$29)/$C$32</f>
        <v/>
      </c>
    </row>
    <row r="43">
      <c r="A43" s="21" t="n">
        <v>0.09999999999999999</v>
      </c>
      <c r="C43" s="22">
        <f>(G$12/(1+$A$43)^1+H$12/(1+$A$43)^2+I$12/(1+$A$43)^3+J$12/(1+$A$43)^4+K$12/(1+$A$43)^5+K$8*4/(1+$A$43)^5+$C$29)/$C$32</f>
        <v/>
      </c>
      <c r="D43" s="22">
        <f>(G$12/(1+$A$43)^1+H$12/(1+$A$43)^2+I$12/(1+$A$43)^3+J$12/(1+$A$43)^4+K$12/(1+$A$43)^5+K$8*6/(1+$A$43)^5+$C$29)/$C$32</f>
        <v/>
      </c>
      <c r="E43" s="22">
        <f>(G$12/(1+$A$43)^1+H$12/(1+$A$43)^2+I$12/(1+$A$43)^3+J$12/(1+$A$43)^4+K$12/(1+$A$43)^5+K$8*8/(1+$A$43)^5+$C$29)/$C$32</f>
        <v/>
      </c>
      <c r="F43" s="22">
        <f>(G$12/(1+$A$43)^1+H$12/(1+$A$43)^2+I$12/(1+$A$43)^3+J$12/(1+$A$43)^4+K$12/(1+$A$43)^5+K$8*10/(1+$A$43)^5+$C$29)/$C$32</f>
        <v/>
      </c>
      <c r="G43" s="22">
        <f>(G$12/(1+$A$43)^1+H$12/(1+$A$43)^2+I$12/(1+$A$43)^3+J$12/(1+$A$43)^4+K$12/(1+$A$43)^5+K$8*12/(1+$A$43)^5+$C$29)/$C$32</f>
        <v/>
      </c>
    </row>
    <row r="44">
      <c r="A44" s="21" t="n">
        <v>0.11</v>
      </c>
      <c r="C44" s="22">
        <f>(G$12/(1+$A$44)^1+H$12/(1+$A$44)^2+I$12/(1+$A$44)^3+J$12/(1+$A$44)^4+K$12/(1+$A$44)^5+K$8*4/(1+$A$44)^5+$C$29)/$C$32</f>
        <v/>
      </c>
      <c r="D44" s="22">
        <f>(G$12/(1+$A$44)^1+H$12/(1+$A$44)^2+I$12/(1+$A$44)^3+J$12/(1+$A$44)^4+K$12/(1+$A$44)^5+K$8*6/(1+$A$44)^5+$C$29)/$C$32</f>
        <v/>
      </c>
      <c r="E44" s="22">
        <f>(G$12/(1+$A$44)^1+H$12/(1+$A$44)^2+I$12/(1+$A$44)^3+J$12/(1+$A$44)^4+K$12/(1+$A$44)^5+K$8*8/(1+$A$44)^5+$C$29)/$C$32</f>
        <v/>
      </c>
      <c r="F44" s="22">
        <f>(G$12/(1+$A$44)^1+H$12/(1+$A$44)^2+I$12/(1+$A$44)^3+J$12/(1+$A$44)^4+K$12/(1+$A$44)^5+K$8*10/(1+$A$44)^5+$C$29)/$C$32</f>
        <v/>
      </c>
      <c r="G44" s="22">
        <f>(G$12/(1+$A$44)^1+H$12/(1+$A$44)^2+I$12/(1+$A$44)^3+J$12/(1+$A$44)^4+K$12/(1+$A$44)^5+K$8*12/(1+$A$44)^5+$C$29)/$C$32</f>
        <v/>
      </c>
    </row>
    <row r="45">
      <c r="A45" s="21" t="n">
        <v>0.12</v>
      </c>
      <c r="C45" s="22">
        <f>(G$12/(1+$A$45)^1+H$12/(1+$A$45)^2+I$12/(1+$A$45)^3+J$12/(1+$A$45)^4+K$12/(1+$A$45)^5+K$8*4/(1+$A$45)^5+$C$29)/$C$32</f>
        <v/>
      </c>
      <c r="D45" s="22">
        <f>(G$12/(1+$A$45)^1+H$12/(1+$A$45)^2+I$12/(1+$A$45)^3+J$12/(1+$A$45)^4+K$12/(1+$A$45)^5+K$8*6/(1+$A$45)^5+$C$29)/$C$32</f>
        <v/>
      </c>
      <c r="E45" s="22">
        <f>(G$12/(1+$A$45)^1+H$12/(1+$A$45)^2+I$12/(1+$A$45)^3+J$12/(1+$A$45)^4+K$12/(1+$A$45)^5+K$8*8/(1+$A$45)^5+$C$29)/$C$32</f>
        <v/>
      </c>
      <c r="F45" s="22">
        <f>(G$12/(1+$A$45)^1+H$12/(1+$A$45)^2+I$12/(1+$A$45)^3+J$12/(1+$A$45)^4+K$12/(1+$A$45)^5+K$8*10/(1+$A$45)^5+$C$29)/$C$32</f>
        <v/>
      </c>
      <c r="G45" s="22">
        <f>(G$12/(1+$A$45)^1+H$12/(1+$A$45)^2+I$12/(1+$A$45)^3+J$12/(1+$A$45)^4+K$12/(1+$A$45)^5+K$8*12/(1+$A$45)^5+$C$29)/$C$32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2026-05-12T11:49:04Z</dcterms:created>
  <dcterms:modified xmlns:dcterms="http://purl.org/dc/terms/" xmlns:xsi="http://www.w3.org/2001/XMLSchema-instance" xsi:type="dcterms:W3CDTF">2026-05-12T11:49:04Z</dcterms:modified>
</cp:coreProperties>
</file>