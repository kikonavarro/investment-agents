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5" fontId="3" fillId="3" borderId="0" pivotButton="0" quotePrefix="0" xfId="0"/>
    <xf numFmtId="167" fontId="7" fillId="0" borderId="0" pivotButton="0" quotePrefix="0" xfId="0"/>
    <xf numFmtId="164" fontId="8" fillId="0" borderId="0" pivotButton="0" quotePrefix="0" xfId="0"/>
    <xf numFmtId="164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None (ITX) - Assumptions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6">
      <c r="A6" s="1" t="inlineStr">
        <is>
          <t>Principal</t>
        </is>
      </c>
      <c r="B6" s="1" t="n"/>
      <c r="C6" s="1" t="n"/>
      <c r="D6" s="1" t="n"/>
      <c r="E6" s="1" t="n"/>
      <c r="F6" s="1" t="n"/>
      <c r="G6" s="1" t="n"/>
    </row>
    <row r="7">
      <c r="A7" s="2" t="inlineStr">
        <is>
          <t xml:space="preserve">  Revenue ($M)</t>
        </is>
      </c>
    </row>
    <row r="8">
      <c r="A8" s="4" t="inlineStr">
        <is>
          <t xml:space="preserve">  Revenue Growth - Base</t>
        </is>
      </c>
      <c r="C8" s="5" t="n">
        <v>0.05</v>
      </c>
      <c r="D8" s="5" t="n">
        <v>0.04500000000000001</v>
      </c>
      <c r="E8" s="5" t="n">
        <v>0.04000000000000001</v>
      </c>
      <c r="F8" s="5" t="n">
        <v>0.035</v>
      </c>
      <c r="G8" s="5" t="n">
        <v>0.03</v>
      </c>
    </row>
    <row r="9">
      <c r="A9" s="4" t="inlineStr">
        <is>
          <t xml:space="preserve">  Revenue Growth - Bull</t>
        </is>
      </c>
      <c r="C9" s="5" t="n">
        <v>0.08</v>
      </c>
      <c r="D9" s="5" t="n">
        <v>0.07200000000000001</v>
      </c>
      <c r="E9" s="5" t="n">
        <v>0.064</v>
      </c>
      <c r="F9" s="5" t="n">
        <v>0.05599999999999999</v>
      </c>
      <c r="G9" s="5" t="n">
        <v>0.048</v>
      </c>
    </row>
    <row r="10">
      <c r="A10" s="4" t="inlineStr">
        <is>
          <t xml:space="preserve">  Revenue Growth - Bear</t>
        </is>
      </c>
      <c r="C10" s="5" t="n">
        <v>0.02</v>
      </c>
      <c r="D10" s="5" t="n">
        <v>0.01800000000000001</v>
      </c>
      <c r="E10" s="5" t="n">
        <v>0.016</v>
      </c>
      <c r="F10" s="5" t="n">
        <v>0.014</v>
      </c>
      <c r="G10" s="5" t="n">
        <v>0.012</v>
      </c>
    </row>
    <row r="11">
      <c r="A11" s="2" t="inlineStr">
        <is>
          <t xml:space="preserve">  Revenue Growth (Selected)</t>
        </is>
      </c>
      <c r="C11" s="6">
        <f>OFFSET(C8,$G$2-1,0)</f>
        <v/>
      </c>
      <c r="D11" s="6">
        <f>OFFSET(D8,$G$2-1,0)</f>
        <v/>
      </c>
      <c r="E11" s="6">
        <f>OFFSET(E8,$G$2-1,0)</f>
        <v/>
      </c>
      <c r="F11" s="6">
        <f>OFFSET(F8,$G$2-1,0)</f>
        <v/>
      </c>
      <c r="G11" s="6">
        <f>OFFSET(G8,$G$2-1,0)</f>
        <v/>
      </c>
    </row>
    <row r="12">
      <c r="A12" s="2" t="inlineStr">
        <is>
          <t xml:space="preserve">  Revenue Projected ($M)</t>
        </is>
      </c>
      <c r="C12" s="7">
        <f>B7*(1+C11)</f>
        <v/>
      </c>
      <c r="D12" s="7">
        <f>C12*(1+D11)</f>
        <v/>
      </c>
      <c r="E12" s="7">
        <f>D12*(1+E11)</f>
        <v/>
      </c>
      <c r="F12" s="7">
        <f>E12*(1+F11)</f>
        <v/>
      </c>
      <c r="G12" s="7">
        <f>F12*(1+G11)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Gross Margin - Base</t>
        </is>
      </c>
      <c r="C15" s="5" t="n">
        <v>0.4</v>
      </c>
      <c r="D15" s="5" t="n">
        <v>0.4</v>
      </c>
      <c r="E15" s="5" t="n">
        <v>0.4</v>
      </c>
      <c r="F15" s="5" t="n">
        <v>0.4</v>
      </c>
      <c r="G15" s="5" t="n">
        <v>0.4</v>
      </c>
    </row>
    <row r="16">
      <c r="A16" s="4" t="inlineStr">
        <is>
          <t>Gross Margin - Bull</t>
        </is>
      </c>
      <c r="C16" s="5" t="n">
        <v>0.42</v>
      </c>
      <c r="D16" s="5" t="n">
        <v>0.42</v>
      </c>
      <c r="E16" s="5" t="n">
        <v>0.42</v>
      </c>
      <c r="F16" s="5" t="n">
        <v>0.42</v>
      </c>
      <c r="G16" s="5" t="n">
        <v>0.42</v>
      </c>
    </row>
    <row r="17">
      <c r="A17" s="4" t="inlineStr">
        <is>
          <t>Gross Margin - Bear</t>
        </is>
      </c>
      <c r="C17" s="5" t="n">
        <v>0.38</v>
      </c>
      <c r="D17" s="5" t="n">
        <v>0.38</v>
      </c>
      <c r="E17" s="5" t="n">
        <v>0.38</v>
      </c>
      <c r="F17" s="5" t="n">
        <v>0.38</v>
      </c>
      <c r="G17" s="5" t="n">
        <v>0.38</v>
      </c>
    </row>
    <row r="18">
      <c r="A18" s="2" t="inlineStr">
        <is>
          <t>Gross Margin (Selected)</t>
        </is>
      </c>
      <c r="C18" s="6">
        <f>OFFSET(C15,$G$2-1,0)</f>
        <v/>
      </c>
      <c r="D18" s="6">
        <f>OFFSET(D15,$G$2-1,0)</f>
        <v/>
      </c>
      <c r="E18" s="6">
        <f>OFFSET(E15,$G$2-1,0)</f>
        <v/>
      </c>
      <c r="F18" s="6">
        <f>OFFSET(F15,$G$2-1,0)</f>
        <v/>
      </c>
      <c r="G18" s="6">
        <f>OFFSET(G15,$G$2-1,0)</f>
        <v/>
      </c>
    </row>
    <row r="20">
      <c r="A20" s="4" t="inlineStr">
        <is>
          <t>SG&amp;A % Revenue - Base</t>
        </is>
      </c>
      <c r="C20" s="5" t="n">
        <v>0.15</v>
      </c>
      <c r="D20" s="5" t="n">
        <v>0.15</v>
      </c>
      <c r="E20" s="5" t="n">
        <v>0.15</v>
      </c>
      <c r="F20" s="5" t="n">
        <v>0.15</v>
      </c>
      <c r="G20" s="5" t="n">
        <v>0.15</v>
      </c>
    </row>
    <row r="21">
      <c r="A21" s="4" t="inlineStr">
        <is>
          <t>SG&amp;A % Revenue - Bull</t>
        </is>
      </c>
      <c r="C21" s="5" t="n">
        <v>0.14</v>
      </c>
      <c r="D21" s="5" t="n">
        <v>0.14</v>
      </c>
      <c r="E21" s="5" t="n">
        <v>0.14</v>
      </c>
      <c r="F21" s="5" t="n">
        <v>0.14</v>
      </c>
      <c r="G21" s="5" t="n">
        <v>0.14</v>
      </c>
    </row>
    <row r="22">
      <c r="A22" s="4" t="inlineStr">
        <is>
          <t>SG&amp;A % Revenue - Bear</t>
        </is>
      </c>
      <c r="C22" s="5" t="n">
        <v>0.16</v>
      </c>
      <c r="D22" s="5" t="n">
        <v>0.16</v>
      </c>
      <c r="E22" s="5" t="n">
        <v>0.16</v>
      </c>
      <c r="F22" s="5" t="n">
        <v>0.16</v>
      </c>
      <c r="G22" s="5" t="n">
        <v>0.16</v>
      </c>
    </row>
    <row r="23">
      <c r="A23" s="2" t="inlineStr">
        <is>
          <t>SG&amp;A % Revenue (Selected)</t>
        </is>
      </c>
      <c r="C23" s="6">
        <f>OFFSET(C20,$G$2-1,0)</f>
        <v/>
      </c>
      <c r="D23" s="6">
        <f>OFFSET(D20,$G$2-1,0)</f>
        <v/>
      </c>
      <c r="E23" s="6">
        <f>OFFSET(E20,$G$2-1,0)</f>
        <v/>
      </c>
      <c r="F23" s="6">
        <f>OFFSET(F20,$G$2-1,0)</f>
        <v/>
      </c>
      <c r="G23" s="6">
        <f>OFFSET(G20,$G$2-1,0)</f>
        <v/>
      </c>
    </row>
    <row r="25">
      <c r="A25" s="4" t="inlineStr">
        <is>
          <t>R&amp;D % Revenue - Base</t>
        </is>
      </c>
      <c r="C25" s="5" t="n">
        <v>0.05</v>
      </c>
      <c r="D25" s="5" t="n">
        <v>0.05</v>
      </c>
      <c r="E25" s="5" t="n">
        <v>0.05</v>
      </c>
      <c r="F25" s="5" t="n">
        <v>0.05</v>
      </c>
      <c r="G25" s="5" t="n">
        <v>0.05</v>
      </c>
    </row>
    <row r="26">
      <c r="A26" s="4" t="inlineStr">
        <is>
          <t>R&amp;D % Revenue - Bull</t>
        </is>
      </c>
      <c r="C26" s="5" t="n">
        <v>0.05</v>
      </c>
      <c r="D26" s="5" t="n">
        <v>0.05</v>
      </c>
      <c r="E26" s="5" t="n">
        <v>0.05</v>
      </c>
      <c r="F26" s="5" t="n">
        <v>0.05</v>
      </c>
      <c r="G26" s="5" t="n">
        <v>0.05</v>
      </c>
    </row>
    <row r="27">
      <c r="A27" s="4" t="inlineStr">
        <is>
          <t>R&amp;D % Revenue - Bear</t>
        </is>
      </c>
      <c r="C27" s="5" t="n">
        <v>0.055</v>
      </c>
      <c r="D27" s="5" t="n">
        <v>0.055</v>
      </c>
      <c r="E27" s="5" t="n">
        <v>0.055</v>
      </c>
      <c r="F27" s="5" t="n">
        <v>0.055</v>
      </c>
      <c r="G27" s="5" t="n">
        <v>0.055</v>
      </c>
    </row>
    <row r="28">
      <c r="A28" s="2" t="inlineStr">
        <is>
          <t>R&amp;D % Revenue (Selected)</t>
        </is>
      </c>
      <c r="C28" s="6">
        <f>OFFSET(C25,$G$2-1,0)</f>
        <v/>
      </c>
      <c r="D28" s="6">
        <f>OFFSET(D25,$G$2-1,0)</f>
        <v/>
      </c>
      <c r="E28" s="6">
        <f>OFFSET(E25,$G$2-1,0)</f>
        <v/>
      </c>
      <c r="F28" s="6">
        <f>OFFSET(F25,$G$2-1,0)</f>
        <v/>
      </c>
      <c r="G28" s="6">
        <f>OFFSET(G25,$G$2-1,0)</f>
        <v/>
      </c>
    </row>
    <row r="30">
      <c r="A30" s="4" t="inlineStr">
        <is>
          <t>D&amp;A % Revenue</t>
        </is>
      </c>
      <c r="C30" s="5" t="n">
        <v>0.03</v>
      </c>
      <c r="D30" s="5" t="n">
        <v>0.03</v>
      </c>
      <c r="E30" s="5" t="n">
        <v>0.03</v>
      </c>
      <c r="F30" s="5" t="n">
        <v>0.03</v>
      </c>
      <c r="G30" s="5" t="n">
        <v>0.03</v>
      </c>
    </row>
    <row r="31">
      <c r="A31" s="4" t="inlineStr">
        <is>
          <t>CapEx % Revenue</t>
        </is>
      </c>
      <c r="C31" s="5" t="n">
        <v>0.04</v>
      </c>
      <c r="D31" s="5" t="n">
        <v>0.04</v>
      </c>
      <c r="E31" s="5" t="n">
        <v>0.04</v>
      </c>
      <c r="F31" s="5" t="n">
        <v>0.04</v>
      </c>
      <c r="G31" s="5" t="n">
        <v>0.04</v>
      </c>
    </row>
    <row r="32">
      <c r="A32" s="4" t="inlineStr">
        <is>
          <t>Tax Rate</t>
        </is>
      </c>
      <c r="C32" s="5" t="n">
        <v>0.21</v>
      </c>
      <c r="D32" s="5" t="n">
        <v>0.21</v>
      </c>
      <c r="E32" s="5" t="n">
        <v>0.21</v>
      </c>
      <c r="F32" s="5" t="n">
        <v>0.21</v>
      </c>
      <c r="G32" s="5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</row>
    <row r="35">
      <c r="A35" s="4" t="inlineStr">
        <is>
          <t>WACC - Base</t>
        </is>
      </c>
      <c r="C35" s="5" t="n">
        <v>0.08790000000000001</v>
      </c>
    </row>
    <row r="36">
      <c r="A36" s="4" t="inlineStr">
        <is>
          <t>WACC - Bull</t>
        </is>
      </c>
      <c r="C36" s="5" t="n">
        <v>0.07790000000000001</v>
      </c>
    </row>
    <row r="37">
      <c r="A37" s="4" t="inlineStr">
        <is>
          <t>WACC - Bear</t>
        </is>
      </c>
      <c r="C37" s="5" t="n">
        <v>0.1079</v>
      </c>
    </row>
    <row r="38">
      <c r="A38" s="2" t="inlineStr">
        <is>
          <t>WACC (Selected)</t>
        </is>
      </c>
      <c r="C38" s="6">
        <f>OFFSET(C35,$G$2-1,0)</f>
        <v/>
      </c>
    </row>
    <row r="40">
      <c r="A40" s="4" t="inlineStr">
        <is>
          <t>Terminal Value Multiple - Base</t>
        </is>
      </c>
      <c r="C40" s="8" t="n">
        <v>12</v>
      </c>
    </row>
    <row r="41">
      <c r="A41" s="4" t="inlineStr">
        <is>
          <t>Terminal Value Multiple - Bull</t>
        </is>
      </c>
      <c r="C41" s="8" t="n">
        <v>14</v>
      </c>
    </row>
    <row r="42">
      <c r="A42" s="4" t="inlineStr">
        <is>
          <t>Terminal Value Multiple - Bear</t>
        </is>
      </c>
      <c r="C42" s="8" t="n">
        <v>9</v>
      </c>
    </row>
    <row r="43">
      <c r="A43" s="2" t="inlineStr">
        <is>
          <t>Terminal Value Multiple (Selected)</t>
        </is>
      </c>
      <c r="C43" s="9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None (ITX)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</row>
    <row r="7">
      <c r="A7" s="4" t="inlineStr">
        <is>
          <t>Cost of Revenue</t>
        </is>
      </c>
    </row>
    <row r="8">
      <c r="A8" s="2" t="inlineStr">
        <is>
          <t>Gross Profit</t>
        </is>
      </c>
    </row>
    <row r="9">
      <c r="A9" s="4" t="inlineStr">
        <is>
          <t xml:space="preserve">  Gross Margin</t>
        </is>
      </c>
    </row>
    <row r="11">
      <c r="A11" s="4" t="inlineStr">
        <is>
          <t>R&amp;D Expense</t>
        </is>
      </c>
    </row>
    <row r="12">
      <c r="A12" s="4" t="inlineStr">
        <is>
          <t>SG&amp;A Expense</t>
        </is>
      </c>
    </row>
    <row r="13">
      <c r="A13" s="2" t="inlineStr">
        <is>
          <t>Operating Income (EBIT)</t>
        </is>
      </c>
    </row>
    <row r="14">
      <c r="A14" s="4" t="inlineStr">
        <is>
          <t xml:space="preserve">  EBIT Margin</t>
        </is>
      </c>
    </row>
    <row r="16">
      <c r="A16" s="4" t="inlineStr">
        <is>
          <t>Interest Expense</t>
        </is>
      </c>
    </row>
    <row r="17">
      <c r="A17" s="4" t="inlineStr">
        <is>
          <t>Tax Provision</t>
        </is>
      </c>
    </row>
    <row r="18">
      <c r="A18" s="2" t="inlineStr">
        <is>
          <t>Net Income</t>
        </is>
      </c>
    </row>
    <row r="19">
      <c r="A19" s="4" t="inlineStr">
        <is>
          <t xml:space="preserve">  Net Margin</t>
        </is>
      </c>
    </row>
    <row r="21">
      <c r="A21" s="2" t="inlineStr">
        <is>
          <t>EBITDA</t>
        </is>
      </c>
    </row>
    <row r="22">
      <c r="A22" s="4" t="inlineStr">
        <is>
          <t xml:space="preserve">  EBITDA Margin</t>
        </is>
      </c>
    </row>
    <row r="23">
      <c r="A23" s="4" t="inlineStr">
        <is>
          <t>Diluted EPS</t>
        </is>
      </c>
    </row>
    <row r="24">
      <c r="A24" s="4" t="inlineStr">
        <is>
          <t>D&amp;A</t>
        </is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</row>
    <row r="29">
      <c r="A29" s="4" t="inlineStr">
        <is>
          <t>Current Assets</t>
        </is>
      </c>
    </row>
    <row r="30">
      <c r="A30" s="4" t="inlineStr">
        <is>
          <t>Net PP&amp;E</t>
        </is>
      </c>
    </row>
    <row r="31">
      <c r="A31" s="4" t="inlineStr">
        <is>
          <t>Goodwill</t>
        </is>
      </c>
    </row>
    <row r="32">
      <c r="A32" s="2" t="inlineStr">
        <is>
          <t>Total Assets</t>
        </is>
      </c>
    </row>
    <row r="34">
      <c r="A34" s="4" t="inlineStr">
        <is>
          <t>Current Liabilities</t>
        </is>
      </c>
    </row>
    <row r="35">
      <c r="A35" s="4" t="inlineStr">
        <is>
          <t>Total Debt</t>
        </is>
      </c>
    </row>
    <row r="36">
      <c r="A36" s="2" t="inlineStr">
        <is>
          <t>Total Liabilities</t>
        </is>
      </c>
    </row>
    <row r="38">
      <c r="A38" s="2" t="inlineStr">
        <is>
          <t>Total Equity</t>
        </is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</row>
    <row r="43">
      <c r="A43" s="4" t="inlineStr">
        <is>
          <t>Capital Expenditure</t>
        </is>
      </c>
    </row>
    <row r="44">
      <c r="A44" s="2" t="inlineStr">
        <is>
          <t>Free Cash Flow</t>
        </is>
      </c>
    </row>
    <row r="46">
      <c r="A46" s="4" t="inlineStr">
        <is>
          <t>D&amp;A</t>
        </is>
      </c>
    </row>
    <row r="47">
      <c r="A47" s="4" t="inlineStr">
        <is>
          <t>Stock-Based Compensation</t>
        </is>
      </c>
    </row>
    <row r="48">
      <c r="A48" s="4" t="inlineStr">
        <is>
          <t>Change in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None (ITX) - Financial Model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</row>
    <row r="4">
      <c r="A4" s="4" t="inlineStr">
        <is>
          <t>($M)</t>
        </is>
      </c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5">
      <c r="C5" s="11" t="inlineStr">
        <is>
          <t>Proj.</t>
        </is>
      </c>
      <c r="D5" s="11" t="inlineStr">
        <is>
          <t>Proj.</t>
        </is>
      </c>
      <c r="E5" s="11" t="inlineStr">
        <is>
          <t>Proj.</t>
        </is>
      </c>
      <c r="F5" s="11" t="inlineStr">
        <is>
          <t>Proj.</t>
        </is>
      </c>
      <c r="G5" s="11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</row>
    <row r="8">
      <c r="A8" s="2" t="inlineStr">
        <is>
          <t xml:space="preserve">  Principal</t>
        </is>
      </c>
      <c r="C8" s="7">
        <f>Assumptions!C12</f>
        <v/>
      </c>
      <c r="D8" s="7">
        <f>Assumptions!D12</f>
        <v/>
      </c>
      <c r="E8" s="7">
        <f>Assumptions!E12</f>
        <v/>
      </c>
      <c r="F8" s="7">
        <f>Assumptions!F12</f>
        <v/>
      </c>
      <c r="G8" s="7">
        <f>Assumptions!G12</f>
        <v/>
      </c>
    </row>
    <row r="9">
      <c r="A9" s="4" t="inlineStr">
        <is>
          <t xml:space="preserve">    YoY Growth</t>
        </is>
      </c>
      <c r="D9" s="6">
        <f>IFERROR(D8/C8-1,"-")</f>
        <v/>
      </c>
      <c r="E9" s="6">
        <f>IFERROR(E8/D8-1,"-")</f>
        <v/>
      </c>
      <c r="F9" s="6">
        <f>IFERROR(F8/E8-1,"-")</f>
        <v/>
      </c>
      <c r="G9" s="6">
        <f>IFERROR(G8/F8-1,"-")</f>
        <v/>
      </c>
    </row>
    <row r="11">
      <c r="A11" s="2" t="inlineStr">
        <is>
          <t>Total Revenue</t>
        </is>
      </c>
      <c r="C11" s="7">
        <f>C8</f>
        <v/>
      </c>
      <c r="D11" s="7">
        <f>D8</f>
        <v/>
      </c>
      <c r="E11" s="7">
        <f>E8</f>
        <v/>
      </c>
      <c r="F11" s="7">
        <f>F8</f>
        <v/>
      </c>
      <c r="G11" s="7">
        <f>G8</f>
        <v/>
      </c>
    </row>
    <row r="12">
      <c r="A12" s="4" t="inlineStr">
        <is>
          <t xml:space="preserve">  Revenue Growth %</t>
        </is>
      </c>
      <c r="D12" s="6">
        <f>IFERROR(D11/C11-1,"-")</f>
        <v/>
      </c>
      <c r="E12" s="6">
        <f>IFERROR(E11/D11-1,"-")</f>
        <v/>
      </c>
      <c r="F12" s="6">
        <f>IFERROR(F11/E11-1,"-")</f>
        <v/>
      </c>
      <c r="G12" s="6">
        <f>IFERROR(G11/F11-1,"-")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</row>
    <row r="15">
      <c r="A15" s="2" t="inlineStr">
        <is>
          <t>Revenue</t>
        </is>
      </c>
      <c r="C15" s="7">
        <f>C11</f>
        <v/>
      </c>
      <c r="D15" s="7">
        <f>D11</f>
        <v/>
      </c>
      <c r="E15" s="7">
        <f>E11</f>
        <v/>
      </c>
      <c r="F15" s="7">
        <f>F11</f>
        <v/>
      </c>
      <c r="G15" s="7">
        <f>G11</f>
        <v/>
      </c>
    </row>
    <row r="16">
      <c r="A16" s="4" t="inlineStr">
        <is>
          <t>Cost of Goods Sold (COGS)</t>
        </is>
      </c>
      <c r="C16" s="7">
        <f>-C15*(1-Assumptions!C18)</f>
        <v/>
      </c>
      <c r="D16" s="7">
        <f>-D15*(1-Assumptions!D18)</f>
        <v/>
      </c>
      <c r="E16" s="7">
        <f>-E15*(1-Assumptions!E18)</f>
        <v/>
      </c>
      <c r="F16" s="7">
        <f>-F15*(1-Assumptions!F18)</f>
        <v/>
      </c>
      <c r="G16" s="7">
        <f>-G15*(1-Assumptions!G18)</f>
        <v/>
      </c>
    </row>
    <row r="17">
      <c r="A17" s="2" t="inlineStr">
        <is>
          <t>Gross Profit</t>
        </is>
      </c>
      <c r="C17" s="7">
        <f>C15+C16</f>
        <v/>
      </c>
      <c r="D17" s="7">
        <f>D15+D16</f>
        <v/>
      </c>
      <c r="E17" s="7">
        <f>E15+E16</f>
        <v/>
      </c>
      <c r="F17" s="7">
        <f>F15+F16</f>
        <v/>
      </c>
      <c r="G17" s="7">
        <f>G15+G16</f>
        <v/>
      </c>
    </row>
    <row r="18">
      <c r="A18" s="4" t="inlineStr">
        <is>
          <t xml:space="preserve">  Gross Margin %</t>
        </is>
      </c>
      <c r="C18" s="6">
        <f>IFERROR(C17/C15,"-")</f>
        <v/>
      </c>
      <c r="D18" s="6">
        <f>IFERROR(D17/D15,"-")</f>
        <v/>
      </c>
      <c r="E18" s="6">
        <f>IFERROR(E17/E15,"-")</f>
        <v/>
      </c>
      <c r="F18" s="6">
        <f>IFERROR(F17/F15,"-")</f>
        <v/>
      </c>
      <c r="G18" s="6">
        <f>IFERROR(G17/G15,"-")</f>
        <v/>
      </c>
    </row>
    <row r="20">
      <c r="A20" s="4" t="inlineStr">
        <is>
          <t>SG&amp;A Expense</t>
        </is>
      </c>
      <c r="C20" s="7">
        <f>-C15*Assumptions!C24</f>
        <v/>
      </c>
      <c r="D20" s="7">
        <f>-D15*Assumptions!D24</f>
        <v/>
      </c>
      <c r="E20" s="7">
        <f>-E15*Assumptions!E24</f>
        <v/>
      </c>
      <c r="F20" s="7">
        <f>-F15*Assumptions!F24</f>
        <v/>
      </c>
      <c r="G20" s="7">
        <f>-G15*Assumptions!G24</f>
        <v/>
      </c>
    </row>
    <row r="21">
      <c r="A21" s="4" t="inlineStr">
        <is>
          <t>R&amp;D Expense</t>
        </is>
      </c>
      <c r="C21" s="7">
        <f>-C15*Assumptions!C30</f>
        <v/>
      </c>
      <c r="D21" s="7">
        <f>-D15*Assumptions!D30</f>
        <v/>
      </c>
      <c r="E21" s="7">
        <f>-E15*Assumptions!E30</f>
        <v/>
      </c>
      <c r="F21" s="7">
        <f>-F15*Assumptions!F30</f>
        <v/>
      </c>
      <c r="G21" s="7">
        <f>-G15*Assumptions!G30</f>
        <v/>
      </c>
    </row>
    <row r="22">
      <c r="A22" s="4" t="inlineStr">
        <is>
          <t>Depreciation &amp; Amortization</t>
        </is>
      </c>
      <c r="C22" s="7">
        <f>-C15*Assumptions!C32</f>
        <v/>
      </c>
      <c r="D22" s="7">
        <f>-D15*Assumptions!D32</f>
        <v/>
      </c>
      <c r="E22" s="7">
        <f>-E15*Assumptions!E32</f>
        <v/>
      </c>
      <c r="F22" s="7">
        <f>-F15*Assumptions!F32</f>
        <v/>
      </c>
      <c r="G22" s="7">
        <f>-G15*Assumptions!G32</f>
        <v/>
      </c>
    </row>
    <row r="24">
      <c r="A24" s="2" t="inlineStr">
        <is>
          <t>EBITDA</t>
        </is>
      </c>
      <c r="C24" s="7">
        <f>C17+C20+C21</f>
        <v/>
      </c>
      <c r="D24" s="7">
        <f>D17+D20+D21</f>
        <v/>
      </c>
      <c r="E24" s="7">
        <f>E17+E20+E21</f>
        <v/>
      </c>
      <c r="F24" s="7">
        <f>F17+F20+F21</f>
        <v/>
      </c>
      <c r="G24" s="7">
        <f>G17+G20+G21</f>
        <v/>
      </c>
    </row>
    <row r="25">
      <c r="A25" s="4" t="inlineStr">
        <is>
          <t xml:space="preserve">  EBITDA Margin %</t>
        </is>
      </c>
      <c r="C25" s="6">
        <f>IFERROR(C24/C15,"-")</f>
        <v/>
      </c>
      <c r="D25" s="6">
        <f>IFERROR(D24/D15,"-")</f>
        <v/>
      </c>
      <c r="E25" s="6">
        <f>IFERROR(E24/E15,"-")</f>
        <v/>
      </c>
      <c r="F25" s="6">
        <f>IFERROR(F24/F15,"-")</f>
        <v/>
      </c>
      <c r="G25" s="6">
        <f>IFERROR(G24/G15,"-")</f>
        <v/>
      </c>
    </row>
    <row r="26">
      <c r="A26" s="2" t="inlineStr">
        <is>
          <t>EBIT</t>
        </is>
      </c>
      <c r="C26" s="7">
        <f>C24+C22</f>
        <v/>
      </c>
      <c r="D26" s="7">
        <f>D24+D22</f>
        <v/>
      </c>
      <c r="E26" s="7">
        <f>E24+E22</f>
        <v/>
      </c>
      <c r="F26" s="7">
        <f>F24+F22</f>
        <v/>
      </c>
      <c r="G26" s="7">
        <f>G24+G22</f>
        <v/>
      </c>
    </row>
    <row r="27">
      <c r="A27" s="4" t="inlineStr">
        <is>
          <t xml:space="preserve">  EBIT Margin %</t>
        </is>
      </c>
      <c r="C27" s="6">
        <f>IFERROR(C26/C15,"-")</f>
        <v/>
      </c>
      <c r="D27" s="6">
        <f>IFERROR(D26/D15,"-")</f>
        <v/>
      </c>
      <c r="E27" s="6">
        <f>IFERROR(E26/E15,"-")</f>
        <v/>
      </c>
      <c r="F27" s="6">
        <f>IFERROR(F26/F15,"-")</f>
        <v/>
      </c>
      <c r="G27" s="6">
        <f>IFERROR(G26/G15,"-")</f>
        <v/>
      </c>
    </row>
    <row r="29">
      <c r="A29" s="4" t="inlineStr">
        <is>
          <t>Interest Expense</t>
        </is>
      </c>
    </row>
    <row r="30">
      <c r="A30" s="2" t="inlineStr">
        <is>
          <t>Earnings Before Tax (EBT)</t>
        </is>
      </c>
      <c r="C30" s="7">
        <f>C26+C29</f>
        <v/>
      </c>
      <c r="D30" s="7">
        <f>D26+D29</f>
        <v/>
      </c>
      <c r="E30" s="7">
        <f>E26+E29</f>
        <v/>
      </c>
      <c r="F30" s="7">
        <f>F26+F29</f>
        <v/>
      </c>
      <c r="G30" s="7">
        <f>G26+G29</f>
        <v/>
      </c>
    </row>
    <row r="31">
      <c r="A31" s="4" t="inlineStr">
        <is>
          <t>Taxes</t>
        </is>
      </c>
      <c r="C31" s="7">
        <f>-ABS(C30)*Assumptions!C34</f>
        <v/>
      </c>
      <c r="D31" s="7">
        <f>-ABS(D30)*Assumptions!D34</f>
        <v/>
      </c>
      <c r="E31" s="7">
        <f>-ABS(E30)*Assumptions!E34</f>
        <v/>
      </c>
      <c r="F31" s="7">
        <f>-ABS(F30)*Assumptions!F34</f>
        <v/>
      </c>
      <c r="G31" s="7">
        <f>-ABS(G30)*Assumptions!G34</f>
        <v/>
      </c>
    </row>
    <row r="32">
      <c r="A32" s="2" t="inlineStr">
        <is>
          <t>Net Income</t>
        </is>
      </c>
      <c r="C32" s="7">
        <f>C30+C31</f>
        <v/>
      </c>
      <c r="D32" s="7">
        <f>D30+D31</f>
        <v/>
      </c>
      <c r="E32" s="7">
        <f>E30+E31</f>
        <v/>
      </c>
      <c r="F32" s="7">
        <f>F30+F31</f>
        <v/>
      </c>
      <c r="G32" s="7">
        <f>G30+G31</f>
        <v/>
      </c>
    </row>
    <row r="33">
      <c r="A33" s="4" t="inlineStr">
        <is>
          <t xml:space="preserve">  Net Margin %</t>
        </is>
      </c>
      <c r="C33" s="6">
        <f>IFERROR(C32/C15,"-")</f>
        <v/>
      </c>
      <c r="D33" s="6">
        <f>IFERROR(D32/D15,"-")</f>
        <v/>
      </c>
      <c r="E33" s="6">
        <f>IFERROR(E32/E15,"-")</f>
        <v/>
      </c>
      <c r="F33" s="6">
        <f>IFERROR(F32/F15,"-")</f>
        <v/>
      </c>
      <c r="G33" s="6">
        <f>IFERROR(G32/G15,"-")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</row>
    <row r="37">
      <c r="A37" s="2" t="inlineStr">
        <is>
          <t>EBITDA</t>
        </is>
      </c>
      <c r="C37" s="7">
        <f>C24</f>
        <v/>
      </c>
      <c r="D37" s="7">
        <f>D24</f>
        <v/>
      </c>
      <c r="E37" s="7">
        <f>E24</f>
        <v/>
      </c>
      <c r="F37" s="7">
        <f>F24</f>
        <v/>
      </c>
      <c r="G37" s="7">
        <f>G24</f>
        <v/>
      </c>
    </row>
    <row r="38">
      <c r="A38" s="4" t="inlineStr">
        <is>
          <t>(-) Taxes</t>
        </is>
      </c>
      <c r="C38" s="7">
        <f>C31</f>
        <v/>
      </c>
      <c r="D38" s="7">
        <f>D31</f>
        <v/>
      </c>
      <c r="E38" s="7">
        <f>E31</f>
        <v/>
      </c>
      <c r="F38" s="7">
        <f>F31</f>
        <v/>
      </c>
      <c r="G38" s="7">
        <f>G31</f>
        <v/>
      </c>
    </row>
    <row r="39">
      <c r="A39" s="4" t="inlineStr">
        <is>
          <t>(+/-) Change in Working Capital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</row>
    <row r="40">
      <c r="A40" s="2" t="inlineStr">
        <is>
          <t>Operating Cash Flow</t>
        </is>
      </c>
      <c r="C40" s="7">
        <f>C37+C38+C39</f>
        <v/>
      </c>
      <c r="D40" s="7">
        <f>D37+D38+D39</f>
        <v/>
      </c>
      <c r="E40" s="7">
        <f>E37+E38+E39</f>
        <v/>
      </c>
      <c r="F40" s="7">
        <f>F37+F38+F39</f>
        <v/>
      </c>
      <c r="G40" s="7">
        <f>G37+G38+G39</f>
        <v/>
      </c>
    </row>
    <row r="42">
      <c r="A42" s="4" t="inlineStr">
        <is>
          <t>(-) Capital Expenditure</t>
        </is>
      </c>
      <c r="C42" s="7">
        <f>-ABS(C15)*Assumptions!C33</f>
        <v/>
      </c>
      <c r="D42" s="7">
        <f>-ABS(D15)*Assumptions!D33</f>
        <v/>
      </c>
      <c r="E42" s="7">
        <f>-ABS(E15)*Assumptions!E33</f>
        <v/>
      </c>
      <c r="F42" s="7">
        <f>-ABS(F15)*Assumptions!F33</f>
        <v/>
      </c>
      <c r="G42" s="7">
        <f>-ABS(G15)*Assumptions!G33</f>
        <v/>
      </c>
    </row>
    <row r="43">
      <c r="A43" s="2" t="inlineStr">
        <is>
          <t>Unlevered Free Cash Flow (UFCF)</t>
        </is>
      </c>
      <c r="C43" s="7">
        <f>C40+C42</f>
        <v/>
      </c>
      <c r="D43" s="7">
        <f>D40+D42</f>
        <v/>
      </c>
      <c r="E43" s="7">
        <f>E40+E42</f>
        <v/>
      </c>
      <c r="F43" s="7">
        <f>F40+F42</f>
        <v/>
      </c>
      <c r="G43" s="7">
        <f>G40+G42</f>
        <v/>
      </c>
    </row>
    <row r="200">
      <c r="A200" s="13" t="inlineStr">
        <is>
          <t>__REF_EBITDA_ROW</t>
        </is>
      </c>
      <c r="B200" t="n">
        <v>24</v>
      </c>
    </row>
    <row r="201">
      <c r="A201" s="13" t="inlineStr">
        <is>
          <t>__REF_TAXES_ROW</t>
        </is>
      </c>
      <c r="B201" t="n">
        <v>31</v>
      </c>
    </row>
    <row r="202">
      <c r="A202" s="13" t="inlineStr">
        <is>
          <t>__REF_CAPEX_ROW</t>
        </is>
      </c>
      <c r="B202" t="n">
        <v>42</v>
      </c>
    </row>
    <row r="203">
      <c r="A203" s="13" t="inlineStr">
        <is>
          <t>__REF_UFCF_ROW</t>
        </is>
      </c>
      <c r="B203" t="n">
        <v>43</v>
      </c>
    </row>
    <row r="204">
      <c r="A204" s="13" t="inlineStr">
        <is>
          <t>__REF_WC_ROW</t>
        </is>
      </c>
      <c r="B204" t="n">
        <v>39</v>
      </c>
    </row>
    <row r="205">
      <c r="A205" s="13" t="inlineStr">
        <is>
          <t>__REF_NI_ROW</t>
        </is>
      </c>
      <c r="B205" t="n">
        <v>32</v>
      </c>
    </row>
    <row r="206">
      <c r="A206" s="13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None (ITX) - DCF Valuation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  <c r="E2" s="2" t="inlineStr">
        <is>
          <t>Current Price:</t>
        </is>
      </c>
      <c r="F2" s="14" t="n">
        <v>0</v>
      </c>
    </row>
    <row r="4">
      <c r="A4" s="4" t="inlineStr">
        <is>
          <t>Year</t>
        </is>
      </c>
      <c r="C4" s="1" t="n">
        <v>2025</v>
      </c>
      <c r="D4" s="1" t="n">
        <v>2026</v>
      </c>
      <c r="E4" s="1" t="n">
        <v>2027</v>
      </c>
      <c r="F4" s="1" t="n">
        <v>2028</v>
      </c>
      <c r="G4" s="1" t="n">
        <v>2029</v>
      </c>
    </row>
    <row r="5">
      <c r="A5" s="4" t="inlineStr">
        <is>
          <t>Year #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</row>
    <row r="8">
      <c r="A8" s="4" t="inlineStr">
        <is>
          <t>EBITDA ($M)</t>
        </is>
      </c>
      <c r="C8" s="7">
        <f>INDIRECT("Model!"&amp;"C"&amp;Model!B200)</f>
        <v/>
      </c>
      <c r="D8" s="7">
        <f>INDIRECT("Model!"&amp;"D"&amp;Model!B200)</f>
        <v/>
      </c>
      <c r="E8" s="7">
        <f>INDIRECT("Model!"&amp;"E"&amp;Model!B200)</f>
        <v/>
      </c>
      <c r="F8" s="7">
        <f>INDIRECT("Model!"&amp;"F"&amp;Model!B200)</f>
        <v/>
      </c>
      <c r="G8" s="7">
        <f>INDIRECT("Model!"&amp;"G"&amp;Model!B200)</f>
        <v/>
      </c>
    </row>
    <row r="9">
      <c r="A9" s="4" t="inlineStr">
        <is>
          <t>(-) Taxes ($M)</t>
        </is>
      </c>
      <c r="C9" s="7">
        <f>INDIRECT("Model!"&amp;"C"&amp;Model!B201)</f>
        <v/>
      </c>
      <c r="D9" s="7">
        <f>INDIRECT("Model!"&amp;"D"&amp;Model!B201)</f>
        <v/>
      </c>
      <c r="E9" s="7">
        <f>INDIRECT("Model!"&amp;"E"&amp;Model!B201)</f>
        <v/>
      </c>
      <c r="F9" s="7">
        <f>INDIRECT("Model!"&amp;"F"&amp;Model!B201)</f>
        <v/>
      </c>
      <c r="G9" s="7">
        <f>INDIRECT("Model!"&amp;"G"&amp;Model!B201)</f>
        <v/>
      </c>
    </row>
    <row r="10">
      <c r="A10" s="4" t="inlineStr">
        <is>
          <t>(+/-) Change in WC ($M)</t>
        </is>
      </c>
      <c r="C10" s="7">
        <f>INDIRECT("Model!"&amp;"C"&amp;Model!B204)</f>
        <v/>
      </c>
      <c r="D10" s="7">
        <f>INDIRECT("Model!"&amp;"D"&amp;Model!B204)</f>
        <v/>
      </c>
      <c r="E10" s="7">
        <f>INDIRECT("Model!"&amp;"E"&amp;Model!B204)</f>
        <v/>
      </c>
      <c r="F10" s="7">
        <f>INDIRECT("Model!"&amp;"F"&amp;Model!B204)</f>
        <v/>
      </c>
      <c r="G10" s="7">
        <f>INDIRECT("Model!"&amp;"G"&amp;Model!B204)</f>
        <v/>
      </c>
    </row>
    <row r="11">
      <c r="A11" s="4" t="inlineStr">
        <is>
          <t>(-) CapEx ($M)</t>
        </is>
      </c>
      <c r="C11" s="7">
        <f>INDIRECT("Model!"&amp;"C"&amp;Model!B202)</f>
        <v/>
      </c>
      <c r="D11" s="7">
        <f>INDIRECT("Model!"&amp;"D"&amp;Model!B202)</f>
        <v/>
      </c>
      <c r="E11" s="7">
        <f>INDIRECT("Model!"&amp;"E"&amp;Model!B202)</f>
        <v/>
      </c>
      <c r="F11" s="7">
        <f>INDIRECT("Model!"&amp;"F"&amp;Model!B202)</f>
        <v/>
      </c>
      <c r="G11" s="7">
        <f>INDIRECT("Model!"&amp;"G"&amp;Model!B202)</f>
        <v/>
      </c>
    </row>
    <row r="12">
      <c r="A12" s="2" t="inlineStr">
        <is>
          <t>Unlevered Free Cash Flow ($M)</t>
        </is>
      </c>
      <c r="C12" s="7">
        <f>C8+C9+C10+C11</f>
        <v/>
      </c>
      <c r="D12" s="7">
        <f>D8+D9+D10+D11</f>
        <v/>
      </c>
      <c r="E12" s="7">
        <f>E8+E9+E10+E11</f>
        <v/>
      </c>
      <c r="F12" s="7">
        <f>F8+F9+F10+F11</f>
        <v/>
      </c>
      <c r="G12" s="7">
        <f>G8+G9+G10+G11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WACC</t>
        </is>
      </c>
      <c r="C15" s="6">
        <f>Assumptions!C42</f>
        <v/>
      </c>
    </row>
    <row r="16">
      <c r="A16" s="4" t="inlineStr">
        <is>
          <t>Terminal Value Multiple</t>
        </is>
      </c>
      <c r="C16" s="9">
        <f>Assumptions!C48</f>
        <v/>
      </c>
    </row>
    <row r="18">
      <c r="A18" s="4" t="inlineStr">
        <is>
          <t>Discount Factor</t>
        </is>
      </c>
      <c r="C18" s="15">
        <f>1/(1+$C$15)^1</f>
        <v/>
      </c>
      <c r="D18" s="15">
        <f>1/(1+$C$15)^2</f>
        <v/>
      </c>
      <c r="E18" s="15">
        <f>1/(1+$C$15)^3</f>
        <v/>
      </c>
      <c r="F18" s="15">
        <f>1/(1+$C$15)^4</f>
        <v/>
      </c>
      <c r="G18" s="15">
        <f>1/(1+$C$15)^5</f>
        <v/>
      </c>
    </row>
    <row r="19">
      <c r="A19" s="4" t="inlineStr">
        <is>
          <t>PV of UFCF ($M)</t>
        </is>
      </c>
      <c r="C19" s="7">
        <f>C12*C18</f>
        <v/>
      </c>
      <c r="D19" s="7">
        <f>D12*D18</f>
        <v/>
      </c>
      <c r="E19" s="7">
        <f>E12*E18</f>
        <v/>
      </c>
      <c r="F19" s="7">
        <f>F12*F18</f>
        <v/>
      </c>
      <c r="G19" s="7">
        <f>G12*G18</f>
        <v/>
      </c>
    </row>
    <row r="21">
      <c r="A21" s="2" t="inlineStr">
        <is>
          <t>Terminal Value ($M)</t>
        </is>
      </c>
      <c r="G21" s="7">
        <f>G12*$C$16</f>
        <v/>
      </c>
    </row>
    <row r="22">
      <c r="A22" s="4" t="inlineStr">
        <is>
          <t>PV of Terminal Value ($M)</t>
        </is>
      </c>
      <c r="G22" s="7">
        <f>G21*G18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</row>
    <row r="25">
      <c r="A25" s="4" t="inlineStr">
        <is>
          <t>Sum of PV of UFCF ($M)</t>
        </is>
      </c>
      <c r="C25" s="7">
        <f>SUM(C19:G19)</f>
        <v/>
      </c>
    </row>
    <row r="26">
      <c r="A26" s="4" t="inlineStr">
        <is>
          <t>PV of Terminal Value ($M)</t>
        </is>
      </c>
      <c r="C26" s="7">
        <f>G22</f>
        <v/>
      </c>
    </row>
    <row r="27">
      <c r="A27" s="2" t="inlineStr">
        <is>
          <t>Enterprise Value ($M)</t>
        </is>
      </c>
      <c r="C27" s="7">
        <f>C25+C26</f>
        <v/>
      </c>
    </row>
    <row r="29">
      <c r="A29" s="4" t="inlineStr">
        <is>
          <t>(-) Net Debt ($M)</t>
        </is>
      </c>
      <c r="C29" s="16" t="n">
        <v>0</v>
      </c>
    </row>
    <row r="30">
      <c r="A30" s="2" t="inlineStr">
        <is>
          <t>Equity Value ($M)</t>
        </is>
      </c>
      <c r="C30" s="7">
        <f>C27+C29</f>
        <v/>
      </c>
    </row>
    <row r="32">
      <c r="A32" s="4" t="inlineStr">
        <is>
          <t>Shares Outstanding (M)</t>
        </is>
      </c>
      <c r="C32" s="16" t="n">
        <v>0</v>
      </c>
    </row>
    <row r="33">
      <c r="A33" s="2" t="inlineStr">
        <is>
          <t>Equity Value per Share ($)</t>
        </is>
      </c>
      <c r="C33" s="17">
        <f>C30/C32</f>
        <v/>
      </c>
    </row>
    <row r="34">
      <c r="A34" s="2" t="inlineStr">
        <is>
          <t>Upside / Downside vs Current</t>
        </is>
      </c>
      <c r="C34" s="18">
        <f>C33/0-1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19" t="n">
        <v>0.05790000000000001</v>
      </c>
      <c r="C39" s="20">
        <f>(C$12/(1+$A$39)^1+D$12/(1+$A$39)^2+E$12/(1+$A$39)^3+F$12/(1+$A$39)^4+G$12/(1+$A$39)^5+G$12*8/(1+$A$39)^5+$C$29)/$C$32</f>
        <v/>
      </c>
      <c r="D39" s="20">
        <f>(C$12/(1+$A$39)^1+D$12/(1+$A$39)^2+E$12/(1+$A$39)^3+F$12/(1+$A$39)^4+G$12/(1+$A$39)^5+G$12*10/(1+$A$39)^5+$C$29)/$C$32</f>
        <v/>
      </c>
      <c r="E39" s="20">
        <f>(C$12/(1+$A$39)^1+D$12/(1+$A$39)^2+E$12/(1+$A$39)^3+F$12/(1+$A$39)^4+G$12/(1+$A$39)^5+G$12*12/(1+$A$39)^5+$C$29)/$C$32</f>
        <v/>
      </c>
      <c r="F39" s="20">
        <f>(C$12/(1+$A$39)^1+D$12/(1+$A$39)^2+E$12/(1+$A$39)^3+F$12/(1+$A$39)^4+G$12/(1+$A$39)^5+G$12*14/(1+$A$39)^5+$C$29)/$C$32</f>
        <v/>
      </c>
      <c r="G39" s="20">
        <f>(C$12/(1+$A$39)^1+D$12/(1+$A$39)^2+E$12/(1+$A$39)^3+F$12/(1+$A$39)^4+G$12/(1+$A$39)^5+G$12*16/(1+$A$39)^5+$C$29)/$C$32</f>
        <v/>
      </c>
    </row>
    <row r="40">
      <c r="A40" s="19" t="n">
        <v>0.0679</v>
      </c>
      <c r="C40" s="20">
        <f>(C$12/(1+$A$40)^1+D$12/(1+$A$40)^2+E$12/(1+$A$40)^3+F$12/(1+$A$40)^4+G$12/(1+$A$40)^5+G$12*8/(1+$A$40)^5+$C$29)/$C$32</f>
        <v/>
      </c>
      <c r="D40" s="20">
        <f>(C$12/(1+$A$40)^1+D$12/(1+$A$40)^2+E$12/(1+$A$40)^3+F$12/(1+$A$40)^4+G$12/(1+$A$40)^5+G$12*10/(1+$A$40)^5+$C$29)/$C$32</f>
        <v/>
      </c>
      <c r="E40" s="20">
        <f>(C$12/(1+$A$40)^1+D$12/(1+$A$40)^2+E$12/(1+$A$40)^3+F$12/(1+$A$40)^4+G$12/(1+$A$40)^5+G$12*12/(1+$A$40)^5+$C$29)/$C$32</f>
        <v/>
      </c>
      <c r="F40" s="20">
        <f>(C$12/(1+$A$40)^1+D$12/(1+$A$40)^2+E$12/(1+$A$40)^3+F$12/(1+$A$40)^4+G$12/(1+$A$40)^5+G$12*14/(1+$A$40)^5+$C$29)/$C$32</f>
        <v/>
      </c>
      <c r="G40" s="20">
        <f>(C$12/(1+$A$40)^1+D$12/(1+$A$40)^2+E$12/(1+$A$40)^3+F$12/(1+$A$40)^4+G$12/(1+$A$40)^5+G$12*16/(1+$A$40)^5+$C$29)/$C$32</f>
        <v/>
      </c>
    </row>
    <row r="41">
      <c r="A41" s="19" t="n">
        <v>0.07790000000000001</v>
      </c>
      <c r="C41" s="20">
        <f>(C$12/(1+$A$41)^1+D$12/(1+$A$41)^2+E$12/(1+$A$41)^3+F$12/(1+$A$41)^4+G$12/(1+$A$41)^5+G$12*8/(1+$A$41)^5+$C$29)/$C$32</f>
        <v/>
      </c>
      <c r="D41" s="20">
        <f>(C$12/(1+$A$41)^1+D$12/(1+$A$41)^2+E$12/(1+$A$41)^3+F$12/(1+$A$41)^4+G$12/(1+$A$41)^5+G$12*10/(1+$A$41)^5+$C$29)/$C$32</f>
        <v/>
      </c>
      <c r="E41" s="20">
        <f>(C$12/(1+$A$41)^1+D$12/(1+$A$41)^2+E$12/(1+$A$41)^3+F$12/(1+$A$41)^4+G$12/(1+$A$41)^5+G$12*12/(1+$A$41)^5+$C$29)/$C$32</f>
        <v/>
      </c>
      <c r="F41" s="20">
        <f>(C$12/(1+$A$41)^1+D$12/(1+$A$41)^2+E$12/(1+$A$41)^3+F$12/(1+$A$41)^4+G$12/(1+$A$41)^5+G$12*14/(1+$A$41)^5+$C$29)/$C$32</f>
        <v/>
      </c>
      <c r="G41" s="20">
        <f>(C$12/(1+$A$41)^1+D$12/(1+$A$41)^2+E$12/(1+$A$41)^3+F$12/(1+$A$41)^4+G$12/(1+$A$41)^5+G$12*16/(1+$A$41)^5+$C$29)/$C$32</f>
        <v/>
      </c>
    </row>
    <row r="42">
      <c r="A42" s="19" t="n">
        <v>0.08790000000000001</v>
      </c>
      <c r="C42" s="20">
        <f>(C$12/(1+$A$42)^1+D$12/(1+$A$42)^2+E$12/(1+$A$42)^3+F$12/(1+$A$42)^4+G$12/(1+$A$42)^5+G$12*8/(1+$A$42)^5+$C$29)/$C$32</f>
        <v/>
      </c>
      <c r="D42" s="20">
        <f>(C$12/(1+$A$42)^1+D$12/(1+$A$42)^2+E$12/(1+$A$42)^3+F$12/(1+$A$42)^4+G$12/(1+$A$42)^5+G$12*10/(1+$A$42)^5+$C$29)/$C$32</f>
        <v/>
      </c>
      <c r="E42" s="21">
        <f>(C$12/(1+$A$42)^1+D$12/(1+$A$42)^2+E$12/(1+$A$42)^3+F$12/(1+$A$42)^4+G$12/(1+$A$42)^5+G$12*12/(1+$A$42)^5+$C$29)/$C$32</f>
        <v/>
      </c>
      <c r="F42" s="20">
        <f>(C$12/(1+$A$42)^1+D$12/(1+$A$42)^2+E$12/(1+$A$42)^3+F$12/(1+$A$42)^4+G$12/(1+$A$42)^5+G$12*14/(1+$A$42)^5+$C$29)/$C$32</f>
        <v/>
      </c>
      <c r="G42" s="20">
        <f>(C$12/(1+$A$42)^1+D$12/(1+$A$42)^2+E$12/(1+$A$42)^3+F$12/(1+$A$42)^4+G$12/(1+$A$42)^5+G$12*16/(1+$A$42)^5+$C$29)/$C$32</f>
        <v/>
      </c>
    </row>
    <row r="43">
      <c r="A43" s="19" t="n">
        <v>0.0979</v>
      </c>
      <c r="C43" s="20">
        <f>(C$12/(1+$A$43)^1+D$12/(1+$A$43)^2+E$12/(1+$A$43)^3+F$12/(1+$A$43)^4+G$12/(1+$A$43)^5+G$12*8/(1+$A$43)^5+$C$29)/$C$32</f>
        <v/>
      </c>
      <c r="D43" s="20">
        <f>(C$12/(1+$A$43)^1+D$12/(1+$A$43)^2+E$12/(1+$A$43)^3+F$12/(1+$A$43)^4+G$12/(1+$A$43)^5+G$12*10/(1+$A$43)^5+$C$29)/$C$32</f>
        <v/>
      </c>
      <c r="E43" s="20">
        <f>(C$12/(1+$A$43)^1+D$12/(1+$A$43)^2+E$12/(1+$A$43)^3+F$12/(1+$A$43)^4+G$12/(1+$A$43)^5+G$12*12/(1+$A$43)^5+$C$29)/$C$32</f>
        <v/>
      </c>
      <c r="F43" s="20">
        <f>(C$12/(1+$A$43)^1+D$12/(1+$A$43)^2+E$12/(1+$A$43)^3+F$12/(1+$A$43)^4+G$12/(1+$A$43)^5+G$12*14/(1+$A$43)^5+$C$29)/$C$32</f>
        <v/>
      </c>
      <c r="G43" s="20">
        <f>(C$12/(1+$A$43)^1+D$12/(1+$A$43)^2+E$12/(1+$A$43)^3+F$12/(1+$A$43)^4+G$12/(1+$A$43)^5+G$12*16/(1+$A$43)^5+$C$29)/$C$32</f>
        <v/>
      </c>
    </row>
    <row r="44">
      <c r="A44" s="19" t="n">
        <v>0.1079</v>
      </c>
      <c r="C44" s="20">
        <f>(C$12/(1+$A$44)^1+D$12/(1+$A$44)^2+E$12/(1+$A$44)^3+F$12/(1+$A$44)^4+G$12/(1+$A$44)^5+G$12*8/(1+$A$44)^5+$C$29)/$C$32</f>
        <v/>
      </c>
      <c r="D44" s="20">
        <f>(C$12/(1+$A$44)^1+D$12/(1+$A$44)^2+E$12/(1+$A$44)^3+F$12/(1+$A$44)^4+G$12/(1+$A$44)^5+G$12*10/(1+$A$44)^5+$C$29)/$C$32</f>
        <v/>
      </c>
      <c r="E44" s="20">
        <f>(C$12/(1+$A$44)^1+D$12/(1+$A$44)^2+E$12/(1+$A$44)^3+F$12/(1+$A$44)^4+G$12/(1+$A$44)^5+G$12*12/(1+$A$44)^5+$C$29)/$C$32</f>
        <v/>
      </c>
      <c r="F44" s="20">
        <f>(C$12/(1+$A$44)^1+D$12/(1+$A$44)^2+E$12/(1+$A$44)^3+F$12/(1+$A$44)^4+G$12/(1+$A$44)^5+G$12*14/(1+$A$44)^5+$C$29)/$C$32</f>
        <v/>
      </c>
      <c r="G44" s="20">
        <f>(C$12/(1+$A$44)^1+D$12/(1+$A$44)^2+E$12/(1+$A$44)^3+F$12/(1+$A$44)^4+G$12/(1+$A$44)^5+G$12*16/(1+$A$44)^5+$C$29)/$C$32</f>
        <v/>
      </c>
    </row>
    <row r="45">
      <c r="A45" s="19" t="n">
        <v>0.1179</v>
      </c>
      <c r="C45" s="20">
        <f>(C$12/(1+$A$45)^1+D$12/(1+$A$45)^2+E$12/(1+$A$45)^3+F$12/(1+$A$45)^4+G$12/(1+$A$45)^5+G$12*8/(1+$A$45)^5+$C$29)/$C$32</f>
        <v/>
      </c>
      <c r="D45" s="20">
        <f>(C$12/(1+$A$45)^1+D$12/(1+$A$45)^2+E$12/(1+$A$45)^3+F$12/(1+$A$45)^4+G$12/(1+$A$45)^5+G$12*10/(1+$A$45)^5+$C$29)/$C$32</f>
        <v/>
      </c>
      <c r="E45" s="20">
        <f>(C$12/(1+$A$45)^1+D$12/(1+$A$45)^2+E$12/(1+$A$45)^3+F$12/(1+$A$45)^4+G$12/(1+$A$45)^5+G$12*12/(1+$A$45)^5+$C$29)/$C$32</f>
        <v/>
      </c>
      <c r="F45" s="20">
        <f>(C$12/(1+$A$45)^1+D$12/(1+$A$45)^2+E$12/(1+$A$45)^3+F$12/(1+$A$45)^4+G$12/(1+$A$45)^5+G$12*14/(1+$A$45)^5+$C$29)/$C$32</f>
        <v/>
      </c>
      <c r="G45" s="20">
        <f>(C$12/(1+$A$45)^1+D$12/(1+$A$45)^2+E$12/(1+$A$45)^3+F$12/(1+$A$45)^4+G$12/(1+$A$45)^5+G$12*16/(1+$A$45)^5+$C$29)/$C$32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2026-03-11T22:59:38Z</dcterms:created>
  <dcterms:modified xmlns:dcterms="http://purl.org/dc/terms/" xmlns:xsi="http://www.w3.org/2001/XMLSchema-instance" xsi:type="dcterms:W3CDTF">2026-03-11T22:59:38Z</dcterms:modified>
</cp:coreProperties>
</file>