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Molson Coors Beverage Company (TAP)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Beverages - Brewers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10701</v>
      </c>
      <c r="D7" s="5" t="n">
        <v>11702.1</v>
      </c>
      <c r="E7" s="5" t="n">
        <v>11627</v>
      </c>
      <c r="F7" s="5" t="n">
        <v>11140.8</v>
      </c>
    </row>
    <row r="8">
      <c r="A8" s="4" t="inlineStr">
        <is>
          <t xml:space="preserve">  Revenue Growth - Base</t>
        </is>
      </c>
      <c r="G8" s="6" t="n">
        <v>0</v>
      </c>
      <c r="H8" s="6" t="n">
        <v>0</v>
      </c>
      <c r="I8" s="6" t="n">
        <v>0.005</v>
      </c>
      <c r="J8" s="6" t="n">
        <v>0.01</v>
      </c>
      <c r="K8" s="6" t="n">
        <v>0.01</v>
      </c>
    </row>
    <row r="9">
      <c r="A9" s="4" t="inlineStr">
        <is>
          <t xml:space="preserve">  Revenue Growth - Bull</t>
        </is>
      </c>
      <c r="G9" s="6" t="n">
        <v>0.01</v>
      </c>
      <c r="H9" s="6" t="n">
        <v>0.015</v>
      </c>
      <c r="I9" s="6" t="n">
        <v>0.02</v>
      </c>
      <c r="J9" s="6" t="n">
        <v>0.02</v>
      </c>
      <c r="K9" s="6" t="n">
        <v>0.02</v>
      </c>
    </row>
    <row r="10">
      <c r="A10" s="4" t="inlineStr">
        <is>
          <t xml:space="preserve">  Revenue Growth - Bear</t>
        </is>
      </c>
      <c r="G10" s="6" t="n">
        <v>-0.02</v>
      </c>
      <c r="H10" s="6" t="n">
        <v>-0.02</v>
      </c>
      <c r="I10" s="6" t="n">
        <v>-0.015</v>
      </c>
      <c r="J10" s="6" t="n">
        <v>-0.015</v>
      </c>
      <c r="K10" s="6" t="n">
        <v>-0.01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0.382</v>
      </c>
      <c r="H15" s="6" t="n">
        <v>0.382</v>
      </c>
      <c r="I15" s="6" t="n">
        <v>0.382</v>
      </c>
      <c r="J15" s="6" t="n">
        <v>0.382</v>
      </c>
      <c r="K15" s="6" t="n">
        <v>0.382</v>
      </c>
    </row>
    <row r="16">
      <c r="A16" s="4" t="inlineStr">
        <is>
          <t>Gross Margin - Bull</t>
        </is>
      </c>
      <c r="G16" s="6" t="n">
        <v>0.388</v>
      </c>
      <c r="H16" s="6" t="n">
        <v>0.388</v>
      </c>
      <c r="I16" s="6" t="n">
        <v>0.388</v>
      </c>
      <c r="J16" s="6" t="n">
        <v>0.388</v>
      </c>
      <c r="K16" s="6" t="n">
        <v>0.388</v>
      </c>
    </row>
    <row r="17">
      <c r="A17" s="4" t="inlineStr">
        <is>
          <t>Gross Margin - Bear</t>
        </is>
      </c>
      <c r="G17" s="6" t="n">
        <v>0.375</v>
      </c>
      <c r="H17" s="6" t="n">
        <v>0.375</v>
      </c>
      <c r="I17" s="6" t="n">
        <v>0.375</v>
      </c>
      <c r="J17" s="6" t="n">
        <v>0.375</v>
      </c>
      <c r="K17" s="6" t="n">
        <v>0.375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0.243</v>
      </c>
      <c r="H20" s="6" t="n">
        <v>0.243</v>
      </c>
      <c r="I20" s="6" t="n">
        <v>0.243</v>
      </c>
      <c r="J20" s="6" t="n">
        <v>0.243</v>
      </c>
      <c r="K20" s="6" t="n">
        <v>0.243</v>
      </c>
    </row>
    <row r="21">
      <c r="A21" s="4" t="inlineStr">
        <is>
          <t>SG&amp;A % Revenue - Bull</t>
        </is>
      </c>
      <c r="G21" s="6" t="n">
        <v>0.238</v>
      </c>
      <c r="H21" s="6" t="n">
        <v>0.238</v>
      </c>
      <c r="I21" s="6" t="n">
        <v>0.238</v>
      </c>
      <c r="J21" s="6" t="n">
        <v>0.238</v>
      </c>
      <c r="K21" s="6" t="n">
        <v>0.238</v>
      </c>
    </row>
    <row r="22">
      <c r="A22" s="4" t="inlineStr">
        <is>
          <t>SG&amp;A % Revenue - Bear</t>
        </is>
      </c>
      <c r="G22" s="6" t="n">
        <v>0.25</v>
      </c>
      <c r="H22" s="6" t="n">
        <v>0.25</v>
      </c>
      <c r="I22" s="6" t="n">
        <v>0.25</v>
      </c>
      <c r="J22" s="6" t="n">
        <v>0.25</v>
      </c>
      <c r="K22" s="6" t="n">
        <v>0.25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0.064</v>
      </c>
      <c r="H30" s="6" t="n">
        <v>0.064</v>
      </c>
      <c r="I30" s="6" t="n">
        <v>0.064</v>
      </c>
      <c r="J30" s="6" t="n">
        <v>0.064</v>
      </c>
      <c r="K30" s="6" t="n">
        <v>0.064</v>
      </c>
    </row>
    <row r="31">
      <c r="A31" s="4" t="inlineStr">
        <is>
          <t>CapEx % Revenue</t>
        </is>
      </c>
      <c r="G31" s="6" t="n">
        <v>0.062</v>
      </c>
      <c r="H31" s="6" t="n">
        <v>0.062</v>
      </c>
      <c r="I31" s="6" t="n">
        <v>0.062</v>
      </c>
      <c r="J31" s="6" t="n">
        <v>0.062</v>
      </c>
      <c r="K31" s="6" t="n">
        <v>0.062</v>
      </c>
    </row>
    <row r="32">
      <c r="A32" s="4" t="inlineStr">
        <is>
          <t>Tax Rate</t>
        </is>
      </c>
      <c r="G32" s="6" t="n">
        <v>0.21</v>
      </c>
      <c r="H32" s="6" t="n">
        <v>0.21</v>
      </c>
      <c r="I32" s="6" t="n">
        <v>0.21</v>
      </c>
      <c r="J32" s="6" t="n">
        <v>0.21</v>
      </c>
      <c r="K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</v>
      </c>
    </row>
    <row r="36">
      <c r="A36" s="4" t="inlineStr">
        <is>
          <t>WACC - Bull</t>
        </is>
      </c>
      <c r="C36" s="6" t="n">
        <v>0.08500000000000001</v>
      </c>
    </row>
    <row r="37">
      <c r="A37" s="4" t="inlineStr">
        <is>
          <t>WACC - Bear</t>
        </is>
      </c>
      <c r="C37" s="6" t="n">
        <v>0.095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8</v>
      </c>
    </row>
    <row r="41">
      <c r="A41" s="4" t="inlineStr">
        <is>
          <t>Terminal Value Multiple - Bull</t>
        </is>
      </c>
      <c r="C41" s="9" t="n">
        <v>8.5</v>
      </c>
    </row>
    <row r="42">
      <c r="A42" s="4" t="inlineStr">
        <is>
          <t>Terminal Value Multiple - Bear</t>
        </is>
      </c>
      <c r="C42" s="9" t="n">
        <v>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Molson Coors Beverage Company (TAP)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10701</v>
      </c>
      <c r="D6" s="5" t="n">
        <v>11702.1</v>
      </c>
      <c r="E6" s="5" t="n">
        <v>11627</v>
      </c>
      <c r="F6" s="5" t="n">
        <v>11140.8</v>
      </c>
    </row>
    <row r="7">
      <c r="A7" s="4" t="inlineStr">
        <is>
          <t>Cost of Revenue</t>
        </is>
      </c>
      <c r="C7" s="5" t="n">
        <v>7045.8</v>
      </c>
      <c r="D7" s="5" t="n">
        <v>7333.3</v>
      </c>
      <c r="E7" s="5" t="n">
        <v>7093.6</v>
      </c>
      <c r="F7" s="5" t="n">
        <v>6866.2</v>
      </c>
    </row>
    <row r="8">
      <c r="A8" s="2" t="inlineStr">
        <is>
          <t>Gross Profit</t>
        </is>
      </c>
      <c r="C8" s="5" t="n">
        <v>3655.2</v>
      </c>
      <c r="D8" s="5" t="n">
        <v>4368.8</v>
      </c>
      <c r="E8" s="5" t="n">
        <v>4533.4</v>
      </c>
      <c r="F8" s="5" t="n">
        <v>4274.6</v>
      </c>
    </row>
    <row r="9">
      <c r="A9" s="4" t="inlineStr">
        <is>
          <t xml:space="preserve">  Gross Margin</t>
        </is>
      </c>
      <c r="C9" s="11" t="n">
        <v>0.3415755536865713</v>
      </c>
      <c r="D9" s="11" t="n">
        <v>0.3733347006092924</v>
      </c>
      <c r="E9" s="11" t="n">
        <v>0.3899028124193687</v>
      </c>
      <c r="F9" s="11" t="n">
        <v>0.3836887835703002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2618.8</v>
      </c>
      <c r="D12" s="5" t="n">
        <v>2779.9</v>
      </c>
      <c r="E12" s="5" t="n">
        <v>2717.5</v>
      </c>
      <c r="F12" s="5" t="n">
        <v>2643.9</v>
      </c>
    </row>
    <row r="13">
      <c r="A13" s="2" t="inlineStr">
        <is>
          <t>Operating Income (EBIT)</t>
        </is>
      </c>
      <c r="C13" s="5" t="n">
        <v>1036.4</v>
      </c>
      <c r="D13" s="5" t="n">
        <v>1588.9</v>
      </c>
      <c r="E13" s="5" t="n">
        <v>1815.9</v>
      </c>
      <c r="F13" s="5" t="n">
        <v>1630.7</v>
      </c>
    </row>
    <row r="14">
      <c r="A14" s="4" t="inlineStr">
        <is>
          <t xml:space="preserve">  EBIT Margin</t>
        </is>
      </c>
      <c r="C14" s="11" t="n">
        <v>0.09685076161106439</v>
      </c>
      <c r="D14" s="11" t="n">
        <v>0.135779048205023</v>
      </c>
      <c r="E14" s="11" t="n">
        <v>0.1561795820073966</v>
      </c>
      <c r="F14" s="11" t="n">
        <v>0.1463718942984346</v>
      </c>
    </row>
    <row r="16">
      <c r="A16" s="4" t="inlineStr">
        <is>
          <t>Interest Expense</t>
        </is>
      </c>
      <c r="C16" s="5" t="n">
        <v>250.6</v>
      </c>
      <c r="D16" s="5" t="n">
        <v>234</v>
      </c>
      <c r="E16" s="5" t="n">
        <v>282.7</v>
      </c>
      <c r="F16" s="5" t="n">
        <v>247.9</v>
      </c>
    </row>
    <row r="17">
      <c r="A17" s="4" t="inlineStr">
        <is>
          <t>Tax Provision</t>
        </is>
      </c>
      <c r="C17" s="5" t="n">
        <v>124</v>
      </c>
      <c r="D17" s="5" t="n">
        <v>296.1</v>
      </c>
      <c r="E17" s="5" t="n">
        <v>345.3</v>
      </c>
      <c r="F17" s="5" t="n">
        <v>-337.8</v>
      </c>
    </row>
    <row r="18">
      <c r="A18" s="2" t="inlineStr">
        <is>
          <t>Net Income</t>
        </is>
      </c>
      <c r="C18" s="5" t="n">
        <v>-175.3</v>
      </c>
      <c r="D18" s="5" t="n">
        <v>948.9</v>
      </c>
      <c r="E18" s="5" t="n">
        <v>1122.4</v>
      </c>
      <c r="F18" s="5" t="n">
        <v>-2139.6</v>
      </c>
    </row>
    <row r="19">
      <c r="A19" s="4" t="inlineStr">
        <is>
          <t xml:space="preserve">  Net Margin</t>
        </is>
      </c>
      <c r="C19" s="11" t="n">
        <v>-0.01638164657508644</v>
      </c>
      <c r="D19" s="11" t="n">
        <v>0.08108800984438691</v>
      </c>
      <c r="E19" s="11" t="n">
        <v>0.09653392964651243</v>
      </c>
      <c r="F19" s="11" t="n">
        <v>-0.1920508401551056</v>
      </c>
    </row>
    <row r="21">
      <c r="A21" s="2" t="inlineStr">
        <is>
          <t>EBITDA</t>
        </is>
      </c>
      <c r="C21" s="5" t="n">
        <v>872.9</v>
      </c>
      <c r="D21" s="5" t="n">
        <v>2177.2</v>
      </c>
      <c r="E21" s="5" t="n">
        <v>2556.4</v>
      </c>
      <c r="F21" s="5" t="n">
        <v>-1544.4</v>
      </c>
    </row>
    <row r="22">
      <c r="A22" s="4" t="inlineStr">
        <is>
          <t xml:space="preserve">  EBITDA Margin</t>
        </is>
      </c>
      <c r="C22" s="11" t="n">
        <v>0.08157181571815718</v>
      </c>
      <c r="D22" s="11" t="n">
        <v>0.186052076123089</v>
      </c>
      <c r="E22" s="11" t="n">
        <v>0.2198675496688742</v>
      </c>
      <c r="F22" s="11" t="n">
        <v>-0.1386255924170616</v>
      </c>
    </row>
    <row r="23">
      <c r="A23" s="4" t="inlineStr">
        <is>
          <t>Diluted EPS</t>
        </is>
      </c>
      <c r="C23" s="12" t="n">
        <v>-0.8100000000000001</v>
      </c>
      <c r="D23" s="12" t="n">
        <v>4.37</v>
      </c>
      <c r="E23" s="12" t="n">
        <v>5.35</v>
      </c>
      <c r="F23" s="12" t="n">
        <v>-10.75</v>
      </c>
    </row>
    <row r="24">
      <c r="A24" s="4" t="inlineStr">
        <is>
          <t>D&amp;A</t>
        </is>
      </c>
      <c r="C24" s="5" t="n">
        <v>684.8</v>
      </c>
      <c r="D24" s="5" t="n">
        <v>690.7</v>
      </c>
      <c r="E24" s="5" t="n">
        <v>770.7</v>
      </c>
      <c r="F24" s="5" t="n">
        <v>725.7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600</v>
      </c>
      <c r="D28" s="5" t="n">
        <v>868.9</v>
      </c>
      <c r="E28" s="5" t="n">
        <v>969.3</v>
      </c>
      <c r="F28" s="5" t="n">
        <v>896.5</v>
      </c>
    </row>
    <row r="29">
      <c r="A29" s="4" t="inlineStr">
        <is>
          <t>Current Assets</t>
        </is>
      </c>
      <c r="C29" s="5" t="n">
        <v>2638</v>
      </c>
      <c r="D29" s="5" t="n">
        <v>2848.5</v>
      </c>
      <c r="E29" s="5" t="n">
        <v>2848.4</v>
      </c>
      <c r="F29" s="5" t="n">
        <v>2935.5</v>
      </c>
    </row>
    <row r="30">
      <c r="A30" s="4" t="inlineStr">
        <is>
          <t>Net PP&amp;E</t>
        </is>
      </c>
      <c r="C30" s="5" t="n">
        <v>4222.8</v>
      </c>
      <c r="D30" s="5" t="n">
        <v>4444.5</v>
      </c>
      <c r="E30" s="5" t="n">
        <v>4460.4</v>
      </c>
      <c r="F30" s="5" t="n">
        <v>4768.7</v>
      </c>
    </row>
    <row r="31">
      <c r="A31" s="4" t="inlineStr">
        <is>
          <t>Goodwill</t>
        </is>
      </c>
      <c r="C31" s="5" t="n">
        <v>5291.9</v>
      </c>
      <c r="D31" s="5" t="n">
        <v>5325.3</v>
      </c>
      <c r="E31" s="5" t="n">
        <v>5582.3</v>
      </c>
      <c r="F31" s="5" t="n">
        <v>1944.7</v>
      </c>
    </row>
    <row r="32">
      <c r="A32" s="2" t="inlineStr">
        <is>
          <t>Total Assets</t>
        </is>
      </c>
      <c r="C32" s="5" t="n">
        <v>25868.3</v>
      </c>
      <c r="D32" s="5" t="n">
        <v>26375.1</v>
      </c>
      <c r="E32" s="5" t="n">
        <v>26064.3</v>
      </c>
      <c r="F32" s="5" t="n">
        <v>22738.4</v>
      </c>
    </row>
    <row r="34">
      <c r="A34" s="4" t="inlineStr">
        <is>
          <t>Current Liabilities</t>
        </is>
      </c>
      <c r="C34" s="5" t="n">
        <v>3375.4</v>
      </c>
      <c r="D34" s="5" t="n">
        <v>4092.6</v>
      </c>
      <c r="E34" s="5" t="n">
        <v>3045.2</v>
      </c>
      <c r="F34" s="5" t="n">
        <v>5310.8</v>
      </c>
    </row>
    <row r="35">
      <c r="A35" s="4" t="inlineStr">
        <is>
          <t>Total Debt</t>
        </is>
      </c>
      <c r="C35" s="5" t="n">
        <v>6607</v>
      </c>
      <c r="D35" s="5" t="n">
        <v>6270.8</v>
      </c>
      <c r="E35" s="5" t="n">
        <v>6192.8</v>
      </c>
      <c r="F35" s="5" t="n">
        <v>6352.3</v>
      </c>
    </row>
    <row r="36">
      <c r="A36" s="2" t="inlineStr">
        <is>
          <t>Total Liabilities</t>
        </is>
      </c>
      <c r="C36" s="5" t="n">
        <v>12953.1</v>
      </c>
      <c r="D36" s="5" t="n">
        <v>12940</v>
      </c>
      <c r="E36" s="5" t="n">
        <v>12611.6</v>
      </c>
      <c r="F36" s="5" t="n">
        <v>12195.7</v>
      </c>
    </row>
    <row r="38">
      <c r="A38" s="2" t="inlineStr">
        <is>
          <t>Total Equity</t>
        </is>
      </c>
      <c r="C38" s="5" t="n">
        <v>12915.2</v>
      </c>
      <c r="D38" s="5" t="n">
        <v>13435.1</v>
      </c>
      <c r="E38" s="5" t="n">
        <v>13452.7</v>
      </c>
      <c r="F38" s="5" t="n">
        <v>10542.7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1502</v>
      </c>
      <c r="D42" s="5" t="n">
        <v>2079</v>
      </c>
      <c r="E42" s="5" t="n">
        <v>1910.3</v>
      </c>
      <c r="F42" s="5" t="n">
        <v>1784.4</v>
      </c>
    </row>
    <row r="43">
      <c r="A43" s="4" t="inlineStr">
        <is>
          <t>Capital Expenditure</t>
        </is>
      </c>
      <c r="C43" s="5" t="n">
        <v>-661.4</v>
      </c>
      <c r="D43" s="5" t="n">
        <v>-671.5</v>
      </c>
      <c r="E43" s="5" t="n">
        <v>-674.1</v>
      </c>
      <c r="F43" s="5" t="n">
        <v>-716.6</v>
      </c>
    </row>
    <row r="44">
      <c r="A44" s="2" t="inlineStr">
        <is>
          <t>Free Cash Flow</t>
        </is>
      </c>
      <c r="C44" s="5" t="n">
        <v>840.6</v>
      </c>
      <c r="D44" s="5" t="n">
        <v>1407.5</v>
      </c>
      <c r="E44" s="5" t="n">
        <v>1236.2</v>
      </c>
      <c r="F44" s="5" t="n">
        <v>1067.8</v>
      </c>
    </row>
    <row r="46">
      <c r="A46" s="4" t="inlineStr">
        <is>
          <t>D&amp;A</t>
        </is>
      </c>
      <c r="C46" s="5" t="n">
        <v>684.8</v>
      </c>
      <c r="D46" s="5" t="n">
        <v>690.7</v>
      </c>
      <c r="E46" s="5" t="n">
        <v>770.7</v>
      </c>
      <c r="F46" s="5" t="n">
        <v>725.7</v>
      </c>
    </row>
    <row r="47">
      <c r="A47" s="4" t="inlineStr">
        <is>
          <t>Stock-Based Compensation</t>
        </is>
      </c>
      <c r="C47" s="5" t="n">
        <v>33.6</v>
      </c>
      <c r="D47" s="5" t="n">
        <v>44.9</v>
      </c>
      <c r="E47" s="5" t="n">
        <v>43.1</v>
      </c>
      <c r="F47" s="5" t="n">
        <v>35</v>
      </c>
    </row>
    <row r="48">
      <c r="A48" s="4" t="inlineStr">
        <is>
          <t>Change in Working Capital</t>
        </is>
      </c>
      <c r="C48" s="5" t="n">
        <v>-183.2</v>
      </c>
      <c r="D48" s="5" t="n">
        <v>72.5</v>
      </c>
      <c r="E48" s="5" t="n">
        <v>-189.4</v>
      </c>
      <c r="F48" s="5" t="n">
        <v>-146.7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Molson Coors Beverage Company (TAP)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Beverages - Brewers</t>
        </is>
      </c>
      <c r="C8" s="5" t="n">
        <v>10701</v>
      </c>
      <c r="D8" s="5" t="n">
        <v>11702.1</v>
      </c>
      <c r="E8" s="5" t="n">
        <v>11627</v>
      </c>
      <c r="F8" s="5" t="n">
        <v>11140.8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7045.8</v>
      </c>
      <c r="D16" s="5" t="n">
        <v>7333.3</v>
      </c>
      <c r="E16" s="5" t="n">
        <v>7093.6</v>
      </c>
      <c r="F16" s="5" t="n">
        <v>6866.2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2618.8</v>
      </c>
      <c r="D20" s="5" t="n">
        <v>2779.9</v>
      </c>
      <c r="E20" s="5" t="n">
        <v>2717.5</v>
      </c>
      <c r="F20" s="5" t="n">
        <v>2643.9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684.8</v>
      </c>
      <c r="D22" s="5" t="n">
        <v>690.7</v>
      </c>
      <c r="E22" s="5" t="n">
        <v>770.7</v>
      </c>
      <c r="F22" s="5" t="n">
        <v>725.7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250.6</v>
      </c>
      <c r="D29" s="5" t="n">
        <v>234</v>
      </c>
      <c r="E29" s="5" t="n">
        <v>282.7</v>
      </c>
      <c r="F29" s="5" t="n">
        <v>247.9</v>
      </c>
      <c r="G29" s="5" t="n">
        <v>247.9</v>
      </c>
      <c r="H29" s="5" t="n">
        <v>247.9</v>
      </c>
      <c r="I29" s="5" t="n">
        <v>247.9</v>
      </c>
      <c r="J29" s="5" t="n">
        <v>247.9</v>
      </c>
      <c r="K29" s="5" t="n">
        <v>247.9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124</v>
      </c>
      <c r="D31" s="5" t="n">
        <v>296.1</v>
      </c>
      <c r="E31" s="5" t="n">
        <v>345.3</v>
      </c>
      <c r="F31" s="5" t="n">
        <v>-337.8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-183.2</v>
      </c>
      <c r="D39" s="5" t="n">
        <v>72.5</v>
      </c>
      <c r="E39" s="5" t="n">
        <v>-189.4</v>
      </c>
      <c r="F39" s="5" t="n">
        <v>-146.7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-661.4</v>
      </c>
      <c r="D42" s="5" t="n">
        <v>-671.5</v>
      </c>
      <c r="E42" s="5" t="n">
        <v>-674.1</v>
      </c>
      <c r="F42" s="5" t="n">
        <v>-716.6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Molson Coors Beverage Company (TAP)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40.995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-5455.8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175.215417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C33/40.995-1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0.06</v>
      </c>
      <c r="C39" s="22">
        <f>(G$12/(1+$A$39)^1+H$12/(1+$A$39)^2+I$12/(1+$A$39)^3+J$12/(1+$A$39)^4+K$12/(1+$A$39)^5+K$8*4.0/(1+$A$39)^5+$C$29)/$C$32</f>
        <v/>
      </c>
      <c r="D39" s="22">
        <f>(G$12/(1+$A$39)^1+H$12/(1+$A$39)^2+I$12/(1+$A$39)^3+J$12/(1+$A$39)^4+K$12/(1+$A$39)^5+K$8*6.0/(1+$A$39)^5+$C$29)/$C$32</f>
        <v/>
      </c>
      <c r="E39" s="22">
        <f>(G$12/(1+$A$39)^1+H$12/(1+$A$39)^2+I$12/(1+$A$39)^3+J$12/(1+$A$39)^4+K$12/(1+$A$39)^5+K$8*8.0/(1+$A$39)^5+$C$29)/$C$32</f>
        <v/>
      </c>
      <c r="F39" s="22">
        <f>(G$12/(1+$A$39)^1+H$12/(1+$A$39)^2+I$12/(1+$A$39)^3+J$12/(1+$A$39)^4+K$12/(1+$A$39)^5+K$8*10.0/(1+$A$39)^5+$C$29)/$C$32</f>
        <v/>
      </c>
      <c r="G39" s="22">
        <f>(G$12/(1+$A$39)^1+H$12/(1+$A$39)^2+I$12/(1+$A$39)^3+J$12/(1+$A$39)^4+K$12/(1+$A$39)^5+K$8*12.0/(1+$A$39)^5+$C$29)/$C$32</f>
        <v/>
      </c>
    </row>
    <row r="40">
      <c r="A40" s="21" t="n">
        <v>0.06999999999999999</v>
      </c>
      <c r="C40" s="22">
        <f>(G$12/(1+$A$40)^1+H$12/(1+$A$40)^2+I$12/(1+$A$40)^3+J$12/(1+$A$40)^4+K$12/(1+$A$40)^5+K$8*4.0/(1+$A$40)^5+$C$29)/$C$32</f>
        <v/>
      </c>
      <c r="D40" s="22">
        <f>(G$12/(1+$A$40)^1+H$12/(1+$A$40)^2+I$12/(1+$A$40)^3+J$12/(1+$A$40)^4+K$12/(1+$A$40)^5+K$8*6.0/(1+$A$40)^5+$C$29)/$C$32</f>
        <v/>
      </c>
      <c r="E40" s="22">
        <f>(G$12/(1+$A$40)^1+H$12/(1+$A$40)^2+I$12/(1+$A$40)^3+J$12/(1+$A$40)^4+K$12/(1+$A$40)^5+K$8*8.0/(1+$A$40)^5+$C$29)/$C$32</f>
        <v/>
      </c>
      <c r="F40" s="22">
        <f>(G$12/(1+$A$40)^1+H$12/(1+$A$40)^2+I$12/(1+$A$40)^3+J$12/(1+$A$40)^4+K$12/(1+$A$40)^5+K$8*10.0/(1+$A$40)^5+$C$29)/$C$32</f>
        <v/>
      </c>
      <c r="G40" s="22">
        <f>(G$12/(1+$A$40)^1+H$12/(1+$A$40)^2+I$12/(1+$A$40)^3+J$12/(1+$A$40)^4+K$12/(1+$A$40)^5+K$8*12.0/(1+$A$40)^5+$C$29)/$C$32</f>
        <v/>
      </c>
    </row>
    <row r="41">
      <c r="A41" s="21" t="n">
        <v>0.08</v>
      </c>
      <c r="C41" s="22">
        <f>(G$12/(1+$A$41)^1+H$12/(1+$A$41)^2+I$12/(1+$A$41)^3+J$12/(1+$A$41)^4+K$12/(1+$A$41)^5+K$8*4.0/(1+$A$41)^5+$C$29)/$C$32</f>
        <v/>
      </c>
      <c r="D41" s="22">
        <f>(G$12/(1+$A$41)^1+H$12/(1+$A$41)^2+I$12/(1+$A$41)^3+J$12/(1+$A$41)^4+K$12/(1+$A$41)^5+K$8*6.0/(1+$A$41)^5+$C$29)/$C$32</f>
        <v/>
      </c>
      <c r="E41" s="22">
        <f>(G$12/(1+$A$41)^1+H$12/(1+$A$41)^2+I$12/(1+$A$41)^3+J$12/(1+$A$41)^4+K$12/(1+$A$41)^5+K$8*8.0/(1+$A$41)^5+$C$29)/$C$32</f>
        <v/>
      </c>
      <c r="F41" s="22">
        <f>(G$12/(1+$A$41)^1+H$12/(1+$A$41)^2+I$12/(1+$A$41)^3+J$12/(1+$A$41)^4+K$12/(1+$A$41)^5+K$8*10.0/(1+$A$41)^5+$C$29)/$C$32</f>
        <v/>
      </c>
      <c r="G41" s="22">
        <f>(G$12/(1+$A$41)^1+H$12/(1+$A$41)^2+I$12/(1+$A$41)^3+J$12/(1+$A$41)^4+K$12/(1+$A$41)^5+K$8*12.0/(1+$A$41)^5+$C$29)/$C$32</f>
        <v/>
      </c>
    </row>
    <row r="42">
      <c r="A42" s="21" t="n">
        <v>0.09</v>
      </c>
      <c r="C42" s="22">
        <f>(G$12/(1+$A$42)^1+H$12/(1+$A$42)^2+I$12/(1+$A$42)^3+J$12/(1+$A$42)^4+K$12/(1+$A$42)^5+K$8*4.0/(1+$A$42)^5+$C$29)/$C$32</f>
        <v/>
      </c>
      <c r="D42" s="22">
        <f>(G$12/(1+$A$42)^1+H$12/(1+$A$42)^2+I$12/(1+$A$42)^3+J$12/(1+$A$42)^4+K$12/(1+$A$42)^5+K$8*6.0/(1+$A$42)^5+$C$29)/$C$32</f>
        <v/>
      </c>
      <c r="E42" s="23">
        <f>(G$12/(1+$A$42)^1+H$12/(1+$A$42)^2+I$12/(1+$A$42)^3+J$12/(1+$A$42)^4+K$12/(1+$A$42)^5+K$8*8.0/(1+$A$42)^5+$C$29)/$C$32</f>
        <v/>
      </c>
      <c r="F42" s="22">
        <f>(G$12/(1+$A$42)^1+H$12/(1+$A$42)^2+I$12/(1+$A$42)^3+J$12/(1+$A$42)^4+K$12/(1+$A$42)^5+K$8*10.0/(1+$A$42)^5+$C$29)/$C$32</f>
        <v/>
      </c>
      <c r="G42" s="22">
        <f>(G$12/(1+$A$42)^1+H$12/(1+$A$42)^2+I$12/(1+$A$42)^3+J$12/(1+$A$42)^4+K$12/(1+$A$42)^5+K$8*12.0/(1+$A$42)^5+$C$29)/$C$32</f>
        <v/>
      </c>
    </row>
    <row r="43">
      <c r="A43" s="21" t="n">
        <v>0.09999999999999999</v>
      </c>
      <c r="C43" s="22">
        <f>(G$12/(1+$A$43)^1+H$12/(1+$A$43)^2+I$12/(1+$A$43)^3+J$12/(1+$A$43)^4+K$12/(1+$A$43)^5+K$8*4.0/(1+$A$43)^5+$C$29)/$C$32</f>
        <v/>
      </c>
      <c r="D43" s="22">
        <f>(G$12/(1+$A$43)^1+H$12/(1+$A$43)^2+I$12/(1+$A$43)^3+J$12/(1+$A$43)^4+K$12/(1+$A$43)^5+K$8*6.0/(1+$A$43)^5+$C$29)/$C$32</f>
        <v/>
      </c>
      <c r="E43" s="22">
        <f>(G$12/(1+$A$43)^1+H$12/(1+$A$43)^2+I$12/(1+$A$43)^3+J$12/(1+$A$43)^4+K$12/(1+$A$43)^5+K$8*8.0/(1+$A$43)^5+$C$29)/$C$32</f>
        <v/>
      </c>
      <c r="F43" s="22">
        <f>(G$12/(1+$A$43)^1+H$12/(1+$A$43)^2+I$12/(1+$A$43)^3+J$12/(1+$A$43)^4+K$12/(1+$A$43)^5+K$8*10.0/(1+$A$43)^5+$C$29)/$C$32</f>
        <v/>
      </c>
      <c r="G43" s="22">
        <f>(G$12/(1+$A$43)^1+H$12/(1+$A$43)^2+I$12/(1+$A$43)^3+J$12/(1+$A$43)^4+K$12/(1+$A$43)^5+K$8*12.0/(1+$A$43)^5+$C$29)/$C$32</f>
        <v/>
      </c>
    </row>
    <row r="44">
      <c r="A44" s="21" t="n">
        <v>0.11</v>
      </c>
      <c r="C44" s="22">
        <f>(G$12/(1+$A$44)^1+H$12/(1+$A$44)^2+I$12/(1+$A$44)^3+J$12/(1+$A$44)^4+K$12/(1+$A$44)^5+K$8*4.0/(1+$A$44)^5+$C$29)/$C$32</f>
        <v/>
      </c>
      <c r="D44" s="22">
        <f>(G$12/(1+$A$44)^1+H$12/(1+$A$44)^2+I$12/(1+$A$44)^3+J$12/(1+$A$44)^4+K$12/(1+$A$44)^5+K$8*6.0/(1+$A$44)^5+$C$29)/$C$32</f>
        <v/>
      </c>
      <c r="E44" s="22">
        <f>(G$12/(1+$A$44)^1+H$12/(1+$A$44)^2+I$12/(1+$A$44)^3+J$12/(1+$A$44)^4+K$12/(1+$A$44)^5+K$8*8.0/(1+$A$44)^5+$C$29)/$C$32</f>
        <v/>
      </c>
      <c r="F44" s="22">
        <f>(G$12/(1+$A$44)^1+H$12/(1+$A$44)^2+I$12/(1+$A$44)^3+J$12/(1+$A$44)^4+K$12/(1+$A$44)^5+K$8*10.0/(1+$A$44)^5+$C$29)/$C$32</f>
        <v/>
      </c>
      <c r="G44" s="22">
        <f>(G$12/(1+$A$44)^1+H$12/(1+$A$44)^2+I$12/(1+$A$44)^3+J$12/(1+$A$44)^4+K$12/(1+$A$44)^5+K$8*12.0/(1+$A$44)^5+$C$29)/$C$32</f>
        <v/>
      </c>
    </row>
    <row r="45">
      <c r="A45" s="21" t="n">
        <v>0.12</v>
      </c>
      <c r="C45" s="22">
        <f>(G$12/(1+$A$45)^1+H$12/(1+$A$45)^2+I$12/(1+$A$45)^3+J$12/(1+$A$45)^4+K$12/(1+$A$45)^5+K$8*4.0/(1+$A$45)^5+$C$29)/$C$32</f>
        <v/>
      </c>
      <c r="D45" s="22">
        <f>(G$12/(1+$A$45)^1+H$12/(1+$A$45)^2+I$12/(1+$A$45)^3+J$12/(1+$A$45)^4+K$12/(1+$A$45)^5+K$8*6.0/(1+$A$45)^5+$C$29)/$C$32</f>
        <v/>
      </c>
      <c r="E45" s="22">
        <f>(G$12/(1+$A$45)^1+H$12/(1+$A$45)^2+I$12/(1+$A$45)^3+J$12/(1+$A$45)^4+K$12/(1+$A$45)^5+K$8*8.0/(1+$A$45)^5+$C$29)/$C$32</f>
        <v/>
      </c>
      <c r="F45" s="22">
        <f>(G$12/(1+$A$45)^1+H$12/(1+$A$45)^2+I$12/(1+$A$45)^3+J$12/(1+$A$45)^4+K$12/(1+$A$45)^5+K$8*10.0/(1+$A$45)^5+$C$29)/$C$32</f>
        <v/>
      </c>
      <c r="G45" s="22">
        <f>(G$12/(1+$A$45)^1+H$12/(1+$A$45)^2+I$12/(1+$A$45)^3+J$12/(1+$A$45)^4+K$12/(1+$A$45)^5+K$8*12.0/(1+$A$45)^5+$C$29)/$C$32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2026-05-28T14:59:26Z</dcterms:created>
  <dcterms:modified xmlns:dcterms="http://purl.org/dc/terms/" xmlns:xsi="http://www.w3.org/2001/XMLSchema-instance" xsi:type="dcterms:W3CDTF">2026-05-28T14:59:26Z</dcterms:modified>
</cp:coreProperties>
</file>