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Financial Statements" sheetId="2" state="visible" r:id="rId2"/>
    <sheet xmlns:r="http://schemas.openxmlformats.org/officeDocument/2006/relationships" name="Model" sheetId="3" state="visible" r:id="rId3"/>
    <sheet xmlns:r="http://schemas.openxmlformats.org/officeDocument/2006/relationships" name="Valu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"/>
    <numFmt numFmtId="165" formatCode="0.0%"/>
    <numFmt numFmtId="166" formatCode="0.0&quot;x&quot;"/>
    <numFmt numFmtId="167" formatCode="$#,##0.00"/>
    <numFmt numFmtId="168" formatCode="0.0000"/>
  </numFmts>
  <fonts count="9">
    <font>
      <name val="Calibri"/>
      <family val="2"/>
      <color theme="1"/>
      <sz val="11"/>
      <scheme val="minor"/>
    </font>
    <font>
      <name val="Calibri"/>
      <b val="1"/>
      <color rgb="FFFFFFFF"/>
      <sz val="10"/>
    </font>
    <font>
      <name val="Calibri"/>
      <b val="1"/>
      <sz val="10"/>
    </font>
    <font>
      <name val="Calibri"/>
      <color rgb="FF0000FF"/>
      <sz val="10"/>
    </font>
    <font>
      <name val="Calibri"/>
      <sz val="10"/>
    </font>
    <font>
      <name val="Calibri"/>
      <i val="1"/>
      <color rgb="FF888888"/>
      <sz val="8"/>
    </font>
    <font>
      <color rgb="FFFFFFFF"/>
    </font>
    <font>
      <name val="Calibri"/>
      <b val="1"/>
      <color rgb="FF006600"/>
      <sz val="14"/>
    </font>
    <font>
      <name val="Calibri"/>
      <b val="1"/>
      <sz val="12"/>
    </font>
  </fonts>
  <fills count="4">
    <fill>
      <patternFill/>
    </fill>
    <fill>
      <patternFill patternType="gray125"/>
    </fill>
    <fill>
      <patternFill patternType="solid">
        <fgColor rgb="FF273A4F"/>
        <bgColor rgb="FF273A4F"/>
      </patternFill>
    </fill>
    <fill>
      <patternFill patternType="solid">
        <fgColor rgb="FFB2C3BC"/>
        <bgColor rgb="FFB2C3B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3" fillId="3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6" fontId="3" fillId="3" borderId="0" pivotButton="0" quotePrefix="0" xfId="0"/>
    <xf numFmtId="166" fontId="0" fillId="0" borderId="0" pivotButton="0" quotePrefix="0" xfId="0"/>
    <xf numFmtId="165" fontId="4" fillId="0" borderId="0" pivotButton="0" quotePrefix="0" xfId="0"/>
    <xf numFmtId="167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167" fontId="2" fillId="0" borderId="0" pivotButton="0" quotePrefix="0" xfId="0"/>
    <xf numFmtId="168" fontId="0" fillId="0" borderId="0" pivotButton="0" quotePrefix="0" xfId="0"/>
    <xf numFmtId="164" fontId="3" fillId="3" borderId="0" pivotButton="0" quotePrefix="0" xfId="0"/>
    <xf numFmtId="167" fontId="7" fillId="0" borderId="0" pivotButton="0" quotePrefix="0" xfId="0"/>
    <xf numFmtId="165" fontId="8" fillId="0" borderId="0" pivotButton="0" quotePrefix="0" xfId="0"/>
    <xf numFmtId="165" fontId="1" fillId="2" borderId="0" pivotButton="0" quotePrefix="0" xfId="0"/>
    <xf numFmtId="167" fontId="0" fillId="0" borderId="0" pivotButton="0" quotePrefix="0" xfId="0"/>
    <xf numFmtId="167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73A4F"/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The Magnum Ice Cream Company N.V. (MICC) - Assumptions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 Selector:</t>
        </is>
      </c>
      <c r="G2" s="3" t="n">
        <v>1</v>
      </c>
      <c r="H2" s="4" t="inlineStr">
        <is>
          <t>1=Base, 2=Bull, 3=Bear</t>
        </is>
      </c>
    </row>
    <row r="4">
      <c r="C4" s="1" t="inlineStr">
        <is>
          <t>FY2022</t>
        </is>
      </c>
      <c r="D4" s="1" t="inlineStr">
        <is>
          <t>FY2023</t>
        </is>
      </c>
      <c r="E4" s="1" t="inlineStr">
        <is>
          <t>FY2024</t>
        </is>
      </c>
      <c r="F4" s="1" t="inlineStr">
        <is>
          <t>FY2025</t>
        </is>
      </c>
      <c r="G4" s="1" t="inlineStr">
        <is>
          <t>FY2026</t>
        </is>
      </c>
      <c r="H4" s="1" t="inlineStr">
        <is>
          <t>FY2027</t>
        </is>
      </c>
      <c r="I4" s="1" t="inlineStr">
        <is>
          <t>FY2028</t>
        </is>
      </c>
      <c r="J4" s="1" t="inlineStr">
        <is>
          <t>FY2029</t>
        </is>
      </c>
      <c r="K4" s="1" t="inlineStr">
        <is>
          <t>FY2030</t>
        </is>
      </c>
    </row>
    <row r="6">
      <c r="A6" s="1" t="inlineStr">
        <is>
          <t>Packaged Foods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</row>
    <row r="7">
      <c r="A7" s="2" t="inlineStr">
        <is>
          <t xml:space="preserve">  Revenue ($M)</t>
        </is>
      </c>
      <c r="C7" s="5" t="n">
        <v>7506</v>
      </c>
      <c r="D7" s="5" t="n">
        <v>7618</v>
      </c>
      <c r="E7" s="5" t="n">
        <v>7947</v>
      </c>
      <c r="F7" s="5" t="n">
        <v>7910</v>
      </c>
    </row>
    <row r="8">
      <c r="A8" s="4" t="inlineStr">
        <is>
          <t xml:space="preserve">  Revenue Growth - Base</t>
        </is>
      </c>
      <c r="G8" s="6" t="n">
        <v>0.02</v>
      </c>
      <c r="H8" s="6" t="n">
        <v>0.03</v>
      </c>
      <c r="I8" s="6" t="n">
        <v>0.03</v>
      </c>
      <c r="J8" s="6" t="n">
        <v>0.03</v>
      </c>
      <c r="K8" s="6" t="n">
        <v>0.03</v>
      </c>
    </row>
    <row r="9">
      <c r="A9" s="4" t="inlineStr">
        <is>
          <t xml:space="preserve">  Revenue Growth - Bull</t>
        </is>
      </c>
      <c r="G9" s="6" t="n">
        <v>0.035</v>
      </c>
      <c r="H9" s="6" t="n">
        <v>0.04</v>
      </c>
      <c r="I9" s="6" t="n">
        <v>0.04</v>
      </c>
      <c r="J9" s="6" t="n">
        <v>0.04</v>
      </c>
      <c r="K9" s="6" t="n">
        <v>0.035</v>
      </c>
    </row>
    <row r="10">
      <c r="A10" s="4" t="inlineStr">
        <is>
          <t xml:space="preserve">  Revenue Growth - Bear</t>
        </is>
      </c>
      <c r="G10" s="6" t="n">
        <v>0</v>
      </c>
      <c r="H10" s="6" t="n">
        <v>0.005</v>
      </c>
      <c r="I10" s="6" t="n">
        <v>0.01</v>
      </c>
      <c r="J10" s="6" t="n">
        <v>0.015</v>
      </c>
      <c r="K10" s="6" t="n">
        <v>0.015</v>
      </c>
    </row>
    <row r="11">
      <c r="A11" s="2" t="inlineStr">
        <is>
          <t xml:space="preserve">  Revenue Growth (Selected)</t>
        </is>
      </c>
      <c r="G11" s="7">
        <f>OFFSET(G8,$G$2-1,0)</f>
        <v/>
      </c>
      <c r="H11" s="7">
        <f>OFFSET(H8,$G$2-1,0)</f>
        <v/>
      </c>
      <c r="I11" s="7">
        <f>OFFSET(I8,$G$2-1,0)</f>
        <v/>
      </c>
      <c r="J11" s="7">
        <f>OFFSET(J8,$G$2-1,0)</f>
        <v/>
      </c>
      <c r="K11" s="7">
        <f>OFFSET(K8,$G$2-1,0)</f>
        <v/>
      </c>
    </row>
    <row r="12">
      <c r="A12" s="2" t="inlineStr">
        <is>
          <t xml:space="preserve">  Revenue Projected ($M)</t>
        </is>
      </c>
      <c r="G12" s="8">
        <f>F7*(1+G11)</f>
        <v/>
      </c>
      <c r="H12" s="8">
        <f>G12*(1+H11)</f>
        <v/>
      </c>
      <c r="I12" s="8">
        <f>H12*(1+I11)</f>
        <v/>
      </c>
      <c r="J12" s="8">
        <f>I12*(1+J11)</f>
        <v/>
      </c>
      <c r="K12" s="8">
        <f>J12*(1+K11)</f>
        <v/>
      </c>
    </row>
    <row r="14">
      <c r="A14" s="1" t="inlineStr">
        <is>
          <t>Operating Assumptions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4" t="inlineStr">
        <is>
          <t>Gross Margin - Base</t>
        </is>
      </c>
      <c r="G15" s="6" t="n">
        <v>0.346</v>
      </c>
      <c r="H15" s="6" t="n">
        <v>0.346</v>
      </c>
      <c r="I15" s="6" t="n">
        <v>0.346</v>
      </c>
      <c r="J15" s="6" t="n">
        <v>0.346</v>
      </c>
      <c r="K15" s="6" t="n">
        <v>0.346</v>
      </c>
    </row>
    <row r="16">
      <c r="A16" s="4" t="inlineStr">
        <is>
          <t>Gross Margin - Bull</t>
        </is>
      </c>
      <c r="G16" s="6" t="n">
        <v>0.35</v>
      </c>
      <c r="H16" s="6" t="n">
        <v>0.35</v>
      </c>
      <c r="I16" s="6" t="n">
        <v>0.35</v>
      </c>
      <c r="J16" s="6" t="n">
        <v>0.35</v>
      </c>
      <c r="K16" s="6" t="n">
        <v>0.35</v>
      </c>
    </row>
    <row r="17">
      <c r="A17" s="4" t="inlineStr">
        <is>
          <t>Gross Margin - Bear</t>
        </is>
      </c>
      <c r="G17" s="6" t="n">
        <v>0.34</v>
      </c>
      <c r="H17" s="6" t="n">
        <v>0.34</v>
      </c>
      <c r="I17" s="6" t="n">
        <v>0.34</v>
      </c>
      <c r="J17" s="6" t="n">
        <v>0.34</v>
      </c>
      <c r="K17" s="6" t="n">
        <v>0.34</v>
      </c>
    </row>
    <row r="18">
      <c r="A18" s="2" t="inlineStr">
        <is>
          <t>Gross Margin (Selected)</t>
        </is>
      </c>
      <c r="G18" s="7">
        <f>OFFSET(G15,$G$2-1,0)</f>
        <v/>
      </c>
      <c r="H18" s="7">
        <f>OFFSET(H15,$G$2-1,0)</f>
        <v/>
      </c>
      <c r="I18" s="7">
        <f>OFFSET(I15,$G$2-1,0)</f>
        <v/>
      </c>
      <c r="J18" s="7">
        <f>OFFSET(J15,$G$2-1,0)</f>
        <v/>
      </c>
      <c r="K18" s="7">
        <f>OFFSET(K15,$G$2-1,0)</f>
        <v/>
      </c>
    </row>
    <row r="20">
      <c r="A20" s="4" t="inlineStr">
        <is>
          <t>SG&amp;A % Revenue - Base</t>
        </is>
      </c>
      <c r="G20" s="6" t="n">
        <v>0.214</v>
      </c>
      <c r="H20" s="6" t="n">
        <v>0.214</v>
      </c>
      <c r="I20" s="6" t="n">
        <v>0.214</v>
      </c>
      <c r="J20" s="6" t="n">
        <v>0.214</v>
      </c>
      <c r="K20" s="6" t="n">
        <v>0.214</v>
      </c>
    </row>
    <row r="21">
      <c r="A21" s="4" t="inlineStr">
        <is>
          <t>SG&amp;A % Revenue - Bull</t>
        </is>
      </c>
      <c r="G21" s="6" t="n">
        <v>0.204</v>
      </c>
      <c r="H21" s="6" t="n">
        <v>0.204</v>
      </c>
      <c r="I21" s="6" t="n">
        <v>0.204</v>
      </c>
      <c r="J21" s="6" t="n">
        <v>0.204</v>
      </c>
      <c r="K21" s="6" t="n">
        <v>0.204</v>
      </c>
    </row>
    <row r="22">
      <c r="A22" s="4" t="inlineStr">
        <is>
          <t>SG&amp;A % Revenue - Bear</t>
        </is>
      </c>
      <c r="G22" s="6" t="n">
        <v>0.223</v>
      </c>
      <c r="H22" s="6" t="n">
        <v>0.223</v>
      </c>
      <c r="I22" s="6" t="n">
        <v>0.223</v>
      </c>
      <c r="J22" s="6" t="n">
        <v>0.223</v>
      </c>
      <c r="K22" s="6" t="n">
        <v>0.223</v>
      </c>
    </row>
    <row r="23">
      <c r="A23" s="2" t="inlineStr">
        <is>
          <t>SG&amp;A % Revenue (Selected)</t>
        </is>
      </c>
      <c r="G23" s="7">
        <f>OFFSET(G20,$G$2-1,0)</f>
        <v/>
      </c>
      <c r="H23" s="7">
        <f>OFFSET(H20,$G$2-1,0)</f>
        <v/>
      </c>
      <c r="I23" s="7">
        <f>OFFSET(I20,$G$2-1,0)</f>
        <v/>
      </c>
      <c r="J23" s="7">
        <f>OFFSET(J20,$G$2-1,0)</f>
        <v/>
      </c>
      <c r="K23" s="7">
        <f>OFFSET(K20,$G$2-1,0)</f>
        <v/>
      </c>
    </row>
    <row r="25">
      <c r="A25" s="4" t="inlineStr">
        <is>
          <t>R&amp;D % Revenue - Base</t>
        </is>
      </c>
      <c r="G25" s="6" t="n">
        <v>0.012</v>
      </c>
      <c r="H25" s="6" t="n">
        <v>0.012</v>
      </c>
      <c r="I25" s="6" t="n">
        <v>0.012</v>
      </c>
      <c r="J25" s="6" t="n">
        <v>0.012</v>
      </c>
      <c r="K25" s="6" t="n">
        <v>0.012</v>
      </c>
    </row>
    <row r="26">
      <c r="A26" s="4" t="inlineStr">
        <is>
          <t>R&amp;D % Revenue - Bull</t>
        </is>
      </c>
      <c r="G26" s="6" t="n">
        <v>0.012</v>
      </c>
      <c r="H26" s="6" t="n">
        <v>0.012</v>
      </c>
      <c r="I26" s="6" t="n">
        <v>0.012</v>
      </c>
      <c r="J26" s="6" t="n">
        <v>0.012</v>
      </c>
      <c r="K26" s="6" t="n">
        <v>0.012</v>
      </c>
    </row>
    <row r="27">
      <c r="A27" s="4" t="inlineStr">
        <is>
          <t>R&amp;D % Revenue - Bear</t>
        </is>
      </c>
      <c r="G27" s="6" t="n">
        <v>0.012</v>
      </c>
      <c r="H27" s="6" t="n">
        <v>0.012</v>
      </c>
      <c r="I27" s="6" t="n">
        <v>0.012</v>
      </c>
      <c r="J27" s="6" t="n">
        <v>0.012</v>
      </c>
      <c r="K27" s="6" t="n">
        <v>0.012</v>
      </c>
    </row>
    <row r="28">
      <c r="A28" s="2" t="inlineStr">
        <is>
          <t>R&amp;D % Revenue (Selected)</t>
        </is>
      </c>
      <c r="G28" s="7">
        <f>OFFSET(G25,$G$2-1,0)</f>
        <v/>
      </c>
      <c r="H28" s="7">
        <f>OFFSET(H25,$G$2-1,0)</f>
        <v/>
      </c>
      <c r="I28" s="7">
        <f>OFFSET(I25,$G$2-1,0)</f>
        <v/>
      </c>
      <c r="J28" s="7">
        <f>OFFSET(J25,$G$2-1,0)</f>
        <v/>
      </c>
      <c r="K28" s="7">
        <f>OFFSET(K25,$G$2-1,0)</f>
        <v/>
      </c>
    </row>
    <row r="30">
      <c r="A30" s="4" t="inlineStr">
        <is>
          <t>D&amp;A % Revenue</t>
        </is>
      </c>
      <c r="G30" s="6" t="n">
        <v>0.024</v>
      </c>
      <c r="H30" s="6" t="n">
        <v>0.024</v>
      </c>
      <c r="I30" s="6" t="n">
        <v>0.024</v>
      </c>
      <c r="J30" s="6" t="n">
        <v>0.024</v>
      </c>
      <c r="K30" s="6" t="n">
        <v>0.024</v>
      </c>
    </row>
    <row r="31">
      <c r="A31" s="4" t="inlineStr">
        <is>
          <t>CapEx % Revenue</t>
        </is>
      </c>
      <c r="G31" s="6" t="n">
        <v>0.039</v>
      </c>
      <c r="H31" s="6" t="n">
        <v>0.039</v>
      </c>
      <c r="I31" s="6" t="n">
        <v>0.039</v>
      </c>
      <c r="J31" s="6" t="n">
        <v>0.039</v>
      </c>
      <c r="K31" s="6" t="n">
        <v>0.039</v>
      </c>
    </row>
    <row r="32">
      <c r="A32" s="4" t="inlineStr">
        <is>
          <t>Tax Rate</t>
        </is>
      </c>
      <c r="G32" s="6" t="n">
        <v>0.19</v>
      </c>
      <c r="H32" s="6" t="n">
        <v>0.19</v>
      </c>
      <c r="I32" s="6" t="n">
        <v>0.19</v>
      </c>
      <c r="J32" s="6" t="n">
        <v>0.19</v>
      </c>
      <c r="K32" s="6" t="n">
        <v>0.19</v>
      </c>
    </row>
    <row r="34">
      <c r="A34" s="1" t="inlineStr">
        <is>
          <t>Valuation Assumptions</t>
        </is>
      </c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</row>
    <row r="35">
      <c r="A35" s="4" t="inlineStr">
        <is>
          <t>WACC - Base</t>
        </is>
      </c>
      <c r="C35" s="6" t="n">
        <v>0.095</v>
      </c>
    </row>
    <row r="36">
      <c r="A36" s="4" t="inlineStr">
        <is>
          <t>WACC - Bull</t>
        </is>
      </c>
      <c r="C36" s="6" t="n">
        <v>0.09</v>
      </c>
    </row>
    <row r="37">
      <c r="A37" s="4" t="inlineStr">
        <is>
          <t>WACC - Bear</t>
        </is>
      </c>
      <c r="C37" s="6" t="n">
        <v>0.105</v>
      </c>
    </row>
    <row r="38">
      <c r="A38" s="2" t="inlineStr">
        <is>
          <t>WACC (Selected)</t>
        </is>
      </c>
      <c r="C38" s="7">
        <f>OFFSET(C35,$G$2-1,0)</f>
        <v/>
      </c>
    </row>
    <row r="40">
      <c r="A40" s="4" t="inlineStr">
        <is>
          <t>Terminal Value Multiple - Base</t>
        </is>
      </c>
      <c r="C40" s="9" t="n">
        <v>11</v>
      </c>
    </row>
    <row r="41">
      <c r="A41" s="4" t="inlineStr">
        <is>
          <t>Terminal Value Multiple - Bull</t>
        </is>
      </c>
      <c r="C41" s="9" t="n">
        <v>12.5</v>
      </c>
    </row>
    <row r="42">
      <c r="A42" s="4" t="inlineStr">
        <is>
          <t>Terminal Value Multiple - Bear</t>
        </is>
      </c>
      <c r="C42" s="9" t="n">
        <v>10</v>
      </c>
    </row>
    <row r="43">
      <c r="A43" s="2" t="inlineStr">
        <is>
          <t>Terminal Value Multiple (Selected)</t>
        </is>
      </c>
      <c r="C43" s="10">
        <f>OFFSET(C40,$G$2-1,0)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73A4F"/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The Magnum Ice Cream Company N.V. (MICC) - Historical Financial Statements</t>
        </is>
      </c>
      <c r="B1" s="1" t="n"/>
      <c r="C1" s="1" t="n"/>
      <c r="D1" s="1" t="n"/>
      <c r="E1" s="1" t="n"/>
      <c r="F1" s="1" t="n"/>
    </row>
    <row r="3">
      <c r="A3" s="4" t="inlineStr">
        <is>
          <t>($ in millions)</t>
        </is>
      </c>
      <c r="C3" s="1" t="inlineStr">
        <is>
          <t>FY2022</t>
        </is>
      </c>
      <c r="D3" s="1" t="inlineStr">
        <is>
          <t>FY2023</t>
        </is>
      </c>
      <c r="E3" s="1" t="inlineStr">
        <is>
          <t>FY2024</t>
        </is>
      </c>
      <c r="F3" s="1" t="inlineStr">
        <is>
          <t>FY2025</t>
        </is>
      </c>
    </row>
    <row r="5">
      <c r="A5" s="1" t="inlineStr">
        <is>
          <t>Income Statement</t>
        </is>
      </c>
      <c r="B5" s="1" t="n"/>
      <c r="C5" s="1" t="n"/>
      <c r="D5" s="1" t="n"/>
      <c r="E5" s="1" t="n"/>
      <c r="F5" s="1" t="n"/>
    </row>
    <row r="6">
      <c r="A6" s="2" t="inlineStr">
        <is>
          <t>Total Revenue</t>
        </is>
      </c>
      <c r="C6" s="5" t="n">
        <v>7506</v>
      </c>
      <c r="D6" s="5" t="n">
        <v>7618</v>
      </c>
      <c r="E6" s="5" t="n">
        <v>7947</v>
      </c>
      <c r="F6" s="5" t="n">
        <v>7910</v>
      </c>
    </row>
    <row r="7">
      <c r="A7" s="4" t="inlineStr">
        <is>
          <t>Cost of Revenue</t>
        </is>
      </c>
      <c r="C7" s="5" t="n">
        <v>4940</v>
      </c>
      <c r="D7" s="5" t="n">
        <v>5022</v>
      </c>
      <c r="E7" s="5" t="n">
        <v>5173</v>
      </c>
      <c r="F7" s="5" t="n">
        <v>5171</v>
      </c>
    </row>
    <row r="8">
      <c r="A8" s="2" t="inlineStr">
        <is>
          <t>Gross Profit</t>
        </is>
      </c>
      <c r="C8" s="5" t="n">
        <v>2566</v>
      </c>
      <c r="D8" s="5" t="n">
        <v>2596</v>
      </c>
      <c r="E8" s="5" t="n">
        <v>2774</v>
      </c>
      <c r="F8" s="5" t="n">
        <v>2739</v>
      </c>
    </row>
    <row r="9">
      <c r="A9" s="4" t="inlineStr">
        <is>
          <t xml:space="preserve">  Gross Margin</t>
        </is>
      </c>
      <c r="C9" s="11" t="n">
        <v>0.3418598454569677</v>
      </c>
      <c r="D9" s="11" t="n">
        <v>0.3407718561302179</v>
      </c>
      <c r="E9" s="11" t="n">
        <v>0.349062539323015</v>
      </c>
      <c r="F9" s="11" t="n">
        <v>0.3462705436156764</v>
      </c>
    </row>
    <row r="11">
      <c r="A11" s="4" t="inlineStr">
        <is>
          <t>R&amp;D Expense</t>
        </is>
      </c>
      <c r="C11" s="5" t="n">
        <v>95</v>
      </c>
      <c r="D11" s="5" t="n">
        <v>92</v>
      </c>
      <c r="E11" s="5" t="n">
        <v>92</v>
      </c>
      <c r="F11" s="5" t="n">
        <v>88</v>
      </c>
    </row>
    <row r="12">
      <c r="A12" s="4" t="inlineStr">
        <is>
          <t>SG&amp;A Expense</t>
        </is>
      </c>
      <c r="C12" s="5" t="n">
        <v>1605</v>
      </c>
      <c r="D12" s="5" t="n">
        <v>1661</v>
      </c>
      <c r="E12" s="5" t="n">
        <v>1730</v>
      </c>
      <c r="F12" s="5" t="n">
        <v>1743</v>
      </c>
    </row>
    <row r="13">
      <c r="A13" s="2" t="inlineStr">
        <is>
          <t>Operating Income (EBIT)</t>
        </is>
      </c>
      <c r="C13" s="5" t="n">
        <v>866</v>
      </c>
      <c r="D13" s="5" t="n">
        <v>843</v>
      </c>
      <c r="E13" s="5" t="n">
        <v>952</v>
      </c>
      <c r="F13" s="5" t="n">
        <v>908</v>
      </c>
    </row>
    <row r="14">
      <c r="A14" s="4" t="inlineStr">
        <is>
          <t xml:space="preserve">  EBIT Margin</t>
        </is>
      </c>
      <c r="C14" s="11" t="n">
        <v>0.1153743671729283</v>
      </c>
      <c r="D14" s="11" t="n">
        <v>0.1106589656077711</v>
      </c>
      <c r="E14" s="11" t="n">
        <v>0.1197936328174154</v>
      </c>
      <c r="F14" s="11" t="n">
        <v>0.1147914032869785</v>
      </c>
    </row>
    <row r="16">
      <c r="A16" s="4" t="inlineStr">
        <is>
          <t>Interest Expense</t>
        </is>
      </c>
      <c r="C16" s="5" t="n">
        <v>29</v>
      </c>
      <c r="D16" s="5" t="n">
        <v>10</v>
      </c>
      <c r="E16" s="5" t="n">
        <v>7</v>
      </c>
      <c r="F16" s="5" t="n">
        <v>139</v>
      </c>
    </row>
    <row r="17">
      <c r="A17" s="4" t="inlineStr">
        <is>
          <t>Tax Provision</t>
        </is>
      </c>
      <c r="C17" s="5" t="n">
        <v>173</v>
      </c>
      <c r="D17" s="5" t="n">
        <v>203</v>
      </c>
      <c r="E17" s="5" t="n">
        <v>152</v>
      </c>
      <c r="F17" s="5" t="n">
        <v>140</v>
      </c>
    </row>
    <row r="18">
      <c r="A18" s="2" t="inlineStr">
        <is>
          <t>Net Income</t>
        </is>
      </c>
      <c r="C18" s="5" t="n">
        <v>509</v>
      </c>
      <c r="D18" s="5" t="n">
        <v>492</v>
      </c>
      <c r="E18" s="5" t="n">
        <v>579</v>
      </c>
      <c r="F18" s="5" t="n">
        <v>293</v>
      </c>
    </row>
    <row r="19">
      <c r="A19" s="4" t="inlineStr">
        <is>
          <t xml:space="preserve">  Net Margin</t>
        </is>
      </c>
      <c r="C19" s="11" t="n">
        <v>0.06781241673328005</v>
      </c>
      <c r="D19" s="11" t="n">
        <v>0.06458388028353898</v>
      </c>
      <c r="E19" s="11" t="n">
        <v>0.07285768214420536</v>
      </c>
      <c r="F19" s="11" t="n">
        <v>0.0370417193426043</v>
      </c>
    </row>
    <row r="21">
      <c r="A21" s="2" t="inlineStr">
        <is>
          <t>EBITDA</t>
        </is>
      </c>
      <c r="C21" s="5" t="n">
        <v>1101</v>
      </c>
      <c r="D21" s="5" t="n">
        <v>1079</v>
      </c>
      <c r="E21" s="5" t="n">
        <v>1130</v>
      </c>
      <c r="F21" s="5" t="n">
        <v>924</v>
      </c>
    </row>
    <row r="22">
      <c r="A22" s="4" t="inlineStr">
        <is>
          <t xml:space="preserve">  EBITDA Margin</t>
        </is>
      </c>
      <c r="C22" s="11" t="n">
        <v>0.1466826538768985</v>
      </c>
      <c r="D22" s="11" t="n">
        <v>0.1416382252559727</v>
      </c>
      <c r="E22" s="11" t="n">
        <v>0.142192022146722</v>
      </c>
      <c r="F22" s="11" t="n">
        <v>0.1168141592920354</v>
      </c>
    </row>
    <row r="23">
      <c r="A23" s="4" t="inlineStr">
        <is>
          <t>Diluted EPS</t>
        </is>
      </c>
      <c r="C23" s="12" t="n">
        <v>0.8313469999999999</v>
      </c>
      <c r="D23" s="12" t="n">
        <v>0.803581</v>
      </c>
      <c r="E23" s="12" t="n">
        <v>0.945677</v>
      </c>
      <c r="F23" s="12" t="n">
        <v>0.48</v>
      </c>
    </row>
    <row r="24">
      <c r="A24" s="4" t="inlineStr">
        <is>
          <t>D&amp;A</t>
        </is>
      </c>
      <c r="C24" s="5" t="n">
        <v>372</v>
      </c>
      <c r="D24" s="5" t="n">
        <v>357</v>
      </c>
      <c r="E24" s="5" t="n">
        <v>376</v>
      </c>
      <c r="F24" s="5" t="n">
        <v>338</v>
      </c>
    </row>
    <row r="27">
      <c r="A27" s="1" t="inlineStr">
        <is>
          <t>Balance Sheet</t>
        </is>
      </c>
      <c r="B27" s="1" t="n"/>
      <c r="C27" s="1" t="n"/>
      <c r="D27" s="1" t="n"/>
      <c r="E27" s="1" t="n"/>
      <c r="F27" s="1" t="n"/>
    </row>
    <row r="28">
      <c r="A28" s="4" t="inlineStr">
        <is>
          <t>Cash &amp; Equivalents</t>
        </is>
      </c>
      <c r="C28" s="5" t="n">
        <v>44</v>
      </c>
      <c r="D28" s="5" t="n">
        <v>52</v>
      </c>
      <c r="E28" s="5" t="n">
        <v>70</v>
      </c>
      <c r="F28" s="5" t="n">
        <v>441</v>
      </c>
    </row>
    <row r="29">
      <c r="A29" s="4" t="inlineStr">
        <is>
          <t>Current Assets</t>
        </is>
      </c>
      <c r="C29" s="5" t="n">
        <v>1625</v>
      </c>
      <c r="D29" s="5" t="n">
        <v>1513</v>
      </c>
      <c r="E29" s="5" t="n">
        <v>1629</v>
      </c>
      <c r="F29" s="5" t="n">
        <v>3157</v>
      </c>
    </row>
    <row r="30">
      <c r="A30" s="4" t="inlineStr">
        <is>
          <t>Net PP&amp;E</t>
        </is>
      </c>
      <c r="C30" s="5" t="n">
        <v>2246</v>
      </c>
      <c r="D30" s="5" t="n">
        <v>2234</v>
      </c>
      <c r="E30" s="5" t="n">
        <v>2355</v>
      </c>
      <c r="F30" s="5" t="n">
        <v>2306</v>
      </c>
    </row>
    <row r="31">
      <c r="A31" s="4" t="inlineStr">
        <is>
          <t>Goodwill</t>
        </is>
      </c>
      <c r="C31" s="5" t="n">
        <v>272</v>
      </c>
      <c r="D31" s="5" t="n">
        <v>558</v>
      </c>
      <c r="E31" s="5" t="n">
        <v>585</v>
      </c>
      <c r="F31" s="5" t="n">
        <v>510</v>
      </c>
    </row>
    <row r="32">
      <c r="A32" s="2" t="inlineStr">
        <is>
          <t>Total Assets</t>
        </is>
      </c>
      <c r="C32" s="5" t="n">
        <v>4745</v>
      </c>
      <c r="D32" s="5" t="n">
        <v>5273</v>
      </c>
      <c r="E32" s="5" t="n">
        <v>5521</v>
      </c>
      <c r="F32" s="5" t="n">
        <v>7488</v>
      </c>
    </row>
    <row r="34">
      <c r="A34" s="4" t="inlineStr">
        <is>
          <t>Current Liabilities</t>
        </is>
      </c>
      <c r="C34" s="5" t="n">
        <v>1995</v>
      </c>
      <c r="D34" s="5" t="n">
        <v>1956</v>
      </c>
      <c r="E34" s="5" t="n">
        <v>2029</v>
      </c>
      <c r="F34" s="5" t="n">
        <v>3107</v>
      </c>
    </row>
    <row r="35">
      <c r="A35" s="4" t="inlineStr">
        <is>
          <t>Total Debt</t>
        </is>
      </c>
      <c r="C35" s="5" t="n">
        <v>188</v>
      </c>
      <c r="D35" s="5" t="n">
        <v>197</v>
      </c>
      <c r="E35" s="5" t="n">
        <v>188</v>
      </c>
      <c r="F35" s="5" t="n">
        <v>3255</v>
      </c>
    </row>
    <row r="36">
      <c r="A36" s="2" t="inlineStr">
        <is>
          <t>Total Liabilities</t>
        </is>
      </c>
      <c r="C36" s="5" t="n">
        <v>2767</v>
      </c>
      <c r="D36" s="5" t="n">
        <v>2738</v>
      </c>
      <c r="E36" s="5" t="n">
        <v>2720</v>
      </c>
      <c r="F36" s="5" t="n">
        <v>6855</v>
      </c>
    </row>
    <row r="38">
      <c r="A38" s="2" t="inlineStr">
        <is>
          <t>Total Equity</t>
        </is>
      </c>
      <c r="C38" s="5" t="n">
        <v>1978</v>
      </c>
      <c r="D38" s="5" t="n">
        <v>2535</v>
      </c>
      <c r="E38" s="5" t="n">
        <v>2801</v>
      </c>
      <c r="F38" s="5" t="n">
        <v>633</v>
      </c>
    </row>
    <row r="41">
      <c r="A41" s="1" t="inlineStr">
        <is>
          <t>Cash Flow Statement</t>
        </is>
      </c>
      <c r="B41" s="1" t="n"/>
      <c r="C41" s="1" t="n"/>
      <c r="D41" s="1" t="n"/>
      <c r="E41" s="1" t="n"/>
      <c r="F41" s="1" t="n"/>
    </row>
    <row r="42">
      <c r="A42" s="2" t="inlineStr">
        <is>
          <t>Operating Cash Flow</t>
        </is>
      </c>
      <c r="C42" s="5" t="n">
        <v>721</v>
      </c>
      <c r="D42" s="5" t="n">
        <v>914</v>
      </c>
      <c r="E42" s="5" t="n">
        <v>1113</v>
      </c>
      <c r="F42" s="5" t="n">
        <v>483</v>
      </c>
    </row>
    <row r="43">
      <c r="A43" s="4" t="inlineStr">
        <is>
          <t>Capital Expenditure</t>
        </is>
      </c>
      <c r="C43" s="5" t="n">
        <v>-295</v>
      </c>
      <c r="D43" s="5" t="n">
        <v>-280</v>
      </c>
      <c r="E43" s="5" t="n">
        <v>-321</v>
      </c>
      <c r="F43" s="5" t="n">
        <v>-360</v>
      </c>
    </row>
    <row r="44">
      <c r="A44" s="2" t="inlineStr">
        <is>
          <t>Free Cash Flow</t>
        </is>
      </c>
      <c r="C44" s="5" t="n">
        <v>426</v>
      </c>
      <c r="D44" s="5" t="n">
        <v>634</v>
      </c>
      <c r="E44" s="5" t="n">
        <v>792</v>
      </c>
      <c r="F44" s="5" t="n">
        <v>123</v>
      </c>
    </row>
    <row r="46">
      <c r="A46" s="4" t="inlineStr">
        <is>
          <t>D&amp;A</t>
        </is>
      </c>
      <c r="C46" s="5" t="n">
        <v>372</v>
      </c>
      <c r="D46" s="5" t="n">
        <v>357</v>
      </c>
      <c r="E46" s="5" t="n">
        <v>376</v>
      </c>
      <c r="F46" s="5" t="n">
        <v>338</v>
      </c>
    </row>
    <row r="47">
      <c r="A47" s="4" t="inlineStr">
        <is>
          <t>Stock-Based Compensation</t>
        </is>
      </c>
      <c r="C47" s="5" t="n">
        <v>18</v>
      </c>
      <c r="D47" s="5" t="n">
        <v>20</v>
      </c>
      <c r="E47" s="5" t="n">
        <v>32</v>
      </c>
      <c r="F47" s="5" t="n">
        <v>35</v>
      </c>
    </row>
    <row r="48">
      <c r="A48" s="4" t="inlineStr">
        <is>
          <t>Change in Working Capital</t>
        </is>
      </c>
      <c r="C48" s="5" t="n">
        <v>-273</v>
      </c>
      <c r="D48" s="5" t="n">
        <v>56</v>
      </c>
      <c r="E48" s="5" t="n">
        <v>70</v>
      </c>
      <c r="F48" s="5" t="n">
        <v>-231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73A4F"/>
    <outlinePr summaryBelow="1" summaryRight="1"/>
    <pageSetUpPr/>
  </sheetPr>
  <dimension ref="A1:K206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The Magnum Ice Cream Company N.V. (MICC) - Financial Model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Scenario:</t>
        </is>
      </c>
      <c r="C2" s="13">
        <f>Assumptions!G2</f>
        <v/>
      </c>
    </row>
    <row r="4">
      <c r="A4" s="4" t="inlineStr">
        <is>
          <t>($M)</t>
        </is>
      </c>
      <c r="C4" s="1" t="inlineStr">
        <is>
          <t>FY2022</t>
        </is>
      </c>
      <c r="D4" s="1" t="inlineStr">
        <is>
          <t>FY2023</t>
        </is>
      </c>
      <c r="E4" s="1" t="inlineStr">
        <is>
          <t>FY2024</t>
        </is>
      </c>
      <c r="F4" s="1" t="inlineStr">
        <is>
          <t>FY2025</t>
        </is>
      </c>
      <c r="G4" s="1" t="inlineStr">
        <is>
          <t>FY2026</t>
        </is>
      </c>
      <c r="H4" s="1" t="inlineStr">
        <is>
          <t>FY2027</t>
        </is>
      </c>
      <c r="I4" s="1" t="inlineStr">
        <is>
          <t>FY2028</t>
        </is>
      </c>
      <c r="J4" s="1" t="inlineStr">
        <is>
          <t>FY2029</t>
        </is>
      </c>
      <c r="K4" s="1" t="inlineStr">
        <is>
          <t>FY2030</t>
        </is>
      </c>
    </row>
    <row r="5">
      <c r="G5" s="14" t="inlineStr">
        <is>
          <t>Proj.</t>
        </is>
      </c>
      <c r="H5" s="14" t="inlineStr">
        <is>
          <t>Proj.</t>
        </is>
      </c>
      <c r="I5" s="14" t="inlineStr">
        <is>
          <t>Proj.</t>
        </is>
      </c>
      <c r="J5" s="14" t="inlineStr">
        <is>
          <t>Proj.</t>
        </is>
      </c>
      <c r="K5" s="14" t="inlineStr">
        <is>
          <t>Proj.</t>
        </is>
      </c>
    </row>
    <row r="7">
      <c r="A7" s="1" t="inlineStr">
        <is>
          <t>Revenue by Segment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</row>
    <row r="8">
      <c r="A8" s="2" t="inlineStr">
        <is>
          <t xml:space="preserve">  Packaged Foods</t>
        </is>
      </c>
      <c r="C8" s="5" t="n">
        <v>7506</v>
      </c>
      <c r="D8" s="5" t="n">
        <v>7618</v>
      </c>
      <c r="E8" s="5" t="n">
        <v>7947</v>
      </c>
      <c r="F8" s="5" t="n">
        <v>7910</v>
      </c>
      <c r="G8" s="8">
        <f>Assumptions!G12</f>
        <v/>
      </c>
      <c r="H8" s="8">
        <f>Assumptions!H12</f>
        <v/>
      </c>
      <c r="I8" s="8">
        <f>Assumptions!I12</f>
        <v/>
      </c>
      <c r="J8" s="8">
        <f>Assumptions!J12</f>
        <v/>
      </c>
      <c r="K8" s="8">
        <f>Assumptions!K12</f>
        <v/>
      </c>
    </row>
    <row r="9">
      <c r="A9" s="4" t="inlineStr">
        <is>
          <t xml:space="preserve">    YoY Growth</t>
        </is>
      </c>
      <c r="D9" s="7">
        <f>IFERROR(D8/C8-1,"-")</f>
        <v/>
      </c>
      <c r="E9" s="7">
        <f>IFERROR(E8/D8-1,"-")</f>
        <v/>
      </c>
      <c r="F9" s="7">
        <f>IFERROR(F8/E8-1,"-")</f>
        <v/>
      </c>
      <c r="G9" s="7">
        <f>IFERROR(G8/F8-1,"-")</f>
        <v/>
      </c>
      <c r="H9" s="7">
        <f>IFERROR(H8/G8-1,"-")</f>
        <v/>
      </c>
      <c r="I9" s="7">
        <f>IFERROR(I8/H8-1,"-")</f>
        <v/>
      </c>
      <c r="J9" s="7">
        <f>IFERROR(J8/I8-1,"-")</f>
        <v/>
      </c>
      <c r="K9" s="7">
        <f>IFERROR(K8/J8-1,"-")</f>
        <v/>
      </c>
    </row>
    <row r="11">
      <c r="A11" s="2" t="inlineStr">
        <is>
          <t>Total Revenue</t>
        </is>
      </c>
      <c r="C11" s="8">
        <f>C8</f>
        <v/>
      </c>
      <c r="D11" s="8">
        <f>D8</f>
        <v/>
      </c>
      <c r="E11" s="8">
        <f>E8</f>
        <v/>
      </c>
      <c r="F11" s="8">
        <f>F8</f>
        <v/>
      </c>
      <c r="G11" s="8">
        <f>G8</f>
        <v/>
      </c>
      <c r="H11" s="8">
        <f>H8</f>
        <v/>
      </c>
      <c r="I11" s="8">
        <f>I8</f>
        <v/>
      </c>
      <c r="J11" s="8">
        <f>J8</f>
        <v/>
      </c>
      <c r="K11" s="8">
        <f>K8</f>
        <v/>
      </c>
    </row>
    <row r="12">
      <c r="A12" s="4" t="inlineStr">
        <is>
          <t xml:space="preserve">  Revenue Growth %</t>
        </is>
      </c>
      <c r="D12" s="7">
        <f>IFERROR(D11/C11-1,"-")</f>
        <v/>
      </c>
      <c r="E12" s="7">
        <f>IFERROR(E11/D11-1,"-")</f>
        <v/>
      </c>
      <c r="F12" s="7">
        <f>IFERROR(F11/E11-1,"-")</f>
        <v/>
      </c>
      <c r="G12" s="7">
        <f>IFERROR(G11/F11-1,"-")</f>
        <v/>
      </c>
      <c r="H12" s="7">
        <f>IFERROR(H11/G11-1,"-")</f>
        <v/>
      </c>
      <c r="I12" s="7">
        <f>IFERROR(I11/H11-1,"-")</f>
        <v/>
      </c>
      <c r="J12" s="7">
        <f>IFERROR(J11/I11-1,"-")</f>
        <v/>
      </c>
      <c r="K12" s="7">
        <f>IFERROR(K11/J11-1,"-")</f>
        <v/>
      </c>
    </row>
    <row r="14">
      <c r="A14" s="1" t="inlineStr">
        <is>
          <t>Profit &amp; Loss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2" t="inlineStr">
        <is>
          <t>Revenue</t>
        </is>
      </c>
      <c r="C15" s="8">
        <f>C11</f>
        <v/>
      </c>
      <c r="D15" s="8">
        <f>D11</f>
        <v/>
      </c>
      <c r="E15" s="8">
        <f>E11</f>
        <v/>
      </c>
      <c r="F15" s="8">
        <f>F11</f>
        <v/>
      </c>
      <c r="G15" s="8">
        <f>G11</f>
        <v/>
      </c>
      <c r="H15" s="8">
        <f>H11</f>
        <v/>
      </c>
      <c r="I15" s="8">
        <f>I11</f>
        <v/>
      </c>
      <c r="J15" s="8">
        <f>J11</f>
        <v/>
      </c>
      <c r="K15" s="8">
        <f>K11</f>
        <v/>
      </c>
    </row>
    <row r="16">
      <c r="A16" s="4" t="inlineStr">
        <is>
          <t>Cost of Goods Sold (COGS)</t>
        </is>
      </c>
      <c r="C16" s="5" t="n">
        <v>4940</v>
      </c>
      <c r="D16" s="5" t="n">
        <v>5022</v>
      </c>
      <c r="E16" s="5" t="n">
        <v>5173</v>
      </c>
      <c r="F16" s="5" t="n">
        <v>5171</v>
      </c>
      <c r="G16" s="8">
        <f>-G15*(1-Assumptions!G18)</f>
        <v/>
      </c>
      <c r="H16" s="8">
        <f>-H15*(1-Assumptions!H18)</f>
        <v/>
      </c>
      <c r="I16" s="8">
        <f>-I15*(1-Assumptions!I18)</f>
        <v/>
      </c>
      <c r="J16" s="8">
        <f>-J15*(1-Assumptions!J18)</f>
        <v/>
      </c>
      <c r="K16" s="8">
        <f>-K15*(1-Assumptions!K18)</f>
        <v/>
      </c>
    </row>
    <row r="17">
      <c r="A17" s="2" t="inlineStr">
        <is>
          <t>Gross Profit</t>
        </is>
      </c>
      <c r="C17" s="8">
        <f>C15+C16</f>
        <v/>
      </c>
      <c r="D17" s="8">
        <f>D15+D16</f>
        <v/>
      </c>
      <c r="E17" s="8">
        <f>E15+E16</f>
        <v/>
      </c>
      <c r="F17" s="8">
        <f>F15+F16</f>
        <v/>
      </c>
      <c r="G17" s="8">
        <f>G15+G16</f>
        <v/>
      </c>
      <c r="H17" s="8">
        <f>H15+H16</f>
        <v/>
      </c>
      <c r="I17" s="8">
        <f>I15+I16</f>
        <v/>
      </c>
      <c r="J17" s="8">
        <f>J15+J16</f>
        <v/>
      </c>
      <c r="K17" s="8">
        <f>K15+K16</f>
        <v/>
      </c>
    </row>
    <row r="18">
      <c r="A18" s="4" t="inlineStr">
        <is>
          <t xml:space="preserve">  Gross Margin %</t>
        </is>
      </c>
      <c r="C18" s="7">
        <f>IFERROR(C17/C15,"-")</f>
        <v/>
      </c>
      <c r="D18" s="7">
        <f>IFERROR(D17/D15,"-")</f>
        <v/>
      </c>
      <c r="E18" s="7">
        <f>IFERROR(E17/E15,"-")</f>
        <v/>
      </c>
      <c r="F18" s="7">
        <f>IFERROR(F17/F15,"-")</f>
        <v/>
      </c>
      <c r="G18" s="7">
        <f>IFERROR(G17/G15,"-")</f>
        <v/>
      </c>
      <c r="H18" s="7">
        <f>IFERROR(H17/H15,"-")</f>
        <v/>
      </c>
      <c r="I18" s="7">
        <f>IFERROR(I17/I15,"-")</f>
        <v/>
      </c>
      <c r="J18" s="7">
        <f>IFERROR(J17/J15,"-")</f>
        <v/>
      </c>
      <c r="K18" s="7">
        <f>IFERROR(K17/K15,"-")</f>
        <v/>
      </c>
    </row>
    <row r="20">
      <c r="A20" s="4" t="inlineStr">
        <is>
          <t>SG&amp;A Expense</t>
        </is>
      </c>
      <c r="C20" s="5" t="n">
        <v>1605</v>
      </c>
      <c r="D20" s="5" t="n">
        <v>1661</v>
      </c>
      <c r="E20" s="5" t="n">
        <v>1730</v>
      </c>
      <c r="F20" s="5" t="n">
        <v>1743</v>
      </c>
      <c r="G20" s="8">
        <f>-G15*Assumptions!G24</f>
        <v/>
      </c>
      <c r="H20" s="8">
        <f>-H15*Assumptions!H24</f>
        <v/>
      </c>
      <c r="I20" s="8">
        <f>-I15*Assumptions!I24</f>
        <v/>
      </c>
      <c r="J20" s="8">
        <f>-J15*Assumptions!J24</f>
        <v/>
      </c>
      <c r="K20" s="8">
        <f>-K15*Assumptions!K24</f>
        <v/>
      </c>
    </row>
    <row r="21">
      <c r="A21" s="4" t="inlineStr">
        <is>
          <t>R&amp;D Expense</t>
        </is>
      </c>
      <c r="C21" s="5" t="n">
        <v>95</v>
      </c>
      <c r="D21" s="5" t="n">
        <v>92</v>
      </c>
      <c r="E21" s="5" t="n">
        <v>92</v>
      </c>
      <c r="F21" s="5" t="n">
        <v>88</v>
      </c>
      <c r="G21" s="8">
        <f>-G15*Assumptions!G30</f>
        <v/>
      </c>
      <c r="H21" s="8">
        <f>-H15*Assumptions!H30</f>
        <v/>
      </c>
      <c r="I21" s="8">
        <f>-I15*Assumptions!I30</f>
        <v/>
      </c>
      <c r="J21" s="8">
        <f>-J15*Assumptions!J30</f>
        <v/>
      </c>
      <c r="K21" s="8">
        <f>-K15*Assumptions!K30</f>
        <v/>
      </c>
    </row>
    <row r="22">
      <c r="A22" s="4" t="inlineStr">
        <is>
          <t>Depreciation &amp; Amortization</t>
        </is>
      </c>
      <c r="C22" s="5" t="n">
        <v>372</v>
      </c>
      <c r="D22" s="5" t="n">
        <v>357</v>
      </c>
      <c r="E22" s="5" t="n">
        <v>376</v>
      </c>
      <c r="F22" s="5" t="n">
        <v>338</v>
      </c>
      <c r="G22" s="8">
        <f>-G15*Assumptions!G32</f>
        <v/>
      </c>
      <c r="H22" s="8">
        <f>-H15*Assumptions!H32</f>
        <v/>
      </c>
      <c r="I22" s="8">
        <f>-I15*Assumptions!I32</f>
        <v/>
      </c>
      <c r="J22" s="8">
        <f>-J15*Assumptions!J32</f>
        <v/>
      </c>
      <c r="K22" s="8">
        <f>-K15*Assumptions!K32</f>
        <v/>
      </c>
    </row>
    <row r="24">
      <c r="A24" s="2" t="inlineStr">
        <is>
          <t>EBITDA</t>
        </is>
      </c>
      <c r="C24" s="8">
        <f>C17+C20+C21</f>
        <v/>
      </c>
      <c r="D24" s="8">
        <f>D17+D20+D21</f>
        <v/>
      </c>
      <c r="E24" s="8">
        <f>E17+E20+E21</f>
        <v/>
      </c>
      <c r="F24" s="8">
        <f>F17+F20+F21</f>
        <v/>
      </c>
      <c r="G24" s="8">
        <f>G17+G20+G21</f>
        <v/>
      </c>
      <c r="H24" s="8">
        <f>H17+H20+H21</f>
        <v/>
      </c>
      <c r="I24" s="8">
        <f>I17+I20+I21</f>
        <v/>
      </c>
      <c r="J24" s="8">
        <f>J17+J20+J21</f>
        <v/>
      </c>
      <c r="K24" s="8">
        <f>K17+K20+K21</f>
        <v/>
      </c>
    </row>
    <row r="25">
      <c r="A25" s="4" t="inlineStr">
        <is>
          <t xml:space="preserve">  EBITDA Margin %</t>
        </is>
      </c>
      <c r="C25" s="7">
        <f>IFERROR(C24/C15,"-")</f>
        <v/>
      </c>
      <c r="D25" s="7">
        <f>IFERROR(D24/D15,"-")</f>
        <v/>
      </c>
      <c r="E25" s="7">
        <f>IFERROR(E24/E15,"-")</f>
        <v/>
      </c>
      <c r="F25" s="7">
        <f>IFERROR(F24/F15,"-")</f>
        <v/>
      </c>
      <c r="G25" s="7">
        <f>IFERROR(G24/G15,"-")</f>
        <v/>
      </c>
      <c r="H25" s="7">
        <f>IFERROR(H24/H15,"-")</f>
        <v/>
      </c>
      <c r="I25" s="7">
        <f>IFERROR(I24/I15,"-")</f>
        <v/>
      </c>
      <c r="J25" s="7">
        <f>IFERROR(J24/J15,"-")</f>
        <v/>
      </c>
      <c r="K25" s="7">
        <f>IFERROR(K24/K15,"-")</f>
        <v/>
      </c>
    </row>
    <row r="26">
      <c r="A26" s="2" t="inlineStr">
        <is>
          <t>EBIT</t>
        </is>
      </c>
      <c r="C26" s="8">
        <f>C24+C22</f>
        <v/>
      </c>
      <c r="D26" s="8">
        <f>D24+D22</f>
        <v/>
      </c>
      <c r="E26" s="8">
        <f>E24+E22</f>
        <v/>
      </c>
      <c r="F26" s="8">
        <f>F24+F22</f>
        <v/>
      </c>
      <c r="G26" s="8">
        <f>G24+G22</f>
        <v/>
      </c>
      <c r="H26" s="8">
        <f>H24+H22</f>
        <v/>
      </c>
      <c r="I26" s="8">
        <f>I24+I22</f>
        <v/>
      </c>
      <c r="J26" s="8">
        <f>J24+J22</f>
        <v/>
      </c>
      <c r="K26" s="8">
        <f>K24+K22</f>
        <v/>
      </c>
    </row>
    <row r="27">
      <c r="A27" s="4" t="inlineStr">
        <is>
          <t xml:space="preserve">  EBIT Margin %</t>
        </is>
      </c>
      <c r="C27" s="7">
        <f>IFERROR(C26/C15,"-")</f>
        <v/>
      </c>
      <c r="D27" s="7">
        <f>IFERROR(D26/D15,"-")</f>
        <v/>
      </c>
      <c r="E27" s="7">
        <f>IFERROR(E26/E15,"-")</f>
        <v/>
      </c>
      <c r="F27" s="7">
        <f>IFERROR(F26/F15,"-")</f>
        <v/>
      </c>
      <c r="G27" s="7">
        <f>IFERROR(G26/G15,"-")</f>
        <v/>
      </c>
      <c r="H27" s="7">
        <f>IFERROR(H26/H15,"-")</f>
        <v/>
      </c>
      <c r="I27" s="7">
        <f>IFERROR(I26/I15,"-")</f>
        <v/>
      </c>
      <c r="J27" s="7">
        <f>IFERROR(J26/J15,"-")</f>
        <v/>
      </c>
      <c r="K27" s="7">
        <f>IFERROR(K26/K15,"-")</f>
        <v/>
      </c>
    </row>
    <row r="29">
      <c r="A29" s="4" t="inlineStr">
        <is>
          <t>Interest Expense</t>
        </is>
      </c>
      <c r="C29" s="5" t="n">
        <v>29</v>
      </c>
      <c r="D29" s="5" t="n">
        <v>10</v>
      </c>
      <c r="E29" s="5" t="n">
        <v>7</v>
      </c>
      <c r="F29" s="5" t="n">
        <v>139</v>
      </c>
      <c r="G29" s="5" t="n">
        <v>139</v>
      </c>
      <c r="H29" s="5" t="n">
        <v>139</v>
      </c>
      <c r="I29" s="5" t="n">
        <v>139</v>
      </c>
      <c r="J29" s="5" t="n">
        <v>139</v>
      </c>
      <c r="K29" s="5" t="n">
        <v>139</v>
      </c>
    </row>
    <row r="30">
      <c r="A30" s="2" t="inlineStr">
        <is>
          <t>Earnings Before Tax (EBT)</t>
        </is>
      </c>
      <c r="C30" s="8">
        <f>C26+C29</f>
        <v/>
      </c>
      <c r="D30" s="8">
        <f>D26+D29</f>
        <v/>
      </c>
      <c r="E30" s="8">
        <f>E26+E29</f>
        <v/>
      </c>
      <c r="F30" s="8">
        <f>F26+F29</f>
        <v/>
      </c>
      <c r="G30" s="8">
        <f>G26+G29</f>
        <v/>
      </c>
      <c r="H30" s="8">
        <f>H26+H29</f>
        <v/>
      </c>
      <c r="I30" s="8">
        <f>I26+I29</f>
        <v/>
      </c>
      <c r="J30" s="8">
        <f>J26+J29</f>
        <v/>
      </c>
      <c r="K30" s="8">
        <f>K26+K29</f>
        <v/>
      </c>
    </row>
    <row r="31">
      <c r="A31" s="4" t="inlineStr">
        <is>
          <t>Taxes</t>
        </is>
      </c>
      <c r="C31" s="5" t="n">
        <v>173</v>
      </c>
      <c r="D31" s="5" t="n">
        <v>203</v>
      </c>
      <c r="E31" s="5" t="n">
        <v>152</v>
      </c>
      <c r="F31" s="5" t="n">
        <v>140</v>
      </c>
      <c r="G31" s="8">
        <f>-ABS(G30)*Assumptions!G34</f>
        <v/>
      </c>
      <c r="H31" s="8">
        <f>-ABS(H30)*Assumptions!H34</f>
        <v/>
      </c>
      <c r="I31" s="8">
        <f>-ABS(I30)*Assumptions!I34</f>
        <v/>
      </c>
      <c r="J31" s="8">
        <f>-ABS(J30)*Assumptions!J34</f>
        <v/>
      </c>
      <c r="K31" s="8">
        <f>-ABS(K30)*Assumptions!K34</f>
        <v/>
      </c>
    </row>
    <row r="32">
      <c r="A32" s="2" t="inlineStr">
        <is>
          <t>Net Income</t>
        </is>
      </c>
      <c r="C32" s="8">
        <f>C30+C31</f>
        <v/>
      </c>
      <c r="D32" s="8">
        <f>D30+D31</f>
        <v/>
      </c>
      <c r="E32" s="8">
        <f>E30+E31</f>
        <v/>
      </c>
      <c r="F32" s="8">
        <f>F30+F31</f>
        <v/>
      </c>
      <c r="G32" s="8">
        <f>G30+G31</f>
        <v/>
      </c>
      <c r="H32" s="8">
        <f>H30+H31</f>
        <v/>
      </c>
      <c r="I32" s="8">
        <f>I30+I31</f>
        <v/>
      </c>
      <c r="J32" s="8">
        <f>J30+J31</f>
        <v/>
      </c>
      <c r="K32" s="8">
        <f>K30+K31</f>
        <v/>
      </c>
    </row>
    <row r="33">
      <c r="A33" s="4" t="inlineStr">
        <is>
          <t xml:space="preserve">  Net Margin %</t>
        </is>
      </c>
      <c r="C33" s="7">
        <f>IFERROR(C32/C15,"-")</f>
        <v/>
      </c>
      <c r="D33" s="7">
        <f>IFERROR(D32/D15,"-")</f>
        <v/>
      </c>
      <c r="E33" s="7">
        <f>IFERROR(E32/E15,"-")</f>
        <v/>
      </c>
      <c r="F33" s="7">
        <f>IFERROR(F32/F15,"-")</f>
        <v/>
      </c>
      <c r="G33" s="7">
        <f>IFERROR(G32/G15,"-")</f>
        <v/>
      </c>
      <c r="H33" s="7">
        <f>IFERROR(H32/H15,"-")</f>
        <v/>
      </c>
      <c r="I33" s="7">
        <f>IFERROR(I32/I15,"-")</f>
        <v/>
      </c>
      <c r="J33" s="7">
        <f>IFERROR(J32/J15,"-")</f>
        <v/>
      </c>
      <c r="K33" s="7">
        <f>IFERROR(K32/K15,"-")</f>
        <v/>
      </c>
    </row>
    <row r="36">
      <c r="A36" s="1" t="inlineStr">
        <is>
          <t>Cash Flow</t>
        </is>
      </c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</row>
    <row r="37">
      <c r="A37" s="2" t="inlineStr">
        <is>
          <t>EBITDA</t>
        </is>
      </c>
      <c r="C37" s="8">
        <f>C24</f>
        <v/>
      </c>
      <c r="D37" s="8">
        <f>D24</f>
        <v/>
      </c>
      <c r="E37" s="8">
        <f>E24</f>
        <v/>
      </c>
      <c r="F37" s="8">
        <f>F24</f>
        <v/>
      </c>
      <c r="G37" s="8">
        <f>G24</f>
        <v/>
      </c>
      <c r="H37" s="8">
        <f>H24</f>
        <v/>
      </c>
      <c r="I37" s="8">
        <f>I24</f>
        <v/>
      </c>
      <c r="J37" s="8">
        <f>J24</f>
        <v/>
      </c>
      <c r="K37" s="8">
        <f>K24</f>
        <v/>
      </c>
    </row>
    <row r="38">
      <c r="A38" s="4" t="inlineStr">
        <is>
          <t>(-) Taxes</t>
        </is>
      </c>
      <c r="C38" s="8">
        <f>C31</f>
        <v/>
      </c>
      <c r="D38" s="8">
        <f>D31</f>
        <v/>
      </c>
      <c r="E38" s="8">
        <f>E31</f>
        <v/>
      </c>
      <c r="F38" s="8">
        <f>F31</f>
        <v/>
      </c>
      <c r="G38" s="8">
        <f>G31</f>
        <v/>
      </c>
      <c r="H38" s="8">
        <f>H31</f>
        <v/>
      </c>
      <c r="I38" s="8">
        <f>I31</f>
        <v/>
      </c>
      <c r="J38" s="8">
        <f>J31</f>
        <v/>
      </c>
      <c r="K38" s="8">
        <f>K31</f>
        <v/>
      </c>
    </row>
    <row r="39">
      <c r="A39" s="4" t="inlineStr">
        <is>
          <t>(+/-) Change in Working Capital</t>
        </is>
      </c>
      <c r="C39" s="5" t="n">
        <v>-273</v>
      </c>
      <c r="D39" s="5" t="n">
        <v>56</v>
      </c>
      <c r="E39" s="5" t="n">
        <v>70</v>
      </c>
      <c r="F39" s="5" t="n">
        <v>-231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</row>
    <row r="40">
      <c r="A40" s="2" t="inlineStr">
        <is>
          <t>Operating Cash Flow</t>
        </is>
      </c>
      <c r="C40" s="8">
        <f>C37+C38+C39</f>
        <v/>
      </c>
      <c r="D40" s="8">
        <f>D37+D38+D39</f>
        <v/>
      </c>
      <c r="E40" s="8">
        <f>E37+E38+E39</f>
        <v/>
      </c>
      <c r="F40" s="8">
        <f>F37+F38+F39</f>
        <v/>
      </c>
      <c r="G40" s="8">
        <f>G37+G38+G39</f>
        <v/>
      </c>
      <c r="H40" s="8">
        <f>H37+H38+H39</f>
        <v/>
      </c>
      <c r="I40" s="8">
        <f>I37+I38+I39</f>
        <v/>
      </c>
      <c r="J40" s="8">
        <f>J37+J38+J39</f>
        <v/>
      </c>
      <c r="K40" s="8">
        <f>K37+K38+K39</f>
        <v/>
      </c>
    </row>
    <row r="42">
      <c r="A42" s="4" t="inlineStr">
        <is>
          <t>(-) Capital Expenditure</t>
        </is>
      </c>
      <c r="C42" s="5" t="n">
        <v>-295</v>
      </c>
      <c r="D42" s="5" t="n">
        <v>-280</v>
      </c>
      <c r="E42" s="5" t="n">
        <v>-321</v>
      </c>
      <c r="F42" s="5" t="n">
        <v>-360</v>
      </c>
      <c r="G42" s="8">
        <f>-ABS(G15)*Assumptions!G33</f>
        <v/>
      </c>
      <c r="H42" s="8">
        <f>-ABS(H15)*Assumptions!H33</f>
        <v/>
      </c>
      <c r="I42" s="8">
        <f>-ABS(I15)*Assumptions!I33</f>
        <v/>
      </c>
      <c r="J42" s="8">
        <f>-ABS(J15)*Assumptions!J33</f>
        <v/>
      </c>
      <c r="K42" s="8">
        <f>-ABS(K15)*Assumptions!K33</f>
        <v/>
      </c>
    </row>
    <row r="43">
      <c r="A43" s="2" t="inlineStr">
        <is>
          <t>Unlevered Free Cash Flow (UFCF)</t>
        </is>
      </c>
      <c r="C43" s="8">
        <f>C40+C42</f>
        <v/>
      </c>
      <c r="D43" s="8">
        <f>D40+D42</f>
        <v/>
      </c>
      <c r="E43" s="8">
        <f>E40+E42</f>
        <v/>
      </c>
      <c r="F43" s="8">
        <f>F40+F42</f>
        <v/>
      </c>
      <c r="G43" s="8">
        <f>G40+G42</f>
        <v/>
      </c>
      <c r="H43" s="8">
        <f>H40+H42</f>
        <v/>
      </c>
      <c r="I43" s="8">
        <f>I40+I42</f>
        <v/>
      </c>
      <c r="J43" s="8">
        <f>J40+J42</f>
        <v/>
      </c>
      <c r="K43" s="8">
        <f>K40+K42</f>
        <v/>
      </c>
    </row>
    <row r="200">
      <c r="A200" s="15" t="inlineStr">
        <is>
          <t>__REF_EBITDA_ROW</t>
        </is>
      </c>
      <c r="B200" t="n">
        <v>24</v>
      </c>
    </row>
    <row r="201">
      <c r="A201" s="15" t="inlineStr">
        <is>
          <t>__REF_TAXES_ROW</t>
        </is>
      </c>
      <c r="B201" t="n">
        <v>31</v>
      </c>
    </row>
    <row r="202">
      <c r="A202" s="15" t="inlineStr">
        <is>
          <t>__REF_CAPEX_ROW</t>
        </is>
      </c>
      <c r="B202" t="n">
        <v>42</v>
      </c>
    </row>
    <row r="203">
      <c r="A203" s="15" t="inlineStr">
        <is>
          <t>__REF_UFCF_ROW</t>
        </is>
      </c>
      <c r="B203" t="n">
        <v>43</v>
      </c>
    </row>
    <row r="204">
      <c r="A204" s="15" t="inlineStr">
        <is>
          <t>__REF_WC_ROW</t>
        </is>
      </c>
      <c r="B204" t="n">
        <v>39</v>
      </c>
    </row>
    <row r="205">
      <c r="A205" s="15" t="inlineStr">
        <is>
          <t>__REF_NI_ROW</t>
        </is>
      </c>
      <c r="B205" t="n">
        <v>32</v>
      </c>
    </row>
    <row r="206">
      <c r="A206" s="15" t="inlineStr">
        <is>
          <t>__REF_TOTAL_REV_ROW</t>
        </is>
      </c>
      <c r="B206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73A4F"/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The Magnum Ice Cream Company N.V. (MICC) - DCF Valuation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Scenario:</t>
        </is>
      </c>
      <c r="C2" s="13">
        <f>Assumptions!G2</f>
        <v/>
      </c>
      <c r="E2" s="2" t="inlineStr">
        <is>
          <t>Current Price:</t>
        </is>
      </c>
      <c r="F2" s="16" t="n">
        <v>16.66</v>
      </c>
    </row>
    <row r="4">
      <c r="A4" s="4" t="inlineStr">
        <is>
          <t>Year</t>
        </is>
      </c>
      <c r="G4" s="1" t="n">
        <v>2026</v>
      </c>
      <c r="H4" s="1" t="n">
        <v>2027</v>
      </c>
      <c r="I4" s="1" t="n">
        <v>2028</v>
      </c>
      <c r="J4" s="1" t="n">
        <v>2029</v>
      </c>
      <c r="K4" s="1" t="n">
        <v>2030</v>
      </c>
    </row>
    <row r="5">
      <c r="A5" s="4" t="inlineStr">
        <is>
          <t>Year #</t>
        </is>
      </c>
      <c r="G5" t="n">
        <v>1</v>
      </c>
      <c r="H5" t="n">
        <v>2</v>
      </c>
      <c r="I5" t="n">
        <v>3</v>
      </c>
      <c r="J5" t="n">
        <v>4</v>
      </c>
      <c r="K5" t="n">
        <v>5</v>
      </c>
    </row>
    <row r="7">
      <c r="A7" s="1" t="inlineStr">
        <is>
          <t>DCF Inputs (from Model)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</row>
    <row r="8">
      <c r="A8" s="4" t="inlineStr">
        <is>
          <t>EBITDA ($M)</t>
        </is>
      </c>
      <c r="G8" s="8">
        <f>INDIRECT("Model!"&amp;"G"&amp;Model!B200)</f>
        <v/>
      </c>
      <c r="H8" s="8">
        <f>INDIRECT("Model!"&amp;"H"&amp;Model!B200)</f>
        <v/>
      </c>
      <c r="I8" s="8">
        <f>INDIRECT("Model!"&amp;"I"&amp;Model!B200)</f>
        <v/>
      </c>
      <c r="J8" s="8">
        <f>INDIRECT("Model!"&amp;"J"&amp;Model!B200)</f>
        <v/>
      </c>
      <c r="K8" s="8">
        <f>INDIRECT("Model!"&amp;"K"&amp;Model!B200)</f>
        <v/>
      </c>
    </row>
    <row r="9">
      <c r="A9" s="4" t="inlineStr">
        <is>
          <t>(-) Taxes ($M)</t>
        </is>
      </c>
      <c r="G9" s="8">
        <f>INDIRECT("Model!"&amp;"G"&amp;Model!B201)</f>
        <v/>
      </c>
      <c r="H9" s="8">
        <f>INDIRECT("Model!"&amp;"H"&amp;Model!B201)</f>
        <v/>
      </c>
      <c r="I9" s="8">
        <f>INDIRECT("Model!"&amp;"I"&amp;Model!B201)</f>
        <v/>
      </c>
      <c r="J9" s="8">
        <f>INDIRECT("Model!"&amp;"J"&amp;Model!B201)</f>
        <v/>
      </c>
      <c r="K9" s="8">
        <f>INDIRECT("Model!"&amp;"K"&amp;Model!B201)</f>
        <v/>
      </c>
    </row>
    <row r="10">
      <c r="A10" s="4" t="inlineStr">
        <is>
          <t>(+/-) Change in WC ($M)</t>
        </is>
      </c>
      <c r="G10" s="8">
        <f>INDIRECT("Model!"&amp;"G"&amp;Model!B204)</f>
        <v/>
      </c>
      <c r="H10" s="8">
        <f>INDIRECT("Model!"&amp;"H"&amp;Model!B204)</f>
        <v/>
      </c>
      <c r="I10" s="8">
        <f>INDIRECT("Model!"&amp;"I"&amp;Model!B204)</f>
        <v/>
      </c>
      <c r="J10" s="8">
        <f>INDIRECT("Model!"&amp;"J"&amp;Model!B204)</f>
        <v/>
      </c>
      <c r="K10" s="8">
        <f>INDIRECT("Model!"&amp;"K"&amp;Model!B204)</f>
        <v/>
      </c>
    </row>
    <row r="11">
      <c r="A11" s="4" t="inlineStr">
        <is>
          <t>(-) CapEx ($M)</t>
        </is>
      </c>
      <c r="G11" s="8">
        <f>INDIRECT("Model!"&amp;"G"&amp;Model!B202)</f>
        <v/>
      </c>
      <c r="H11" s="8">
        <f>INDIRECT("Model!"&amp;"H"&amp;Model!B202)</f>
        <v/>
      </c>
      <c r="I11" s="8">
        <f>INDIRECT("Model!"&amp;"I"&amp;Model!B202)</f>
        <v/>
      </c>
      <c r="J11" s="8">
        <f>INDIRECT("Model!"&amp;"J"&amp;Model!B202)</f>
        <v/>
      </c>
      <c r="K11" s="8">
        <f>INDIRECT("Model!"&amp;"K"&amp;Model!B202)</f>
        <v/>
      </c>
    </row>
    <row r="12">
      <c r="A12" s="2" t="inlineStr">
        <is>
          <t>Unlevered Free Cash Flow ($M)</t>
        </is>
      </c>
      <c r="G12" s="8">
        <f>G8+G9+G10+G11</f>
        <v/>
      </c>
      <c r="H12" s="8">
        <f>H8+H9+H10+H11</f>
        <v/>
      </c>
      <c r="I12" s="8">
        <f>I8+I9+I10+I11</f>
        <v/>
      </c>
      <c r="J12" s="8">
        <f>J8+J9+J10+J11</f>
        <v/>
      </c>
      <c r="K12" s="8">
        <f>K8+K9+K10+K11</f>
        <v/>
      </c>
    </row>
    <row r="14">
      <c r="A14" s="1" t="inlineStr">
        <is>
          <t>Discounted Cash Flow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4" t="inlineStr">
        <is>
          <t>WACC</t>
        </is>
      </c>
      <c r="C15" s="7">
        <f>Assumptions!C42</f>
        <v/>
      </c>
    </row>
    <row r="16">
      <c r="A16" s="4" t="inlineStr">
        <is>
          <t>Terminal Value Multiple</t>
        </is>
      </c>
      <c r="C16" s="10">
        <f>Assumptions!C48</f>
        <v/>
      </c>
    </row>
    <row r="18">
      <c r="A18" s="4" t="inlineStr">
        <is>
          <t>Discount Factor</t>
        </is>
      </c>
      <c r="G18" s="17">
        <f>1/(1+$C$15)^1</f>
        <v/>
      </c>
      <c r="H18" s="17">
        <f>1/(1+$C$15)^2</f>
        <v/>
      </c>
      <c r="I18" s="17">
        <f>1/(1+$C$15)^3</f>
        <v/>
      </c>
      <c r="J18" s="17">
        <f>1/(1+$C$15)^4</f>
        <v/>
      </c>
      <c r="K18" s="17">
        <f>1/(1+$C$15)^5</f>
        <v/>
      </c>
    </row>
    <row r="19">
      <c r="A19" s="4" t="inlineStr">
        <is>
          <t>PV of UFCF ($M)</t>
        </is>
      </c>
      <c r="G19" s="8">
        <f>G12*G18</f>
        <v/>
      </c>
      <c r="H19" s="8">
        <f>H12*H18</f>
        <v/>
      </c>
      <c r="I19" s="8">
        <f>I12*I18</f>
        <v/>
      </c>
      <c r="J19" s="8">
        <f>J12*J18</f>
        <v/>
      </c>
      <c r="K19" s="8">
        <f>K12*K18</f>
        <v/>
      </c>
    </row>
    <row r="21">
      <c r="A21" s="2" t="inlineStr">
        <is>
          <t>Terminal Value ($M)</t>
        </is>
      </c>
      <c r="K21" s="8">
        <f>K8*$C$16</f>
        <v/>
      </c>
    </row>
    <row r="22">
      <c r="A22" s="4" t="inlineStr">
        <is>
          <t>PV of Terminal Value ($M)</t>
        </is>
      </c>
      <c r="K22" s="8">
        <f>K21*K18</f>
        <v/>
      </c>
    </row>
    <row r="24">
      <c r="A24" s="1" t="inlineStr">
        <is>
          <t>Valuation Summary</t>
        </is>
      </c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</row>
    <row r="25">
      <c r="A25" s="4" t="inlineStr">
        <is>
          <t>Sum of PV of UFCF ($M)</t>
        </is>
      </c>
      <c r="C25" s="8">
        <f>SUM(G19:K19)</f>
        <v/>
      </c>
    </row>
    <row r="26">
      <c r="A26" s="4" t="inlineStr">
        <is>
          <t>PV of Terminal Value ($M)</t>
        </is>
      </c>
      <c r="C26" s="8">
        <f>K22</f>
        <v/>
      </c>
    </row>
    <row r="27">
      <c r="A27" s="2" t="inlineStr">
        <is>
          <t>Enterprise Value ($M)</t>
        </is>
      </c>
      <c r="C27" s="8">
        <f>C25+C26</f>
        <v/>
      </c>
    </row>
    <row r="29">
      <c r="A29" s="4" t="inlineStr">
        <is>
          <t>(-) Net Debt ($M)</t>
        </is>
      </c>
      <c r="C29" s="18" t="n">
        <v>-2814</v>
      </c>
    </row>
    <row r="30">
      <c r="A30" s="2" t="inlineStr">
        <is>
          <t>Equity Value ($M)</t>
        </is>
      </c>
      <c r="C30" s="8">
        <f>C27+C29</f>
        <v/>
      </c>
    </row>
    <row r="32">
      <c r="A32" s="4" t="inlineStr">
        <is>
          <t>Shares Outstanding (M)</t>
        </is>
      </c>
      <c r="C32" s="18" t="n">
        <v>612.259739</v>
      </c>
    </row>
    <row r="33">
      <c r="A33" s="2" t="inlineStr">
        <is>
          <t>Equity Value per Share ($)</t>
        </is>
      </c>
      <c r="C33" s="19">
        <f>C30/C32</f>
        <v/>
      </c>
    </row>
    <row r="34">
      <c r="A34" s="2" t="inlineStr">
        <is>
          <t>Upside / Downside vs Current</t>
        </is>
      </c>
      <c r="C34" s="20">
        <f>C33/16.66-1</f>
        <v/>
      </c>
    </row>
    <row r="37">
      <c r="A37" s="1" t="inlineStr">
        <is>
          <t>Sensitivity Analysis: WACC vs Terminal Value Multiple</t>
        </is>
      </c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</row>
    <row r="38">
      <c r="A38" s="4" t="inlineStr">
        <is>
          <t>WACC \ TV Multiple</t>
        </is>
      </c>
      <c r="C38" s="1" t="inlineStr">
        <is>
          <t>7x</t>
        </is>
      </c>
      <c r="D38" s="1" t="inlineStr">
        <is>
          <t>9x</t>
        </is>
      </c>
      <c r="E38" s="1" t="inlineStr">
        <is>
          <t>11x</t>
        </is>
      </c>
      <c r="F38" s="1" t="inlineStr">
        <is>
          <t>13x</t>
        </is>
      </c>
      <c r="G38" s="1" t="inlineStr">
        <is>
          <t>15x</t>
        </is>
      </c>
    </row>
    <row r="39">
      <c r="A39" s="21" t="n">
        <v>0.065</v>
      </c>
      <c r="C39" s="22">
        <f>(G$12/(1+$A$39)^1+H$12/(1+$A$39)^2+I$12/(1+$A$39)^3+J$12/(1+$A$39)^4+K$12/(1+$A$39)^5+K$8*7/(1+$A$39)^5+$C$29)/$C$32</f>
        <v/>
      </c>
      <c r="D39" s="22">
        <f>(G$12/(1+$A$39)^1+H$12/(1+$A$39)^2+I$12/(1+$A$39)^3+J$12/(1+$A$39)^4+K$12/(1+$A$39)^5+K$8*9/(1+$A$39)^5+$C$29)/$C$32</f>
        <v/>
      </c>
      <c r="E39" s="22">
        <f>(G$12/(1+$A$39)^1+H$12/(1+$A$39)^2+I$12/(1+$A$39)^3+J$12/(1+$A$39)^4+K$12/(1+$A$39)^5+K$8*11/(1+$A$39)^5+$C$29)/$C$32</f>
        <v/>
      </c>
      <c r="F39" s="22">
        <f>(G$12/(1+$A$39)^1+H$12/(1+$A$39)^2+I$12/(1+$A$39)^3+J$12/(1+$A$39)^4+K$12/(1+$A$39)^5+K$8*13/(1+$A$39)^5+$C$29)/$C$32</f>
        <v/>
      </c>
      <c r="G39" s="22">
        <f>(G$12/(1+$A$39)^1+H$12/(1+$A$39)^2+I$12/(1+$A$39)^3+J$12/(1+$A$39)^4+K$12/(1+$A$39)^5+K$8*15/(1+$A$39)^5+$C$29)/$C$32</f>
        <v/>
      </c>
    </row>
    <row r="40">
      <c r="A40" s="21" t="n">
        <v>0.075</v>
      </c>
      <c r="C40" s="22">
        <f>(G$12/(1+$A$40)^1+H$12/(1+$A$40)^2+I$12/(1+$A$40)^3+J$12/(1+$A$40)^4+K$12/(1+$A$40)^5+K$8*7/(1+$A$40)^5+$C$29)/$C$32</f>
        <v/>
      </c>
      <c r="D40" s="22">
        <f>(G$12/(1+$A$40)^1+H$12/(1+$A$40)^2+I$12/(1+$A$40)^3+J$12/(1+$A$40)^4+K$12/(1+$A$40)^5+K$8*9/(1+$A$40)^5+$C$29)/$C$32</f>
        <v/>
      </c>
      <c r="E40" s="22">
        <f>(G$12/(1+$A$40)^1+H$12/(1+$A$40)^2+I$12/(1+$A$40)^3+J$12/(1+$A$40)^4+K$12/(1+$A$40)^5+K$8*11/(1+$A$40)^5+$C$29)/$C$32</f>
        <v/>
      </c>
      <c r="F40" s="22">
        <f>(G$12/(1+$A$40)^1+H$12/(1+$A$40)^2+I$12/(1+$A$40)^3+J$12/(1+$A$40)^4+K$12/(1+$A$40)^5+K$8*13/(1+$A$40)^5+$C$29)/$C$32</f>
        <v/>
      </c>
      <c r="G40" s="22">
        <f>(G$12/(1+$A$40)^1+H$12/(1+$A$40)^2+I$12/(1+$A$40)^3+J$12/(1+$A$40)^4+K$12/(1+$A$40)^5+K$8*15/(1+$A$40)^5+$C$29)/$C$32</f>
        <v/>
      </c>
    </row>
    <row r="41">
      <c r="A41" s="21" t="n">
        <v>0.08500000000000001</v>
      </c>
      <c r="C41" s="22">
        <f>(G$12/(1+$A$41)^1+H$12/(1+$A$41)^2+I$12/(1+$A$41)^3+J$12/(1+$A$41)^4+K$12/(1+$A$41)^5+K$8*7/(1+$A$41)^5+$C$29)/$C$32</f>
        <v/>
      </c>
      <c r="D41" s="22">
        <f>(G$12/(1+$A$41)^1+H$12/(1+$A$41)^2+I$12/(1+$A$41)^3+J$12/(1+$A$41)^4+K$12/(1+$A$41)^5+K$8*9/(1+$A$41)^5+$C$29)/$C$32</f>
        <v/>
      </c>
      <c r="E41" s="22">
        <f>(G$12/(1+$A$41)^1+H$12/(1+$A$41)^2+I$12/(1+$A$41)^3+J$12/(1+$A$41)^4+K$12/(1+$A$41)^5+K$8*11/(1+$A$41)^5+$C$29)/$C$32</f>
        <v/>
      </c>
      <c r="F41" s="22">
        <f>(G$12/(1+$A$41)^1+H$12/(1+$A$41)^2+I$12/(1+$A$41)^3+J$12/(1+$A$41)^4+K$12/(1+$A$41)^5+K$8*13/(1+$A$41)^5+$C$29)/$C$32</f>
        <v/>
      </c>
      <c r="G41" s="22">
        <f>(G$12/(1+$A$41)^1+H$12/(1+$A$41)^2+I$12/(1+$A$41)^3+J$12/(1+$A$41)^4+K$12/(1+$A$41)^5+K$8*15/(1+$A$41)^5+$C$29)/$C$32</f>
        <v/>
      </c>
    </row>
    <row r="42">
      <c r="A42" s="21" t="n">
        <v>0.095</v>
      </c>
      <c r="C42" s="22">
        <f>(G$12/(1+$A$42)^1+H$12/(1+$A$42)^2+I$12/(1+$A$42)^3+J$12/(1+$A$42)^4+K$12/(1+$A$42)^5+K$8*7/(1+$A$42)^5+$C$29)/$C$32</f>
        <v/>
      </c>
      <c r="D42" s="22">
        <f>(G$12/(1+$A$42)^1+H$12/(1+$A$42)^2+I$12/(1+$A$42)^3+J$12/(1+$A$42)^4+K$12/(1+$A$42)^5+K$8*9/(1+$A$42)^5+$C$29)/$C$32</f>
        <v/>
      </c>
      <c r="E42" s="23">
        <f>(G$12/(1+$A$42)^1+H$12/(1+$A$42)^2+I$12/(1+$A$42)^3+J$12/(1+$A$42)^4+K$12/(1+$A$42)^5+K$8*11/(1+$A$42)^5+$C$29)/$C$32</f>
        <v/>
      </c>
      <c r="F42" s="22">
        <f>(G$12/(1+$A$42)^1+H$12/(1+$A$42)^2+I$12/(1+$A$42)^3+J$12/(1+$A$42)^4+K$12/(1+$A$42)^5+K$8*13/(1+$A$42)^5+$C$29)/$C$32</f>
        <v/>
      </c>
      <c r="G42" s="22">
        <f>(G$12/(1+$A$42)^1+H$12/(1+$A$42)^2+I$12/(1+$A$42)^3+J$12/(1+$A$42)^4+K$12/(1+$A$42)^5+K$8*15/(1+$A$42)^5+$C$29)/$C$32</f>
        <v/>
      </c>
    </row>
    <row r="43">
      <c r="A43" s="21" t="n">
        <v>0.105</v>
      </c>
      <c r="C43" s="22">
        <f>(G$12/(1+$A$43)^1+H$12/(1+$A$43)^2+I$12/(1+$A$43)^3+J$12/(1+$A$43)^4+K$12/(1+$A$43)^5+K$8*7/(1+$A$43)^5+$C$29)/$C$32</f>
        <v/>
      </c>
      <c r="D43" s="22">
        <f>(G$12/(1+$A$43)^1+H$12/(1+$A$43)^2+I$12/(1+$A$43)^3+J$12/(1+$A$43)^4+K$12/(1+$A$43)^5+K$8*9/(1+$A$43)^5+$C$29)/$C$32</f>
        <v/>
      </c>
      <c r="E43" s="22">
        <f>(G$12/(1+$A$43)^1+H$12/(1+$A$43)^2+I$12/(1+$A$43)^3+J$12/(1+$A$43)^4+K$12/(1+$A$43)^5+K$8*11/(1+$A$43)^5+$C$29)/$C$32</f>
        <v/>
      </c>
      <c r="F43" s="22">
        <f>(G$12/(1+$A$43)^1+H$12/(1+$A$43)^2+I$12/(1+$A$43)^3+J$12/(1+$A$43)^4+K$12/(1+$A$43)^5+K$8*13/(1+$A$43)^5+$C$29)/$C$32</f>
        <v/>
      </c>
      <c r="G43" s="22">
        <f>(G$12/(1+$A$43)^1+H$12/(1+$A$43)^2+I$12/(1+$A$43)^3+J$12/(1+$A$43)^4+K$12/(1+$A$43)^5+K$8*15/(1+$A$43)^5+$C$29)/$C$32</f>
        <v/>
      </c>
    </row>
    <row r="44">
      <c r="A44" s="21" t="n">
        <v>0.115</v>
      </c>
      <c r="C44" s="22">
        <f>(G$12/(1+$A$44)^1+H$12/(1+$A$44)^2+I$12/(1+$A$44)^3+J$12/(1+$A$44)^4+K$12/(1+$A$44)^5+K$8*7/(1+$A$44)^5+$C$29)/$C$32</f>
        <v/>
      </c>
      <c r="D44" s="22">
        <f>(G$12/(1+$A$44)^1+H$12/(1+$A$44)^2+I$12/(1+$A$44)^3+J$12/(1+$A$44)^4+K$12/(1+$A$44)^5+K$8*9/(1+$A$44)^5+$C$29)/$C$32</f>
        <v/>
      </c>
      <c r="E44" s="22">
        <f>(G$12/(1+$A$44)^1+H$12/(1+$A$44)^2+I$12/(1+$A$44)^3+J$12/(1+$A$44)^4+K$12/(1+$A$44)^5+K$8*11/(1+$A$44)^5+$C$29)/$C$32</f>
        <v/>
      </c>
      <c r="F44" s="22">
        <f>(G$12/(1+$A$44)^1+H$12/(1+$A$44)^2+I$12/(1+$A$44)^3+J$12/(1+$A$44)^4+K$12/(1+$A$44)^5+K$8*13/(1+$A$44)^5+$C$29)/$C$32</f>
        <v/>
      </c>
      <c r="G44" s="22">
        <f>(G$12/(1+$A$44)^1+H$12/(1+$A$44)^2+I$12/(1+$A$44)^3+J$12/(1+$A$44)^4+K$12/(1+$A$44)^5+K$8*15/(1+$A$44)^5+$C$29)/$C$32</f>
        <v/>
      </c>
    </row>
    <row r="45">
      <c r="A45" s="21" t="n">
        <v>0.125</v>
      </c>
      <c r="C45" s="22">
        <f>(G$12/(1+$A$45)^1+H$12/(1+$A$45)^2+I$12/(1+$A$45)^3+J$12/(1+$A$45)^4+K$12/(1+$A$45)^5+K$8*7/(1+$A$45)^5+$C$29)/$C$32</f>
        <v/>
      </c>
      <c r="D45" s="22">
        <f>(G$12/(1+$A$45)^1+H$12/(1+$A$45)^2+I$12/(1+$A$45)^3+J$12/(1+$A$45)^4+K$12/(1+$A$45)^5+K$8*9/(1+$A$45)^5+$C$29)/$C$32</f>
        <v/>
      </c>
      <c r="E45" s="22">
        <f>(G$12/(1+$A$45)^1+H$12/(1+$A$45)^2+I$12/(1+$A$45)^3+J$12/(1+$A$45)^4+K$12/(1+$A$45)^5+K$8*11/(1+$A$45)^5+$C$29)/$C$32</f>
        <v/>
      </c>
      <c r="F45" s="22">
        <f>(G$12/(1+$A$45)^1+H$12/(1+$A$45)^2+I$12/(1+$A$45)^3+J$12/(1+$A$45)^4+K$12/(1+$A$45)^5+K$8*13/(1+$A$45)^5+$C$29)/$C$32</f>
        <v/>
      </c>
      <c r="G45" s="22">
        <f>(G$12/(1+$A$45)^1+H$12/(1+$A$45)^2+I$12/(1+$A$45)^3+J$12/(1+$A$45)^4+K$12/(1+$A$45)^5+K$8*15/(1+$A$45)^5+$C$29)/$C$32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2026-05-17T17:27:26Z</dcterms:created>
  <dcterms:modified xmlns:dcterms="http://purl.org/dc/terms/" xmlns:xsi="http://www.w3.org/2001/XMLSchema-instance" xsi:type="dcterms:W3CDTF">2026-05-17T17:27:26Z</dcterms:modified>
</cp:coreProperties>
</file>