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Puig Brands SA (PUIG.MC)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Household &amp; Personal Products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3619.603</v>
      </c>
      <c r="D7" s="5" t="n">
        <v>4304.067</v>
      </c>
      <c r="E7" s="5" t="n">
        <v>4789.779</v>
      </c>
      <c r="F7" s="5" t="n">
        <v>5042.026</v>
      </c>
    </row>
    <row r="8">
      <c r="A8" s="4" t="inlineStr">
        <is>
          <t xml:space="preserve">  Revenue Growth - Base</t>
        </is>
      </c>
      <c r="G8" s="6" t="n">
        <v>0.04</v>
      </c>
      <c r="H8" s="6" t="n">
        <v>0.05</v>
      </c>
      <c r="I8" s="6" t="n">
        <v>0.06</v>
      </c>
      <c r="J8" s="6" t="n">
        <v>0.05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0.07000000000000001</v>
      </c>
      <c r="H9" s="6" t="n">
        <v>0.08</v>
      </c>
      <c r="I9" s="6" t="n">
        <v>0.07000000000000001</v>
      </c>
      <c r="J9" s="6" t="n">
        <v>0.06</v>
      </c>
      <c r="K9" s="6" t="n">
        <v>0.06</v>
      </c>
    </row>
    <row r="10">
      <c r="A10" s="4" t="inlineStr">
        <is>
          <t xml:space="preserve">  Revenue Growth - Bear</t>
        </is>
      </c>
      <c r="G10" s="6" t="n">
        <v>0.01</v>
      </c>
      <c r="H10" s="6" t="n">
        <v>0.02</v>
      </c>
      <c r="I10" s="6" t="n">
        <v>0.03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0.751</v>
      </c>
      <c r="H15" s="6" t="n">
        <v>0.751</v>
      </c>
      <c r="I15" s="6" t="n">
        <v>0.751</v>
      </c>
      <c r="J15" s="6" t="n">
        <v>0.751</v>
      </c>
      <c r="K15" s="6" t="n">
        <v>0.751</v>
      </c>
    </row>
    <row r="16">
      <c r="A16" s="4" t="inlineStr">
        <is>
          <t>Gross Margin - Bull</t>
        </is>
      </c>
      <c r="G16" s="6" t="n">
        <v>0.755</v>
      </c>
      <c r="H16" s="6" t="n">
        <v>0.755</v>
      </c>
      <c r="I16" s="6" t="n">
        <v>0.755</v>
      </c>
      <c r="J16" s="6" t="n">
        <v>0.755</v>
      </c>
      <c r="K16" s="6" t="n">
        <v>0.755</v>
      </c>
    </row>
    <row r="17">
      <c r="A17" s="4" t="inlineStr">
        <is>
          <t>Gross Margin - Bear</t>
        </is>
      </c>
      <c r="G17" s="6" t="n">
        <v>0.745</v>
      </c>
      <c r="H17" s="6" t="n">
        <v>0.745</v>
      </c>
      <c r="I17" s="6" t="n">
        <v>0.745</v>
      </c>
      <c r="J17" s="6" t="n">
        <v>0.745</v>
      </c>
      <c r="K17" s="6" t="n">
        <v>0.745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0.585</v>
      </c>
      <c r="H20" s="6" t="n">
        <v>0.585</v>
      </c>
      <c r="I20" s="6" t="n">
        <v>0.585</v>
      </c>
      <c r="J20" s="6" t="n">
        <v>0.585</v>
      </c>
      <c r="K20" s="6" t="n">
        <v>0.585</v>
      </c>
    </row>
    <row r="21">
      <c r="A21" s="4" t="inlineStr">
        <is>
          <t>SG&amp;A % Revenue - Bull</t>
        </is>
      </c>
      <c r="G21" s="6" t="n">
        <v>0.57</v>
      </c>
      <c r="H21" s="6" t="n">
        <v>0.57</v>
      </c>
      <c r="I21" s="6" t="n">
        <v>0.57</v>
      </c>
      <c r="J21" s="6" t="n">
        <v>0.57</v>
      </c>
      <c r="K21" s="6" t="n">
        <v>0.57</v>
      </c>
    </row>
    <row r="22">
      <c r="A22" s="4" t="inlineStr">
        <is>
          <t>SG&amp;A % Revenue - Bear</t>
        </is>
      </c>
      <c r="G22" s="6" t="n">
        <v>0.595</v>
      </c>
      <c r="H22" s="6" t="n">
        <v>0.595</v>
      </c>
      <c r="I22" s="6" t="n">
        <v>0.595</v>
      </c>
      <c r="J22" s="6" t="n">
        <v>0.595</v>
      </c>
      <c r="K22" s="6" t="n">
        <v>0.595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0.043</v>
      </c>
      <c r="H30" s="6" t="n">
        <v>0.043</v>
      </c>
      <c r="I30" s="6" t="n">
        <v>0.043</v>
      </c>
      <c r="J30" s="6" t="n">
        <v>0.043</v>
      </c>
      <c r="K30" s="6" t="n">
        <v>0.043</v>
      </c>
    </row>
    <row r="31">
      <c r="A31" s="4" t="inlineStr">
        <is>
          <t>CapEx % Revenue</t>
        </is>
      </c>
      <c r="G31" s="6" t="n">
        <v>0.041</v>
      </c>
      <c r="H31" s="6" t="n">
        <v>0.041</v>
      </c>
      <c r="I31" s="6" t="n">
        <v>0.041</v>
      </c>
      <c r="J31" s="6" t="n">
        <v>0.041</v>
      </c>
      <c r="K31" s="6" t="n">
        <v>0.041</v>
      </c>
    </row>
    <row r="32">
      <c r="A32" s="4" t="inlineStr">
        <is>
          <t>Tax Rate</t>
        </is>
      </c>
      <c r="G32" s="6" t="n">
        <v>0.22</v>
      </c>
      <c r="H32" s="6" t="n">
        <v>0.22</v>
      </c>
      <c r="I32" s="6" t="n">
        <v>0.22</v>
      </c>
      <c r="J32" s="6" t="n">
        <v>0.22</v>
      </c>
      <c r="K32" s="6" t="n">
        <v>0.22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0.08500000000000001</v>
      </c>
    </row>
    <row r="36">
      <c r="A36" s="4" t="inlineStr">
        <is>
          <t>WACC - Bull</t>
        </is>
      </c>
      <c r="C36" s="6" t="n">
        <v>0.075</v>
      </c>
    </row>
    <row r="37">
      <c r="A37" s="4" t="inlineStr">
        <is>
          <t>WACC - Bear</t>
        </is>
      </c>
      <c r="C37" s="6" t="n">
        <v>0.095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11</v>
      </c>
    </row>
    <row r="41">
      <c r="A41" s="4" t="inlineStr">
        <is>
          <t>Terminal Value Multiple - Bull</t>
        </is>
      </c>
      <c r="C41" s="9" t="n">
        <v>13</v>
      </c>
    </row>
    <row r="42">
      <c r="A42" s="4" t="inlineStr">
        <is>
          <t>Terminal Value Multiple - Bear</t>
        </is>
      </c>
      <c r="C42" s="9" t="n">
        <v>8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Puig Brands SA (PUIG.MC)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3619.603</v>
      </c>
      <c r="D6" s="5" t="n">
        <v>4304.067</v>
      </c>
      <c r="E6" s="5" t="n">
        <v>4789.779</v>
      </c>
      <c r="F6" s="5" t="n">
        <v>5042.026</v>
      </c>
    </row>
    <row r="7">
      <c r="A7" s="4" t="inlineStr">
        <is>
          <t>Cost of Revenue</t>
        </is>
      </c>
      <c r="C7" s="5" t="n">
        <v>926.9690000000001</v>
      </c>
      <c r="D7" s="5" t="n">
        <v>1088.904</v>
      </c>
      <c r="E7" s="5" t="n">
        <v>1201.679</v>
      </c>
      <c r="F7" s="5" t="n">
        <v>1255.132</v>
      </c>
    </row>
    <row r="8">
      <c r="A8" s="2" t="inlineStr">
        <is>
          <t>Gross Profit</t>
        </is>
      </c>
      <c r="C8" s="5" t="n">
        <v>2692.634</v>
      </c>
      <c r="D8" s="5" t="n">
        <v>3215.163</v>
      </c>
      <c r="E8" s="5" t="n">
        <v>3588.1</v>
      </c>
      <c r="F8" s="5" t="n">
        <v>3786.894</v>
      </c>
    </row>
    <row r="9">
      <c r="A9" s="4" t="inlineStr">
        <is>
          <t xml:space="preserve">  Gross Margin</t>
        </is>
      </c>
      <c r="C9" s="11" t="n">
        <v>0.7439031297078713</v>
      </c>
      <c r="D9" s="11" t="n">
        <v>0.7470057970751849</v>
      </c>
      <c r="E9" s="11" t="n">
        <v>0.7491159821778833</v>
      </c>
      <c r="F9" s="11" t="n">
        <v>0.7510659405564351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2156.139</v>
      </c>
      <c r="D12" s="5" t="n">
        <v>2522.193</v>
      </c>
      <c r="E12" s="5" t="n">
        <v>2829.386</v>
      </c>
      <c r="F12" s="5" t="n">
        <v>0</v>
      </c>
    </row>
    <row r="13">
      <c r="A13" s="2" t="inlineStr">
        <is>
          <t>Operating Income (EBIT)</t>
        </is>
      </c>
      <c r="C13" s="5" t="n">
        <v>536.495</v>
      </c>
      <c r="D13" s="5" t="n">
        <v>688.513</v>
      </c>
      <c r="E13" s="5" t="n">
        <v>612.088</v>
      </c>
      <c r="F13" s="5" t="n">
        <v>834.462</v>
      </c>
    </row>
    <row r="14">
      <c r="A14" s="4" t="inlineStr">
        <is>
          <t xml:space="preserve">  EBIT Margin</t>
        </is>
      </c>
      <c r="C14" s="11" t="n">
        <v>0.1482192936628685</v>
      </c>
      <c r="D14" s="11" t="n">
        <v>0.1599680023568406</v>
      </c>
      <c r="E14" s="11" t="n">
        <v>0.1277904471166624</v>
      </c>
      <c r="F14" s="11" t="n">
        <v>0.1655013282359115</v>
      </c>
    </row>
    <row r="16">
      <c r="A16" s="4" t="inlineStr">
        <is>
          <t>Interest Expense</t>
        </is>
      </c>
      <c r="C16" s="5" t="n">
        <v>32.992</v>
      </c>
      <c r="D16" s="5" t="n">
        <v>59.462</v>
      </c>
      <c r="E16" s="5" t="n">
        <v>76.807</v>
      </c>
      <c r="F16" s="5" t="n">
        <v>61.69</v>
      </c>
    </row>
    <row r="17">
      <c r="A17" s="4" t="inlineStr">
        <is>
          <t>Tax Provision</t>
        </is>
      </c>
      <c r="C17" s="5" t="n">
        <v>101.201</v>
      </c>
      <c r="D17" s="5" t="n">
        <v>143.262</v>
      </c>
      <c r="E17" s="5" t="n">
        <v>149.973</v>
      </c>
      <c r="F17" s="5" t="n">
        <v>202.702</v>
      </c>
    </row>
    <row r="18">
      <c r="A18" s="2" t="inlineStr">
        <is>
          <t>Net Income</t>
        </is>
      </c>
      <c r="C18" s="5" t="n">
        <v>399.49</v>
      </c>
      <c r="D18" s="5" t="n">
        <v>465.209</v>
      </c>
      <c r="E18" s="5" t="n">
        <v>530.649</v>
      </c>
      <c r="F18" s="5" t="n">
        <v>593.696</v>
      </c>
    </row>
    <row r="19">
      <c r="A19" s="4" t="inlineStr">
        <is>
          <t xml:space="preserve">  Net Margin</t>
        </is>
      </c>
      <c r="C19" s="11" t="n">
        <v>0.1103684575352601</v>
      </c>
      <c r="D19" s="11" t="n">
        <v>0.1080859103726777</v>
      </c>
      <c r="E19" s="11" t="n">
        <v>0.110787783736995</v>
      </c>
      <c r="F19" s="11" t="n">
        <v>0.117749491970093</v>
      </c>
    </row>
    <row r="21">
      <c r="A21" s="2" t="inlineStr">
        <is>
          <t>EBITDA</t>
        </is>
      </c>
      <c r="C21" s="5" t="n">
        <v>691.669</v>
      </c>
      <c r="D21" s="5" t="n">
        <v>876.691</v>
      </c>
      <c r="E21" s="5" t="n">
        <v>979.808</v>
      </c>
      <c r="F21" s="5" t="n">
        <v>1117.197</v>
      </c>
    </row>
    <row r="22">
      <c r="A22" s="4" t="inlineStr">
        <is>
          <t xml:space="preserve">  EBITDA Margin</t>
        </is>
      </c>
      <c r="C22" s="11" t="n">
        <v>0.1910897410572375</v>
      </c>
      <c r="D22" s="11" t="n">
        <v>0.2036889760312746</v>
      </c>
      <c r="E22" s="11" t="n">
        <v>0.2045622564214341</v>
      </c>
      <c r="F22" s="11" t="n">
        <v>0.2215770009912682</v>
      </c>
    </row>
    <row r="23">
      <c r="A23" s="4" t="inlineStr">
        <is>
          <t>Diluted EPS</t>
        </is>
      </c>
      <c r="C23" s="12" t="n">
        <v>2.184621</v>
      </c>
      <c r="D23" s="12" t="n">
        <v>2.544007</v>
      </c>
      <c r="E23" s="12" t="n">
        <v>0.942036</v>
      </c>
      <c r="F23" s="12" t="n">
        <v>0</v>
      </c>
    </row>
    <row r="24">
      <c r="A24" s="4" t="inlineStr">
        <is>
          <t>D&amp;A</t>
        </is>
      </c>
      <c r="C24" s="5" t="n">
        <v>144.953</v>
      </c>
      <c r="D24" s="5" t="n">
        <v>174.079</v>
      </c>
      <c r="E24" s="5" t="n">
        <v>210.495</v>
      </c>
      <c r="F24" s="5" t="n">
        <v>235.703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710.05</v>
      </c>
      <c r="D28" s="5" t="n">
        <v>852.901</v>
      </c>
      <c r="E28" s="5" t="n">
        <v>882.646</v>
      </c>
      <c r="F28" s="5" t="n">
        <v>1036.392</v>
      </c>
    </row>
    <row r="29">
      <c r="A29" s="4" t="inlineStr">
        <is>
          <t>Current Assets</t>
        </is>
      </c>
      <c r="C29" s="5" t="n">
        <v>1956.378</v>
      </c>
      <c r="D29" s="5" t="n">
        <v>2313.181</v>
      </c>
      <c r="E29" s="5" t="n">
        <v>2453.478</v>
      </c>
      <c r="F29" s="5" t="n">
        <v>2532.83</v>
      </c>
    </row>
    <row r="30">
      <c r="A30" s="4" t="inlineStr">
        <is>
          <t>Net PP&amp;E</t>
        </is>
      </c>
      <c r="C30" s="5" t="n">
        <v>510.967</v>
      </c>
      <c r="D30" s="5" t="n">
        <v>614.263</v>
      </c>
      <c r="E30" s="5" t="n">
        <v>745.432</v>
      </c>
      <c r="F30" s="5" t="n">
        <v>400.038</v>
      </c>
    </row>
    <row r="31">
      <c r="A31" s="4" t="inlineStr">
        <is>
          <t>Goodwill</t>
        </is>
      </c>
      <c r="C31" s="5" t="n">
        <v>1752.059</v>
      </c>
      <c r="D31" s="5" t="n">
        <v>1766.203</v>
      </c>
      <c r="E31" s="5" t="n">
        <v>2114.43</v>
      </c>
      <c r="F31" s="5" t="n">
        <v>0</v>
      </c>
    </row>
    <row r="32">
      <c r="A32" s="2" t="inlineStr">
        <is>
          <t>Total Assets</t>
        </is>
      </c>
      <c r="C32" s="5" t="n">
        <v>7115.112</v>
      </c>
      <c r="D32" s="5" t="n">
        <v>7711.288</v>
      </c>
      <c r="E32" s="5" t="n">
        <v>8603.200000000001</v>
      </c>
      <c r="F32" s="5" t="n">
        <v>8547.614</v>
      </c>
    </row>
    <row r="34">
      <c r="A34" s="4" t="inlineStr">
        <is>
          <t>Current Liabilities</t>
        </is>
      </c>
      <c r="C34" s="5" t="n">
        <v>1194.634</v>
      </c>
      <c r="D34" s="5" t="n">
        <v>1649.886</v>
      </c>
      <c r="E34" s="5" t="n">
        <v>1803.31</v>
      </c>
      <c r="F34" s="5" t="n">
        <v>2253.579</v>
      </c>
    </row>
    <row r="35">
      <c r="A35" s="4" t="inlineStr">
        <is>
          <t>Total Debt</t>
        </is>
      </c>
      <c r="C35" s="5" t="n">
        <v>1883.228</v>
      </c>
      <c r="D35" s="5" t="n">
        <v>2205.291</v>
      </c>
      <c r="E35" s="5" t="n">
        <v>1731.605</v>
      </c>
      <c r="F35" s="5" t="n">
        <v>1352.516</v>
      </c>
    </row>
    <row r="36">
      <c r="A36" s="2" t="inlineStr">
        <is>
          <t>Total Liabilities</t>
        </is>
      </c>
      <c r="C36" s="5" t="n">
        <v>6163.515</v>
      </c>
      <c r="D36" s="5" t="n">
        <v>6752.079</v>
      </c>
      <c r="E36" s="5" t="n">
        <v>5065.516</v>
      </c>
      <c r="F36" s="5" t="n">
        <v>4635.772</v>
      </c>
    </row>
    <row r="38">
      <c r="A38" s="2" t="inlineStr">
        <is>
          <t>Total Equity</t>
        </is>
      </c>
      <c r="C38" s="5" t="n">
        <v>951.597</v>
      </c>
      <c r="D38" s="5" t="n">
        <v>959.2089999999999</v>
      </c>
      <c r="E38" s="5" t="n">
        <v>3537.684</v>
      </c>
      <c r="F38" s="5" t="n">
        <v>3911.842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419.734</v>
      </c>
      <c r="D42" s="5" t="n">
        <v>556.474</v>
      </c>
      <c r="E42" s="5" t="n">
        <v>739.692</v>
      </c>
      <c r="F42" s="5" t="n">
        <v>859.048</v>
      </c>
    </row>
    <row r="43">
      <c r="A43" s="4" t="inlineStr">
        <is>
          <t>Capital Expenditure</t>
        </is>
      </c>
      <c r="C43" s="5" t="n">
        <v>-151.587</v>
      </c>
      <c r="D43" s="5" t="n">
        <v>-177.919</v>
      </c>
      <c r="E43" s="5" t="n">
        <v>-190.919</v>
      </c>
      <c r="F43" s="5" t="n">
        <v>-198.488</v>
      </c>
    </row>
    <row r="44">
      <c r="A44" s="2" t="inlineStr">
        <is>
          <t>Free Cash Flow</t>
        </is>
      </c>
      <c r="C44" s="5" t="n">
        <v>268.147</v>
      </c>
      <c r="D44" s="5" t="n">
        <v>378.555</v>
      </c>
      <c r="E44" s="5" t="n">
        <v>548.773</v>
      </c>
      <c r="F44" s="5" t="n">
        <v>660.5599999999999</v>
      </c>
    </row>
    <row r="46">
      <c r="A46" s="4" t="inlineStr">
        <is>
          <t>D&amp;A</t>
        </is>
      </c>
      <c r="C46" s="5" t="n">
        <v>144.953</v>
      </c>
      <c r="D46" s="5" t="n">
        <v>174.079</v>
      </c>
      <c r="E46" s="5" t="n">
        <v>210.495</v>
      </c>
      <c r="F46" s="5" t="n">
        <v>235.703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-158.424</v>
      </c>
      <c r="D48" s="5" t="n">
        <v>-194.416</v>
      </c>
      <c r="E48" s="5" t="n">
        <v>41.231</v>
      </c>
      <c r="F48" s="5" t="n">
        <v>41.284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Puig Brands SA (PUIG.MC)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Household &amp; Personal Products</t>
        </is>
      </c>
      <c r="C8" s="5" t="n">
        <v>3619.603</v>
      </c>
      <c r="D8" s="5" t="n">
        <v>4304.067</v>
      </c>
      <c r="E8" s="5" t="n">
        <v>4789.779</v>
      </c>
      <c r="F8" s="5" t="n">
        <v>5042.026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926.9690000000001</v>
      </c>
      <c r="D16" s="5" t="n">
        <v>1088.904</v>
      </c>
      <c r="E16" s="5" t="n">
        <v>1201.679</v>
      </c>
      <c r="F16" s="5" t="n">
        <v>1255.132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2156.139</v>
      </c>
      <c r="D20" s="5" t="n">
        <v>2522.193</v>
      </c>
      <c r="E20" s="5" t="n">
        <v>2829.386</v>
      </c>
      <c r="F20" s="5" t="n">
        <v>0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144.953</v>
      </c>
      <c r="D22" s="5" t="n">
        <v>174.079</v>
      </c>
      <c r="E22" s="5" t="n">
        <v>210.495</v>
      </c>
      <c r="F22" s="5" t="n">
        <v>235.703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32.992</v>
      </c>
      <c r="D29" s="5" t="n">
        <v>59.462</v>
      </c>
      <c r="E29" s="5" t="n">
        <v>76.807</v>
      </c>
      <c r="F29" s="5" t="n">
        <v>61.69</v>
      </c>
      <c r="G29" s="5" t="n">
        <v>61.69</v>
      </c>
      <c r="H29" s="5" t="n">
        <v>61.69</v>
      </c>
      <c r="I29" s="5" t="n">
        <v>61.69</v>
      </c>
      <c r="J29" s="5" t="n">
        <v>61.69</v>
      </c>
      <c r="K29" s="5" t="n">
        <v>61.69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101.201</v>
      </c>
      <c r="D31" s="5" t="n">
        <v>143.262</v>
      </c>
      <c r="E31" s="5" t="n">
        <v>149.973</v>
      </c>
      <c r="F31" s="5" t="n">
        <v>202.702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-158.424</v>
      </c>
      <c r="D39" s="5" t="n">
        <v>-194.416</v>
      </c>
      <c r="E39" s="5" t="n">
        <v>41.231</v>
      </c>
      <c r="F39" s="5" t="n">
        <v>41.284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-151.587</v>
      </c>
      <c r="D42" s="5" t="n">
        <v>-177.919</v>
      </c>
      <c r="E42" s="5" t="n">
        <v>-190.919</v>
      </c>
      <c r="F42" s="5" t="n">
        <v>-198.488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Puig Brands SA (PUIG.MC)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15.27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-316.124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169.933011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C33/15.27-1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7x</t>
        </is>
      </c>
      <c r="D38" s="1" t="inlineStr">
        <is>
          <t>9x</t>
        </is>
      </c>
      <c r="E38" s="1" t="inlineStr">
        <is>
          <t>11x</t>
        </is>
      </c>
      <c r="F38" s="1" t="inlineStr">
        <is>
          <t>13x</t>
        </is>
      </c>
      <c r="G38" s="1" t="inlineStr">
        <is>
          <t>15x</t>
        </is>
      </c>
    </row>
    <row r="39">
      <c r="A39" s="21" t="n">
        <v>0.05500000000000001</v>
      </c>
      <c r="C39" s="22">
        <f>(G$12/(1+$A$39)^1+H$12/(1+$A$39)^2+I$12/(1+$A$39)^3+J$12/(1+$A$39)^4+K$12/(1+$A$39)^5+K$8*7/(1+$A$39)^5+$C$29)/$C$32</f>
        <v/>
      </c>
      <c r="D39" s="22">
        <f>(G$12/(1+$A$39)^1+H$12/(1+$A$39)^2+I$12/(1+$A$39)^3+J$12/(1+$A$39)^4+K$12/(1+$A$39)^5+K$8*9/(1+$A$39)^5+$C$29)/$C$32</f>
        <v/>
      </c>
      <c r="E39" s="22">
        <f>(G$12/(1+$A$39)^1+H$12/(1+$A$39)^2+I$12/(1+$A$39)^3+J$12/(1+$A$39)^4+K$12/(1+$A$39)^5+K$8*11/(1+$A$39)^5+$C$29)/$C$32</f>
        <v/>
      </c>
      <c r="F39" s="22">
        <f>(G$12/(1+$A$39)^1+H$12/(1+$A$39)^2+I$12/(1+$A$39)^3+J$12/(1+$A$39)^4+K$12/(1+$A$39)^5+K$8*13/(1+$A$39)^5+$C$29)/$C$32</f>
        <v/>
      </c>
      <c r="G39" s="22">
        <f>(G$12/(1+$A$39)^1+H$12/(1+$A$39)^2+I$12/(1+$A$39)^3+J$12/(1+$A$39)^4+K$12/(1+$A$39)^5+K$8*15/(1+$A$39)^5+$C$29)/$C$32</f>
        <v/>
      </c>
    </row>
    <row r="40">
      <c r="A40" s="21" t="n">
        <v>0.065</v>
      </c>
      <c r="C40" s="22">
        <f>(G$12/(1+$A$40)^1+H$12/(1+$A$40)^2+I$12/(1+$A$40)^3+J$12/(1+$A$40)^4+K$12/(1+$A$40)^5+K$8*7/(1+$A$40)^5+$C$29)/$C$32</f>
        <v/>
      </c>
      <c r="D40" s="22">
        <f>(G$12/(1+$A$40)^1+H$12/(1+$A$40)^2+I$12/(1+$A$40)^3+J$12/(1+$A$40)^4+K$12/(1+$A$40)^5+K$8*9/(1+$A$40)^5+$C$29)/$C$32</f>
        <v/>
      </c>
      <c r="E40" s="22">
        <f>(G$12/(1+$A$40)^1+H$12/(1+$A$40)^2+I$12/(1+$A$40)^3+J$12/(1+$A$40)^4+K$12/(1+$A$40)^5+K$8*11/(1+$A$40)^5+$C$29)/$C$32</f>
        <v/>
      </c>
      <c r="F40" s="22">
        <f>(G$12/(1+$A$40)^1+H$12/(1+$A$40)^2+I$12/(1+$A$40)^3+J$12/(1+$A$40)^4+K$12/(1+$A$40)^5+K$8*13/(1+$A$40)^5+$C$29)/$C$32</f>
        <v/>
      </c>
      <c r="G40" s="22">
        <f>(G$12/(1+$A$40)^1+H$12/(1+$A$40)^2+I$12/(1+$A$40)^3+J$12/(1+$A$40)^4+K$12/(1+$A$40)^5+K$8*15/(1+$A$40)^5+$C$29)/$C$32</f>
        <v/>
      </c>
    </row>
    <row r="41">
      <c r="A41" s="21" t="n">
        <v>0.07500000000000001</v>
      </c>
      <c r="C41" s="22">
        <f>(G$12/(1+$A$41)^1+H$12/(1+$A$41)^2+I$12/(1+$A$41)^3+J$12/(1+$A$41)^4+K$12/(1+$A$41)^5+K$8*7/(1+$A$41)^5+$C$29)/$C$32</f>
        <v/>
      </c>
      <c r="D41" s="22">
        <f>(G$12/(1+$A$41)^1+H$12/(1+$A$41)^2+I$12/(1+$A$41)^3+J$12/(1+$A$41)^4+K$12/(1+$A$41)^5+K$8*9/(1+$A$41)^5+$C$29)/$C$32</f>
        <v/>
      </c>
      <c r="E41" s="22">
        <f>(G$12/(1+$A$41)^1+H$12/(1+$A$41)^2+I$12/(1+$A$41)^3+J$12/(1+$A$41)^4+K$12/(1+$A$41)^5+K$8*11/(1+$A$41)^5+$C$29)/$C$32</f>
        <v/>
      </c>
      <c r="F41" s="22">
        <f>(G$12/(1+$A$41)^1+H$12/(1+$A$41)^2+I$12/(1+$A$41)^3+J$12/(1+$A$41)^4+K$12/(1+$A$41)^5+K$8*13/(1+$A$41)^5+$C$29)/$C$32</f>
        <v/>
      </c>
      <c r="G41" s="22">
        <f>(G$12/(1+$A$41)^1+H$12/(1+$A$41)^2+I$12/(1+$A$41)^3+J$12/(1+$A$41)^4+K$12/(1+$A$41)^5+K$8*15/(1+$A$41)^5+$C$29)/$C$32</f>
        <v/>
      </c>
    </row>
    <row r="42">
      <c r="A42" s="21" t="n">
        <v>0.08500000000000001</v>
      </c>
      <c r="C42" s="22">
        <f>(G$12/(1+$A$42)^1+H$12/(1+$A$42)^2+I$12/(1+$A$42)^3+J$12/(1+$A$42)^4+K$12/(1+$A$42)^5+K$8*7/(1+$A$42)^5+$C$29)/$C$32</f>
        <v/>
      </c>
      <c r="D42" s="22">
        <f>(G$12/(1+$A$42)^1+H$12/(1+$A$42)^2+I$12/(1+$A$42)^3+J$12/(1+$A$42)^4+K$12/(1+$A$42)^5+K$8*9/(1+$A$42)^5+$C$29)/$C$32</f>
        <v/>
      </c>
      <c r="E42" s="23">
        <f>(G$12/(1+$A$42)^1+H$12/(1+$A$42)^2+I$12/(1+$A$42)^3+J$12/(1+$A$42)^4+K$12/(1+$A$42)^5+K$8*11/(1+$A$42)^5+$C$29)/$C$32</f>
        <v/>
      </c>
      <c r="F42" s="22">
        <f>(G$12/(1+$A$42)^1+H$12/(1+$A$42)^2+I$12/(1+$A$42)^3+J$12/(1+$A$42)^4+K$12/(1+$A$42)^5+K$8*13/(1+$A$42)^5+$C$29)/$C$32</f>
        <v/>
      </c>
      <c r="G42" s="22">
        <f>(G$12/(1+$A$42)^1+H$12/(1+$A$42)^2+I$12/(1+$A$42)^3+J$12/(1+$A$42)^4+K$12/(1+$A$42)^5+K$8*15/(1+$A$42)^5+$C$29)/$C$32</f>
        <v/>
      </c>
    </row>
    <row r="43">
      <c r="A43" s="21" t="n">
        <v>0.095</v>
      </c>
      <c r="C43" s="22">
        <f>(G$12/(1+$A$43)^1+H$12/(1+$A$43)^2+I$12/(1+$A$43)^3+J$12/(1+$A$43)^4+K$12/(1+$A$43)^5+K$8*7/(1+$A$43)^5+$C$29)/$C$32</f>
        <v/>
      </c>
      <c r="D43" s="22">
        <f>(G$12/(1+$A$43)^1+H$12/(1+$A$43)^2+I$12/(1+$A$43)^3+J$12/(1+$A$43)^4+K$12/(1+$A$43)^5+K$8*9/(1+$A$43)^5+$C$29)/$C$32</f>
        <v/>
      </c>
      <c r="E43" s="22">
        <f>(G$12/(1+$A$43)^1+H$12/(1+$A$43)^2+I$12/(1+$A$43)^3+J$12/(1+$A$43)^4+K$12/(1+$A$43)^5+K$8*11/(1+$A$43)^5+$C$29)/$C$32</f>
        <v/>
      </c>
      <c r="F43" s="22">
        <f>(G$12/(1+$A$43)^1+H$12/(1+$A$43)^2+I$12/(1+$A$43)^3+J$12/(1+$A$43)^4+K$12/(1+$A$43)^5+K$8*13/(1+$A$43)^5+$C$29)/$C$32</f>
        <v/>
      </c>
      <c r="G43" s="22">
        <f>(G$12/(1+$A$43)^1+H$12/(1+$A$43)^2+I$12/(1+$A$43)^3+J$12/(1+$A$43)^4+K$12/(1+$A$43)^5+K$8*15/(1+$A$43)^5+$C$29)/$C$32</f>
        <v/>
      </c>
    </row>
    <row r="44">
      <c r="A44" s="21" t="n">
        <v>0.105</v>
      </c>
      <c r="C44" s="22">
        <f>(G$12/(1+$A$44)^1+H$12/(1+$A$44)^2+I$12/(1+$A$44)^3+J$12/(1+$A$44)^4+K$12/(1+$A$44)^5+K$8*7/(1+$A$44)^5+$C$29)/$C$32</f>
        <v/>
      </c>
      <c r="D44" s="22">
        <f>(G$12/(1+$A$44)^1+H$12/(1+$A$44)^2+I$12/(1+$A$44)^3+J$12/(1+$A$44)^4+K$12/(1+$A$44)^5+K$8*9/(1+$A$44)^5+$C$29)/$C$32</f>
        <v/>
      </c>
      <c r="E44" s="22">
        <f>(G$12/(1+$A$44)^1+H$12/(1+$A$44)^2+I$12/(1+$A$44)^3+J$12/(1+$A$44)^4+K$12/(1+$A$44)^5+K$8*11/(1+$A$44)^5+$C$29)/$C$32</f>
        <v/>
      </c>
      <c r="F44" s="22">
        <f>(G$12/(1+$A$44)^1+H$12/(1+$A$44)^2+I$12/(1+$A$44)^3+J$12/(1+$A$44)^4+K$12/(1+$A$44)^5+K$8*13/(1+$A$44)^5+$C$29)/$C$32</f>
        <v/>
      </c>
      <c r="G44" s="22">
        <f>(G$12/(1+$A$44)^1+H$12/(1+$A$44)^2+I$12/(1+$A$44)^3+J$12/(1+$A$44)^4+K$12/(1+$A$44)^5+K$8*15/(1+$A$44)^5+$C$29)/$C$32</f>
        <v/>
      </c>
    </row>
    <row r="45">
      <c r="A45" s="21" t="n">
        <v>0.115</v>
      </c>
      <c r="C45" s="22">
        <f>(G$12/(1+$A$45)^1+H$12/(1+$A$45)^2+I$12/(1+$A$45)^3+J$12/(1+$A$45)^4+K$12/(1+$A$45)^5+K$8*7/(1+$A$45)^5+$C$29)/$C$32</f>
        <v/>
      </c>
      <c r="D45" s="22">
        <f>(G$12/(1+$A$45)^1+H$12/(1+$A$45)^2+I$12/(1+$A$45)^3+J$12/(1+$A$45)^4+K$12/(1+$A$45)^5+K$8*9/(1+$A$45)^5+$C$29)/$C$32</f>
        <v/>
      </c>
      <c r="E45" s="22">
        <f>(G$12/(1+$A$45)^1+H$12/(1+$A$45)^2+I$12/(1+$A$45)^3+J$12/(1+$A$45)^4+K$12/(1+$A$45)^5+K$8*11/(1+$A$45)^5+$C$29)/$C$32</f>
        <v/>
      </c>
      <c r="F45" s="22">
        <f>(G$12/(1+$A$45)^1+H$12/(1+$A$45)^2+I$12/(1+$A$45)^3+J$12/(1+$A$45)^4+K$12/(1+$A$45)^5+K$8*13/(1+$A$45)^5+$C$29)/$C$32</f>
        <v/>
      </c>
      <c r="G45" s="22">
        <f>(G$12/(1+$A$45)^1+H$12/(1+$A$45)^2+I$12/(1+$A$45)^3+J$12/(1+$A$45)^4+K$12/(1+$A$45)^5+K$8*15/(1+$A$45)^5+$C$29)/$C$32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2026-05-23T08:12:08Z</dcterms:created>
  <dcterms:modified xmlns:dcterms="http://purl.org/dc/terms/" xmlns:xsi="http://www.w3.org/2001/XMLSchema-instance" xsi:type="dcterms:W3CDTF">2026-05-23T08:12:08Z</dcterms:modified>
</cp:coreProperties>
</file>