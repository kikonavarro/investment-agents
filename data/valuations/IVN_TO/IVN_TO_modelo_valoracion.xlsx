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Ivanhoe Mines Ltd. (IVN.TO)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FY2024</t>
        </is>
      </c>
      <c r="D4" s="1" t="inlineStr">
        <is>
          <t>FY2025</t>
        </is>
      </c>
      <c r="E4" s="1" t="inlineStr">
        <is>
          <t>FY2026</t>
        </is>
      </c>
      <c r="F4" s="1" t="inlineStr">
        <is>
          <t>FY2027</t>
        </is>
      </c>
      <c r="G4" s="1" t="inlineStr">
        <is>
          <t>FY2028</t>
        </is>
      </c>
      <c r="H4" s="1" t="inlineStr">
        <is>
          <t>FY2029</t>
        </is>
      </c>
      <c r="I4" s="1" t="inlineStr">
        <is>
          <t>FY2030</t>
        </is>
      </c>
    </row>
    <row r="6">
      <c r="A6" s="1" t="inlineStr">
        <is>
          <t>Other Industrial Metals &amp; Mining</t>
        </is>
      </c>
      <c r="B6" s="1" t="n"/>
      <c r="C6" s="1" t="n"/>
      <c r="D6" s="1" t="n"/>
      <c r="E6" s="1" t="n"/>
      <c r="F6" s="1" t="n"/>
      <c r="G6" s="1" t="n"/>
      <c r="H6" s="1" t="n"/>
      <c r="I6" s="1" t="n"/>
    </row>
    <row r="7">
      <c r="A7" s="2" t="inlineStr">
        <is>
          <t xml:space="preserve">  Revenue ($M)</t>
        </is>
      </c>
      <c r="C7" s="5" t="n">
        <v>40.818</v>
      </c>
      <c r="D7" s="5" t="n">
        <v>441.615</v>
      </c>
    </row>
    <row r="8">
      <c r="A8" s="4" t="inlineStr">
        <is>
          <t xml:space="preserve">  Revenue Growth - Base</t>
        </is>
      </c>
      <c r="E8" s="6" t="n">
        <v>0.4</v>
      </c>
      <c r="F8" s="6" t="n">
        <v>0.36</v>
      </c>
      <c r="G8" s="6" t="n">
        <v>0.3200000000000001</v>
      </c>
      <c r="H8" s="6" t="n">
        <v>0.28</v>
      </c>
      <c r="I8" s="6" t="n">
        <v>0.24</v>
      </c>
    </row>
    <row r="9">
      <c r="A9" s="4" t="inlineStr">
        <is>
          <t xml:space="preserve">  Revenue Growth - Bull</t>
        </is>
      </c>
      <c r="E9" s="6" t="n">
        <v>0.52</v>
      </c>
      <c r="F9" s="6" t="n">
        <v>0.468</v>
      </c>
      <c r="G9" s="6" t="n">
        <v>0.416</v>
      </c>
      <c r="H9" s="6" t="n">
        <v>0.364</v>
      </c>
      <c r="I9" s="6" t="n">
        <v>0.312</v>
      </c>
    </row>
    <row r="10">
      <c r="A10" s="4" t="inlineStr">
        <is>
          <t xml:space="preserve">  Revenue Growth - Bear</t>
        </is>
      </c>
      <c r="E10" s="6" t="n">
        <v>0.28</v>
      </c>
      <c r="F10" s="6" t="n">
        <v>0.2520000000000001</v>
      </c>
      <c r="G10" s="6" t="n">
        <v>0.224</v>
      </c>
      <c r="H10" s="6" t="n">
        <v>0.196</v>
      </c>
      <c r="I10" s="6" t="n">
        <v>0.168</v>
      </c>
    </row>
    <row r="11">
      <c r="A11" s="2" t="inlineStr">
        <is>
          <t xml:space="preserve">  Revenue Growth (Selected)</t>
        </is>
      </c>
      <c r="E11" s="7">
        <f>OFFSET(E8,$G$2-1,0)</f>
        <v/>
      </c>
      <c r="F11" s="7">
        <f>OFFSET(F8,$G$2-1,0)</f>
        <v/>
      </c>
      <c r="G11" s="7">
        <f>OFFSET(G8,$G$2-1,0)</f>
        <v/>
      </c>
      <c r="H11" s="7">
        <f>OFFSET(H8,$G$2-1,0)</f>
        <v/>
      </c>
      <c r="I11" s="7">
        <f>OFFSET(I8,$G$2-1,0)</f>
        <v/>
      </c>
    </row>
    <row r="12">
      <c r="A12" s="2" t="inlineStr">
        <is>
          <t xml:space="preserve">  Revenue Projected ($M)</t>
        </is>
      </c>
      <c r="E12" s="8">
        <f>D7*(1+E11)</f>
        <v/>
      </c>
      <c r="F12" s="8">
        <f>E12*(1+F11)</f>
        <v/>
      </c>
      <c r="G12" s="8">
        <f>F12*(1+G11)</f>
        <v/>
      </c>
      <c r="H12" s="8">
        <f>G12*(1+H11)</f>
        <v/>
      </c>
      <c r="I12" s="8">
        <f>H12*(1+I11)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4" t="inlineStr">
        <is>
          <t>Gross Margin - Base</t>
        </is>
      </c>
      <c r="E15" s="6" t="n">
        <v>0.1</v>
      </c>
      <c r="F15" s="6" t="n">
        <v>0.1</v>
      </c>
      <c r="G15" s="6" t="n">
        <v>0.1</v>
      </c>
      <c r="H15" s="6" t="n">
        <v>0.1</v>
      </c>
      <c r="I15" s="6" t="n">
        <v>0.1</v>
      </c>
    </row>
    <row r="16">
      <c r="A16" s="4" t="inlineStr">
        <is>
          <t>Gross Margin - Bull</t>
        </is>
      </c>
      <c r="E16" s="6" t="n">
        <v>0.1</v>
      </c>
      <c r="F16" s="6" t="n">
        <v>0.1</v>
      </c>
      <c r="G16" s="6" t="n">
        <v>0.1</v>
      </c>
      <c r="H16" s="6" t="n">
        <v>0.1</v>
      </c>
      <c r="I16" s="6" t="n">
        <v>0.1</v>
      </c>
    </row>
    <row r="17">
      <c r="A17" s="4" t="inlineStr">
        <is>
          <t>Gross Margin - Bear</t>
        </is>
      </c>
      <c r="E17" s="6" t="n">
        <v>0.1</v>
      </c>
      <c r="F17" s="6" t="n">
        <v>0.1</v>
      </c>
      <c r="G17" s="6" t="n">
        <v>0.1</v>
      </c>
      <c r="H17" s="6" t="n">
        <v>0.1</v>
      </c>
      <c r="I17" s="6" t="n">
        <v>0.1</v>
      </c>
    </row>
    <row r="18">
      <c r="A18" s="2" t="inlineStr">
        <is>
          <t>Gross Margin (Selected)</t>
        </is>
      </c>
      <c r="E18" s="7">
        <f>OFFSET(E15,$G$2-1,0)</f>
        <v/>
      </c>
      <c r="F18" s="7">
        <f>OFFSET(F15,$G$2-1,0)</f>
        <v/>
      </c>
      <c r="G18" s="7">
        <f>OFFSET(G15,$G$2-1,0)</f>
        <v/>
      </c>
      <c r="H18" s="7">
        <f>OFFSET(H15,$G$2-1,0)</f>
        <v/>
      </c>
      <c r="I18" s="7">
        <f>OFFSET(I15,$G$2-1,0)</f>
        <v/>
      </c>
    </row>
    <row r="20">
      <c r="A20" s="4" t="inlineStr">
        <is>
          <t>SG&amp;A % Revenue - Base</t>
        </is>
      </c>
      <c r="E20" s="6" t="n">
        <v>0.9328271266345965</v>
      </c>
      <c r="F20" s="6" t="n">
        <v>0.9328271266345965</v>
      </c>
      <c r="G20" s="6" t="n">
        <v>0.9328271266345965</v>
      </c>
      <c r="H20" s="6" t="n">
        <v>0.9328271266345965</v>
      </c>
      <c r="I20" s="6" t="n">
        <v>0.9328271266345965</v>
      </c>
    </row>
    <row r="21">
      <c r="A21" s="4" t="inlineStr">
        <is>
          <t>SG&amp;A % Revenue - Bull</t>
        </is>
      </c>
      <c r="E21" s="6" t="n">
        <v>0.9228271266345965</v>
      </c>
      <c r="F21" s="6" t="n">
        <v>0.9228271266345965</v>
      </c>
      <c r="G21" s="6" t="n">
        <v>0.9228271266345965</v>
      </c>
      <c r="H21" s="6" t="n">
        <v>0.9228271266345965</v>
      </c>
      <c r="I21" s="6" t="n">
        <v>0.9228271266345965</v>
      </c>
    </row>
    <row r="22">
      <c r="A22" s="4" t="inlineStr">
        <is>
          <t>SG&amp;A % Revenue - Bear</t>
        </is>
      </c>
      <c r="E22" s="6" t="n">
        <v>0.9428271266345966</v>
      </c>
      <c r="F22" s="6" t="n">
        <v>0.9428271266345966</v>
      </c>
      <c r="G22" s="6" t="n">
        <v>0.9428271266345966</v>
      </c>
      <c r="H22" s="6" t="n">
        <v>0.9428271266345966</v>
      </c>
      <c r="I22" s="6" t="n">
        <v>0.9428271266345966</v>
      </c>
    </row>
    <row r="23">
      <c r="A23" s="2" t="inlineStr">
        <is>
          <t>SG&amp;A % Revenue (Selected)</t>
        </is>
      </c>
      <c r="E23" s="7">
        <f>OFFSET(E20,$G$2-1,0)</f>
        <v/>
      </c>
      <c r="F23" s="7">
        <f>OFFSET(F20,$G$2-1,0)</f>
        <v/>
      </c>
      <c r="G23" s="7">
        <f>OFFSET(G20,$G$2-1,0)</f>
        <v/>
      </c>
      <c r="H23" s="7">
        <f>OFFSET(H20,$G$2-1,0)</f>
        <v/>
      </c>
      <c r="I23" s="7">
        <f>OFFSET(I20,$G$2-1,0)</f>
        <v/>
      </c>
    </row>
    <row r="25">
      <c r="A25" s="4" t="inlineStr">
        <is>
          <t>R&amp;D % Revenue - Base</t>
        </is>
      </c>
      <c r="E25" s="6" t="n">
        <v>0.05</v>
      </c>
      <c r="F25" s="6" t="n">
        <v>0.05</v>
      </c>
      <c r="G25" s="6" t="n">
        <v>0.05</v>
      </c>
      <c r="H25" s="6" t="n">
        <v>0.05</v>
      </c>
      <c r="I25" s="6" t="n">
        <v>0.05</v>
      </c>
    </row>
    <row r="26">
      <c r="A26" s="4" t="inlineStr">
        <is>
          <t>R&amp;D % Revenue - Bull</t>
        </is>
      </c>
      <c r="E26" s="6" t="n">
        <v>0.05</v>
      </c>
      <c r="F26" s="6" t="n">
        <v>0.05</v>
      </c>
      <c r="G26" s="6" t="n">
        <v>0.05</v>
      </c>
      <c r="H26" s="6" t="n">
        <v>0.05</v>
      </c>
      <c r="I26" s="6" t="n">
        <v>0.05</v>
      </c>
    </row>
    <row r="27">
      <c r="A27" s="4" t="inlineStr">
        <is>
          <t>R&amp;D % Revenue - Bear</t>
        </is>
      </c>
      <c r="E27" s="6" t="n">
        <v>0.055</v>
      </c>
      <c r="F27" s="6" t="n">
        <v>0.055</v>
      </c>
      <c r="G27" s="6" t="n">
        <v>0.055</v>
      </c>
      <c r="H27" s="6" t="n">
        <v>0.055</v>
      </c>
      <c r="I27" s="6" t="n">
        <v>0.055</v>
      </c>
    </row>
    <row r="28">
      <c r="A28" s="2" t="inlineStr">
        <is>
          <t>R&amp;D % Revenue (Selected)</t>
        </is>
      </c>
      <c r="E28" s="7">
        <f>OFFSET(E25,$G$2-1,0)</f>
        <v/>
      </c>
      <c r="F28" s="7">
        <f>OFFSET(F25,$G$2-1,0)</f>
        <v/>
      </c>
      <c r="G28" s="7">
        <f>OFFSET(G25,$G$2-1,0)</f>
        <v/>
      </c>
      <c r="H28" s="7">
        <f>OFFSET(H25,$G$2-1,0)</f>
        <v/>
      </c>
      <c r="I28" s="7">
        <f>OFFSET(I25,$G$2-1,0)</f>
        <v/>
      </c>
    </row>
    <row r="30">
      <c r="A30" s="4" t="inlineStr">
        <is>
          <t>D&amp;A % Revenue</t>
        </is>
      </c>
      <c r="E30" s="6" t="n">
        <v>0.3266359952157284</v>
      </c>
      <c r="F30" s="6" t="n">
        <v>0.3266359952157284</v>
      </c>
      <c r="G30" s="6" t="n">
        <v>0.3266359952157284</v>
      </c>
      <c r="H30" s="6" t="n">
        <v>0.3266359952157284</v>
      </c>
      <c r="I30" s="6" t="n">
        <v>0.3266359952157284</v>
      </c>
    </row>
    <row r="31">
      <c r="A31" s="4" t="inlineStr">
        <is>
          <t>CapEx % Revenue</t>
        </is>
      </c>
      <c r="E31" s="6" t="n">
        <v>6.410225036450963</v>
      </c>
      <c r="F31" s="6" t="n">
        <v>6.410225036450963</v>
      </c>
      <c r="G31" s="6" t="n">
        <v>6.410225036450963</v>
      </c>
      <c r="H31" s="6" t="n">
        <v>6.410225036450963</v>
      </c>
      <c r="I31" s="6" t="n">
        <v>6.410225036450963</v>
      </c>
    </row>
    <row r="32">
      <c r="A32" s="4" t="inlineStr">
        <is>
          <t>Tax Rate</t>
        </is>
      </c>
      <c r="E32" s="6" t="n">
        <v>0.21</v>
      </c>
      <c r="F32" s="6" t="n">
        <v>0.21</v>
      </c>
      <c r="G32" s="6" t="n">
        <v>0.21</v>
      </c>
      <c r="H32" s="6" t="n">
        <v>0.21</v>
      </c>
      <c r="I32" s="6" t="n">
        <v>0.21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4" t="inlineStr">
        <is>
          <t>WACC - Base</t>
        </is>
      </c>
      <c r="C35" s="6" t="n">
        <v>0.1349</v>
      </c>
    </row>
    <row r="36">
      <c r="A36" s="4" t="inlineStr">
        <is>
          <t>WACC - Bull</t>
        </is>
      </c>
      <c r="C36" s="6" t="n">
        <v>0.1249</v>
      </c>
    </row>
    <row r="37">
      <c r="A37" s="4" t="inlineStr">
        <is>
          <t>WACC - Bear</t>
        </is>
      </c>
      <c r="C37" s="6" t="n">
        <v>0.1549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14</v>
      </c>
    </row>
    <row r="42">
      <c r="A42" s="4" t="inlineStr">
        <is>
          <t>Terminal Value Multiple - Bear</t>
        </is>
      </c>
      <c r="C42" s="9" t="n">
        <v>9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Ivanhoe Mines Ltd. (IVN.TO) - Historical Financial Statements</t>
        </is>
      </c>
      <c r="B1" s="1" t="n"/>
      <c r="C1" s="1" t="n"/>
      <c r="D1" s="1" t="n"/>
    </row>
    <row r="3">
      <c r="A3" s="4" t="inlineStr">
        <is>
          <t>($ in millions)</t>
        </is>
      </c>
      <c r="C3" s="1" t="inlineStr">
        <is>
          <t>FY2024</t>
        </is>
      </c>
      <c r="D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</row>
    <row r="6">
      <c r="A6" s="2" t="inlineStr">
        <is>
          <t>Total Revenue</t>
        </is>
      </c>
      <c r="C6" s="5" t="n">
        <v>40.818</v>
      </c>
      <c r="D6" s="5" t="n">
        <v>441.615</v>
      </c>
    </row>
    <row r="7">
      <c r="A7" s="4" t="inlineStr">
        <is>
          <t>Cost of Revenue</t>
        </is>
      </c>
      <c r="C7" s="5" t="n">
        <v>51.563</v>
      </c>
      <c r="D7" s="5" t="n">
        <v>424.657</v>
      </c>
    </row>
    <row r="8">
      <c r="A8" s="2" t="inlineStr">
        <is>
          <t>Gross Profit</t>
        </is>
      </c>
      <c r="C8" s="5" t="n">
        <v>-10.745</v>
      </c>
      <c r="D8" s="5" t="n">
        <v>16.958</v>
      </c>
    </row>
    <row r="9">
      <c r="A9" s="4" t="inlineStr">
        <is>
          <t xml:space="preserve">  Gross Margin</t>
        </is>
      </c>
      <c r="C9" s="11" t="n">
        <v>-0.2632417070900093</v>
      </c>
      <c r="D9" s="11" t="n">
        <v>0.0383999637693466</v>
      </c>
    </row>
    <row r="11">
      <c r="A11" s="4" t="inlineStr">
        <is>
          <t>R&amp;D Expense</t>
        </is>
      </c>
      <c r="C11" s="5" t="n">
        <v>0</v>
      </c>
      <c r="D11" s="5" t="n">
        <v>0</v>
      </c>
    </row>
    <row r="12">
      <c r="A12" s="4" t="inlineStr">
        <is>
          <t>SG&amp;A Expense</t>
        </is>
      </c>
      <c r="C12" s="5" t="n">
        <v>70.629</v>
      </c>
      <c r="D12" s="5" t="n">
        <v>59.757</v>
      </c>
    </row>
    <row r="13">
      <c r="A13" s="2" t="inlineStr">
        <is>
          <t>Operating Income (EBIT)</t>
        </is>
      </c>
      <c r="C13" s="5" t="n">
        <v>-133.028</v>
      </c>
      <c r="D13" s="5" t="n">
        <v>-93.428</v>
      </c>
    </row>
    <row r="14">
      <c r="A14" s="4" t="inlineStr">
        <is>
          <t xml:space="preserve">  EBIT Margin</t>
        </is>
      </c>
      <c r="C14" s="11" t="n">
        <v>-3.259052378852467</v>
      </c>
      <c r="D14" s="11" t="n">
        <v>-0.2115598428495409</v>
      </c>
    </row>
    <row r="16">
      <c r="A16" s="4" t="inlineStr">
        <is>
          <t>Interest Expense</t>
        </is>
      </c>
      <c r="C16" s="5" t="n">
        <v>9.327</v>
      </c>
      <c r="D16" s="5" t="n">
        <v>-1.23</v>
      </c>
    </row>
    <row r="17">
      <c r="A17" s="4" t="inlineStr">
        <is>
          <t>Tax Provision</t>
        </is>
      </c>
      <c r="C17" s="5" t="n">
        <v>-14.176</v>
      </c>
      <c r="D17" s="5" t="n">
        <v>22.131</v>
      </c>
    </row>
    <row r="18">
      <c r="A18" s="2" t="inlineStr">
        <is>
          <t>Net Income</t>
        </is>
      </c>
      <c r="C18" s="5" t="n">
        <v>228.135</v>
      </c>
      <c r="D18" s="5" t="n">
        <v>261.555</v>
      </c>
    </row>
    <row r="19">
      <c r="A19" s="4" t="inlineStr">
        <is>
          <t xml:space="preserve">  Net Margin</t>
        </is>
      </c>
      <c r="C19" s="11" t="n">
        <v>5.589078347787741</v>
      </c>
      <c r="D19" s="11" t="n">
        <v>0.5922692843313746</v>
      </c>
    </row>
    <row r="21">
      <c r="A21" s="2" t="inlineStr">
        <is>
          <t>EBITDA</t>
        </is>
      </c>
      <c r="C21" s="5" t="n">
        <v>208.112</v>
      </c>
      <c r="D21" s="5" t="n">
        <v>324.606</v>
      </c>
    </row>
    <row r="22">
      <c r="A22" s="4" t="inlineStr">
        <is>
          <t xml:space="preserve">  EBITDA Margin</t>
        </is>
      </c>
      <c r="C22" s="11" t="n">
        <v>5.098534960066638</v>
      </c>
      <c r="D22" s="11" t="n">
        <v>0.7350429672905132</v>
      </c>
    </row>
    <row r="23">
      <c r="A23" s="4" t="inlineStr">
        <is>
          <t>Diluted EPS</t>
        </is>
      </c>
      <c r="C23" s="12" t="n">
        <v>0.17</v>
      </c>
      <c r="D23" s="12" t="n">
        <v>0.19</v>
      </c>
    </row>
    <row r="24">
      <c r="A24" s="4" t="inlineStr">
        <is>
          <t>D&amp;A</t>
        </is>
      </c>
      <c r="C24" s="5" t="n">
        <v>19.667</v>
      </c>
      <c r="D24" s="5" t="n">
        <v>75.715</v>
      </c>
    </row>
    <row r="27">
      <c r="A27" s="1" t="inlineStr">
        <is>
          <t>Balance Sheet</t>
        </is>
      </c>
      <c r="B27" s="1" t="n"/>
      <c r="C27" s="1" t="n"/>
      <c r="D27" s="1" t="n"/>
    </row>
    <row r="28">
      <c r="A28" s="4" t="inlineStr">
        <is>
          <t>Cash &amp; Equivalents</t>
        </is>
      </c>
      <c r="C28" s="5" t="n">
        <v>102.084</v>
      </c>
      <c r="D28" s="5" t="n">
        <v>764.2670000000001</v>
      </c>
    </row>
    <row r="29">
      <c r="A29" s="4" t="inlineStr">
        <is>
          <t>Current Assets</t>
        </is>
      </c>
      <c r="C29" s="5" t="n">
        <v>298.638</v>
      </c>
      <c r="D29" s="5" t="n">
        <v>1135.129</v>
      </c>
    </row>
    <row r="30">
      <c r="A30" s="4" t="inlineStr">
        <is>
          <t>Net PP&amp;E</t>
        </is>
      </c>
      <c r="C30" s="5" t="n">
        <v>1967.302</v>
      </c>
      <c r="D30" s="5" t="n">
        <v>2447.12</v>
      </c>
    </row>
    <row r="31">
      <c r="A31" s="4" t="inlineStr">
        <is>
          <t>Goodwill</t>
        </is>
      </c>
      <c r="C31" s="5" t="n">
        <v>0</v>
      </c>
      <c r="D31" s="5" t="n">
        <v>0</v>
      </c>
    </row>
    <row r="32">
      <c r="A32" s="2" t="inlineStr">
        <is>
          <t>Total Assets</t>
        </is>
      </c>
      <c r="C32" s="5" t="n">
        <v>5737.555</v>
      </c>
      <c r="D32" s="5" t="n">
        <v>7625.844</v>
      </c>
    </row>
    <row r="34">
      <c r="A34" s="4" t="inlineStr">
        <is>
          <t>Current Liabilities</t>
        </is>
      </c>
      <c r="C34" s="5" t="n">
        <v>238.557</v>
      </c>
      <c r="D34" s="5" t="n">
        <v>508.749</v>
      </c>
    </row>
    <row r="35">
      <c r="A35" s="4" t="inlineStr">
        <is>
          <t>Total Debt</t>
        </is>
      </c>
      <c r="C35" s="5" t="n">
        <v>369.192</v>
      </c>
      <c r="D35" s="5" t="n">
        <v>1266.719</v>
      </c>
    </row>
    <row r="36">
      <c r="A36" s="2" t="inlineStr">
        <is>
          <t>Total Liabilities</t>
        </is>
      </c>
      <c r="C36" s="5" t="n">
        <v>901.914</v>
      </c>
      <c r="D36" s="5" t="n">
        <v>1900.748</v>
      </c>
    </row>
    <row r="38">
      <c r="A38" s="2" t="inlineStr">
        <is>
          <t>Total Equity</t>
        </is>
      </c>
      <c r="C38" s="5" t="n">
        <v>4835.641</v>
      </c>
      <c r="D38" s="5" t="n">
        <v>5725.096</v>
      </c>
    </row>
    <row r="41">
      <c r="A41" s="1" t="inlineStr">
        <is>
          <t>Cash Flow Statement</t>
        </is>
      </c>
      <c r="B41" s="1" t="n"/>
      <c r="C41" s="1" t="n"/>
      <c r="D41" s="1" t="n"/>
    </row>
    <row r="42">
      <c r="A42" s="2" t="inlineStr">
        <is>
          <t>Operating Cash Flow</t>
        </is>
      </c>
      <c r="C42" s="5" t="n">
        <v>-152.432</v>
      </c>
      <c r="D42" s="5" t="n">
        <v>-127.453</v>
      </c>
    </row>
    <row r="43">
      <c r="A43" s="4" t="inlineStr">
        <is>
          <t>Capital Expenditure</t>
        </is>
      </c>
      <c r="C43" s="5" t="n">
        <v>-491.712</v>
      </c>
      <c r="D43" s="5" t="n">
        <v>-341.81</v>
      </c>
    </row>
    <row r="44">
      <c r="A44" s="2" t="inlineStr">
        <is>
          <t>Free Cash Flow</t>
        </is>
      </c>
      <c r="C44" s="5" t="n">
        <v>-644.144</v>
      </c>
      <c r="D44" s="5" t="n">
        <v>-469.263</v>
      </c>
    </row>
    <row r="46">
      <c r="A46" s="4" t="inlineStr">
        <is>
          <t>D&amp;A</t>
        </is>
      </c>
      <c r="C46" s="5" t="n">
        <v>19.667</v>
      </c>
      <c r="D46" s="5" t="n">
        <v>75.715</v>
      </c>
    </row>
    <row r="47">
      <c r="A47" s="4" t="inlineStr">
        <is>
          <t>Stock-Based Compensation</t>
        </is>
      </c>
      <c r="C47" s="5" t="n">
        <v>27.919</v>
      </c>
      <c r="D47" s="5" t="n">
        <v>18.383</v>
      </c>
    </row>
    <row r="48">
      <c r="A48" s="4" t="inlineStr">
        <is>
          <t>Change in Working Capital</t>
        </is>
      </c>
      <c r="C48" s="5" t="n">
        <v>-64.989</v>
      </c>
      <c r="D48" s="5" t="n">
        <v>-92.76000000000001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I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Ivanhoe Mines Ltd. (IVN.TO)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FY2024</t>
        </is>
      </c>
      <c r="D4" s="1" t="inlineStr">
        <is>
          <t>FY2025</t>
        </is>
      </c>
      <c r="E4" s="1" t="inlineStr">
        <is>
          <t>FY2026</t>
        </is>
      </c>
      <c r="F4" s="1" t="inlineStr">
        <is>
          <t>FY2027</t>
        </is>
      </c>
      <c r="G4" s="1" t="inlineStr">
        <is>
          <t>FY2028</t>
        </is>
      </c>
      <c r="H4" s="1" t="inlineStr">
        <is>
          <t>FY2029</t>
        </is>
      </c>
      <c r="I4" s="1" t="inlineStr">
        <is>
          <t>FY2030</t>
        </is>
      </c>
    </row>
    <row r="5">
      <c r="E5" s="14" t="inlineStr">
        <is>
          <t>Proj.</t>
        </is>
      </c>
      <c r="F5" s="14" t="inlineStr">
        <is>
          <t>Proj.</t>
        </is>
      </c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</row>
    <row r="8">
      <c r="A8" s="2" t="inlineStr">
        <is>
          <t xml:space="preserve">  Other Industrial Metals &amp; Mining</t>
        </is>
      </c>
      <c r="C8" s="5" t="n">
        <v>40.818</v>
      </c>
      <c r="D8" s="5" t="n">
        <v>441.615</v>
      </c>
      <c r="E8" s="8">
        <f>Assumptions!E12</f>
        <v/>
      </c>
      <c r="F8" s="8">
        <f>Assumptions!F12</f>
        <v/>
      </c>
      <c r="G8" s="8">
        <f>Assumptions!G12</f>
        <v/>
      </c>
      <c r="H8" s="8">
        <f>Assumptions!H12</f>
        <v/>
      </c>
      <c r="I8" s="8">
        <f>Assumptions!I12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</row>
    <row r="16">
      <c r="A16" s="4" t="inlineStr">
        <is>
          <t>Cost of Goods Sold (COGS)</t>
        </is>
      </c>
      <c r="C16" s="5" t="n">
        <v>51.563</v>
      </c>
      <c r="D16" s="5" t="n">
        <v>424.657</v>
      </c>
      <c r="E16" s="8">
        <f>-E15*(1-Assumptions!E18)</f>
        <v/>
      </c>
      <c r="F16" s="8">
        <f>-F15*(1-Assumptions!F18)</f>
        <v/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</row>
    <row r="20">
      <c r="A20" s="4" t="inlineStr">
        <is>
          <t>SG&amp;A Expense</t>
        </is>
      </c>
      <c r="C20" s="5" t="n">
        <v>70.629</v>
      </c>
      <c r="D20" s="5" t="n">
        <v>59.757</v>
      </c>
      <c r="E20" s="8">
        <f>-E15*Assumptions!E24</f>
        <v/>
      </c>
      <c r="F20" s="8">
        <f>-F15*Assumptions!F24</f>
        <v/>
      </c>
      <c r="G20" s="8">
        <f>-G15*Assumptions!G24</f>
        <v/>
      </c>
      <c r="H20" s="8">
        <f>-H15*Assumptions!H24</f>
        <v/>
      </c>
      <c r="I20" s="8">
        <f>-I15*Assumptions!I24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8">
        <f>-E15*Assumptions!E30</f>
        <v/>
      </c>
      <c r="F21" s="8">
        <f>-F15*Assumptions!F30</f>
        <v/>
      </c>
      <c r="G21" s="8">
        <f>-G15*Assumptions!G30</f>
        <v/>
      </c>
      <c r="H21" s="8">
        <f>-H15*Assumptions!H30</f>
        <v/>
      </c>
      <c r="I21" s="8">
        <f>-I15*Assumptions!I30</f>
        <v/>
      </c>
    </row>
    <row r="22">
      <c r="A22" s="4" t="inlineStr">
        <is>
          <t>Depreciation &amp; Amortization</t>
        </is>
      </c>
      <c r="C22" s="5" t="n">
        <v>19.667</v>
      </c>
      <c r="D22" s="5" t="n">
        <v>75.715</v>
      </c>
      <c r="E22" s="8">
        <f>-E15*Assumptions!E32</f>
        <v/>
      </c>
      <c r="F22" s="8">
        <f>-F15*Assumptions!F32</f>
        <v/>
      </c>
      <c r="G22" s="8">
        <f>-G15*Assumptions!G32</f>
        <v/>
      </c>
      <c r="H22" s="8">
        <f>-H15*Assumptions!H32</f>
        <v/>
      </c>
      <c r="I22" s="8">
        <f>-I15*Assumptions!I32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</row>
    <row r="29">
      <c r="A29" s="4" t="inlineStr">
        <is>
          <t>Interest Expense</t>
        </is>
      </c>
      <c r="C29" s="5" t="n">
        <v>9.327</v>
      </c>
      <c r="D29" s="5" t="n">
        <v>-1.23</v>
      </c>
      <c r="E29" s="5" t="n">
        <v>-1.23</v>
      </c>
      <c r="F29" s="5" t="n">
        <v>-1.23</v>
      </c>
      <c r="G29" s="5" t="n">
        <v>-1.23</v>
      </c>
      <c r="H29" s="5" t="n">
        <v>-1.23</v>
      </c>
      <c r="I29" s="5" t="n">
        <v>-1.23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</row>
    <row r="31">
      <c r="A31" s="4" t="inlineStr">
        <is>
          <t>Taxes</t>
        </is>
      </c>
      <c r="C31" s="5" t="n">
        <v>-14.176</v>
      </c>
      <c r="D31" s="5" t="n">
        <v>22.131</v>
      </c>
      <c r="E31" s="8">
        <f>-ABS(E30)*Assumptions!E34</f>
        <v/>
      </c>
      <c r="F31" s="8">
        <f>-ABS(F30)*Assumptions!F34</f>
        <v/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</row>
    <row r="39">
      <c r="A39" s="4" t="inlineStr">
        <is>
          <t>(+/-) Change in Working Capital</t>
        </is>
      </c>
      <c r="C39" s="5" t="n">
        <v>-64.989</v>
      </c>
      <c r="D39" s="5" t="n">
        <v>-92.76000000000001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</row>
    <row r="42">
      <c r="A42" s="4" t="inlineStr">
        <is>
          <t>(-) Capital Expenditure</t>
        </is>
      </c>
      <c r="C42" s="5" t="n">
        <v>-491.712</v>
      </c>
      <c r="D42" s="5" t="n">
        <v>-341.81</v>
      </c>
      <c r="E42" s="8">
        <f>-ABS(E15)*Assumptions!E33</f>
        <v/>
      </c>
      <c r="F42" s="8">
        <f>-ABS(F15)*Assumptions!F33</f>
        <v/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Ivanhoe Mines Ltd. (IVN.TO)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11.59</v>
      </c>
    </row>
    <row r="4">
      <c r="A4" s="4" t="inlineStr">
        <is>
          <t>Year</t>
        </is>
      </c>
      <c r="E4" s="1" t="n">
        <v>2026</v>
      </c>
      <c r="F4" s="1" t="n">
        <v>2027</v>
      </c>
      <c r="G4" s="1" t="n">
        <v>2028</v>
      </c>
      <c r="H4" s="1" t="n">
        <v>2029</v>
      </c>
      <c r="I4" s="1" t="n">
        <v>2030</v>
      </c>
    </row>
    <row r="5">
      <c r="A5" s="4" t="inlineStr">
        <is>
          <t>Year #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</row>
    <row r="8">
      <c r="A8" s="4" t="inlineStr">
        <is>
          <t>EBITDA ($M)</t>
        </is>
      </c>
      <c r="E8" s="8">
        <f>INDIRECT("Model!"&amp;"E"&amp;Model!B200)</f>
        <v/>
      </c>
      <c r="F8" s="8">
        <f>INDIRECT("Model!"&amp;"F"&amp;Model!B200)</f>
        <v/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</row>
    <row r="9">
      <c r="A9" s="4" t="inlineStr">
        <is>
          <t>(-) Taxes ($M)</t>
        </is>
      </c>
      <c r="E9" s="8">
        <f>INDIRECT("Model!"&amp;"E"&amp;Model!B201)</f>
        <v/>
      </c>
      <c r="F9" s="8">
        <f>INDIRECT("Model!"&amp;"F"&amp;Model!B201)</f>
        <v/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</row>
    <row r="10">
      <c r="A10" s="4" t="inlineStr">
        <is>
          <t>(+/-) Change in WC ($M)</t>
        </is>
      </c>
      <c r="E10" s="8">
        <f>INDIRECT("Model!"&amp;"E"&amp;Model!B204)</f>
        <v/>
      </c>
      <c r="F10" s="8">
        <f>INDIRECT("Model!"&amp;"F"&amp;Model!B204)</f>
        <v/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</row>
    <row r="11">
      <c r="A11" s="4" t="inlineStr">
        <is>
          <t>(-) CapEx ($M)</t>
        </is>
      </c>
      <c r="E11" s="8">
        <f>INDIRECT("Model!"&amp;"E"&amp;Model!B202)</f>
        <v/>
      </c>
      <c r="F11" s="8">
        <f>INDIRECT("Model!"&amp;"F"&amp;Model!B202)</f>
        <v/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</row>
    <row r="12">
      <c r="A12" s="2" t="inlineStr">
        <is>
          <t>Unlevered Free Cash Flow ($M)</t>
        </is>
      </c>
      <c r="E12" s="8">
        <f>E8+E9+E10+E11</f>
        <v/>
      </c>
      <c r="F12" s="8">
        <f>F8+F9+F10+F11</f>
        <v/>
      </c>
      <c r="G12" s="8">
        <f>G8+G9+G10+G11</f>
        <v/>
      </c>
      <c r="H12" s="8">
        <f>H8+H9+H10+H11</f>
        <v/>
      </c>
      <c r="I12" s="8">
        <f>I8+I9+I10+I11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E18" s="17">
        <f>1/(1+$C$15)^1</f>
        <v/>
      </c>
      <c r="F18" s="17">
        <f>1/(1+$C$15)^2</f>
        <v/>
      </c>
      <c r="G18" s="17">
        <f>1/(1+$C$15)^3</f>
        <v/>
      </c>
      <c r="H18" s="17">
        <f>1/(1+$C$15)^4</f>
        <v/>
      </c>
      <c r="I18" s="17">
        <f>1/(1+$C$15)^5</f>
        <v/>
      </c>
    </row>
    <row r="19">
      <c r="A19" s="4" t="inlineStr">
        <is>
          <t>PV of UFCF ($M)</t>
        </is>
      </c>
      <c r="E19" s="8">
        <f>E12*E18</f>
        <v/>
      </c>
      <c r="F19" s="8">
        <f>F12*F18</f>
        <v/>
      </c>
      <c r="G19" s="8">
        <f>G12*G18</f>
        <v/>
      </c>
      <c r="H19" s="8">
        <f>H12*H18</f>
        <v/>
      </c>
      <c r="I19" s="8">
        <f>I12*I18</f>
        <v/>
      </c>
    </row>
    <row r="21">
      <c r="A21" s="2" t="inlineStr">
        <is>
          <t>Terminal Value ($M)</t>
        </is>
      </c>
      <c r="I21" s="8">
        <f>I12*$C$16</f>
        <v/>
      </c>
    </row>
    <row r="22">
      <c r="A22" s="4" t="inlineStr">
        <is>
          <t>PV of Terminal Value ($M)</t>
        </is>
      </c>
      <c r="I22" s="8">
        <f>I21*I18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</row>
    <row r="25">
      <c r="A25" s="4" t="inlineStr">
        <is>
          <t>Sum of PV of UFCF ($M)</t>
        </is>
      </c>
      <c r="C25" s="8">
        <f>SUM(E19:I19)</f>
        <v/>
      </c>
    </row>
    <row r="26">
      <c r="A26" s="4" t="inlineStr">
        <is>
          <t>PV of Terminal Value ($M)</t>
        </is>
      </c>
      <c r="C26" s="8">
        <f>I22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-502.452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1425.962853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C33/11.59-1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0.1049</v>
      </c>
      <c r="C39" s="22">
        <f>(E$12/(1+$A$39)^1+F$12/(1+$A$39)^2+G$12/(1+$A$39)^3+H$12/(1+$A$39)^4+I$12/(1+$A$39)^5+I$12*8/(1+$A$39)^5+$C$29)/$C$32</f>
        <v/>
      </c>
      <c r="D39" s="22">
        <f>(E$12/(1+$A$39)^1+F$12/(1+$A$39)^2+G$12/(1+$A$39)^3+H$12/(1+$A$39)^4+I$12/(1+$A$39)^5+I$12*10/(1+$A$39)^5+$C$29)/$C$32</f>
        <v/>
      </c>
      <c r="E39" s="22">
        <f>(E$12/(1+$A$39)^1+F$12/(1+$A$39)^2+G$12/(1+$A$39)^3+H$12/(1+$A$39)^4+I$12/(1+$A$39)^5+I$12*12/(1+$A$39)^5+$C$29)/$C$32</f>
        <v/>
      </c>
      <c r="F39" s="22">
        <f>(E$12/(1+$A$39)^1+F$12/(1+$A$39)^2+G$12/(1+$A$39)^3+H$12/(1+$A$39)^4+I$12/(1+$A$39)^5+I$12*14/(1+$A$39)^5+$C$29)/$C$32</f>
        <v/>
      </c>
      <c r="G39" s="22">
        <f>(E$12/(1+$A$39)^1+F$12/(1+$A$39)^2+G$12/(1+$A$39)^3+H$12/(1+$A$39)^4+I$12/(1+$A$39)^5+I$12*16/(1+$A$39)^5+$C$29)/$C$32</f>
        <v/>
      </c>
    </row>
    <row r="40">
      <c r="A40" s="21" t="n">
        <v>0.1149</v>
      </c>
      <c r="C40" s="22">
        <f>(E$12/(1+$A$40)^1+F$12/(1+$A$40)^2+G$12/(1+$A$40)^3+H$12/(1+$A$40)^4+I$12/(1+$A$40)^5+I$12*8/(1+$A$40)^5+$C$29)/$C$32</f>
        <v/>
      </c>
      <c r="D40" s="22">
        <f>(E$12/(1+$A$40)^1+F$12/(1+$A$40)^2+G$12/(1+$A$40)^3+H$12/(1+$A$40)^4+I$12/(1+$A$40)^5+I$12*10/(1+$A$40)^5+$C$29)/$C$32</f>
        <v/>
      </c>
      <c r="E40" s="22">
        <f>(E$12/(1+$A$40)^1+F$12/(1+$A$40)^2+G$12/(1+$A$40)^3+H$12/(1+$A$40)^4+I$12/(1+$A$40)^5+I$12*12/(1+$A$40)^5+$C$29)/$C$32</f>
        <v/>
      </c>
      <c r="F40" s="22">
        <f>(E$12/(1+$A$40)^1+F$12/(1+$A$40)^2+G$12/(1+$A$40)^3+H$12/(1+$A$40)^4+I$12/(1+$A$40)^5+I$12*14/(1+$A$40)^5+$C$29)/$C$32</f>
        <v/>
      </c>
      <c r="G40" s="22">
        <f>(E$12/(1+$A$40)^1+F$12/(1+$A$40)^2+G$12/(1+$A$40)^3+H$12/(1+$A$40)^4+I$12/(1+$A$40)^5+I$12*16/(1+$A$40)^5+$C$29)/$C$32</f>
        <v/>
      </c>
    </row>
    <row r="41">
      <c r="A41" s="21" t="n">
        <v>0.1249</v>
      </c>
      <c r="C41" s="22">
        <f>(E$12/(1+$A$41)^1+F$12/(1+$A$41)^2+G$12/(1+$A$41)^3+H$12/(1+$A$41)^4+I$12/(1+$A$41)^5+I$12*8/(1+$A$41)^5+$C$29)/$C$32</f>
        <v/>
      </c>
      <c r="D41" s="22">
        <f>(E$12/(1+$A$41)^1+F$12/(1+$A$41)^2+G$12/(1+$A$41)^3+H$12/(1+$A$41)^4+I$12/(1+$A$41)^5+I$12*10/(1+$A$41)^5+$C$29)/$C$32</f>
        <v/>
      </c>
      <c r="E41" s="22">
        <f>(E$12/(1+$A$41)^1+F$12/(1+$A$41)^2+G$12/(1+$A$41)^3+H$12/(1+$A$41)^4+I$12/(1+$A$41)^5+I$12*12/(1+$A$41)^5+$C$29)/$C$32</f>
        <v/>
      </c>
      <c r="F41" s="22">
        <f>(E$12/(1+$A$41)^1+F$12/(1+$A$41)^2+G$12/(1+$A$41)^3+H$12/(1+$A$41)^4+I$12/(1+$A$41)^5+I$12*14/(1+$A$41)^5+$C$29)/$C$32</f>
        <v/>
      </c>
      <c r="G41" s="22">
        <f>(E$12/(1+$A$41)^1+F$12/(1+$A$41)^2+G$12/(1+$A$41)^3+H$12/(1+$A$41)^4+I$12/(1+$A$41)^5+I$12*16/(1+$A$41)^5+$C$29)/$C$32</f>
        <v/>
      </c>
    </row>
    <row r="42">
      <c r="A42" s="21" t="n">
        <v>0.1349</v>
      </c>
      <c r="C42" s="22">
        <f>(E$12/(1+$A$42)^1+F$12/(1+$A$42)^2+G$12/(1+$A$42)^3+H$12/(1+$A$42)^4+I$12/(1+$A$42)^5+I$12*8/(1+$A$42)^5+$C$29)/$C$32</f>
        <v/>
      </c>
      <c r="D42" s="22">
        <f>(E$12/(1+$A$42)^1+F$12/(1+$A$42)^2+G$12/(1+$A$42)^3+H$12/(1+$A$42)^4+I$12/(1+$A$42)^5+I$12*10/(1+$A$42)^5+$C$29)/$C$32</f>
        <v/>
      </c>
      <c r="E42" s="23">
        <f>(E$12/(1+$A$42)^1+F$12/(1+$A$42)^2+G$12/(1+$A$42)^3+H$12/(1+$A$42)^4+I$12/(1+$A$42)^5+I$12*12/(1+$A$42)^5+$C$29)/$C$32</f>
        <v/>
      </c>
      <c r="F42" s="22">
        <f>(E$12/(1+$A$42)^1+F$12/(1+$A$42)^2+G$12/(1+$A$42)^3+H$12/(1+$A$42)^4+I$12/(1+$A$42)^5+I$12*14/(1+$A$42)^5+$C$29)/$C$32</f>
        <v/>
      </c>
      <c r="G42" s="22">
        <f>(E$12/(1+$A$42)^1+F$12/(1+$A$42)^2+G$12/(1+$A$42)^3+H$12/(1+$A$42)^4+I$12/(1+$A$42)^5+I$12*16/(1+$A$42)^5+$C$29)/$C$32</f>
        <v/>
      </c>
    </row>
    <row r="43">
      <c r="A43" s="21" t="n">
        <v>0.1449</v>
      </c>
      <c r="C43" s="22">
        <f>(E$12/(1+$A$43)^1+F$12/(1+$A$43)^2+G$12/(1+$A$43)^3+H$12/(1+$A$43)^4+I$12/(1+$A$43)^5+I$12*8/(1+$A$43)^5+$C$29)/$C$32</f>
        <v/>
      </c>
      <c r="D43" s="22">
        <f>(E$12/(1+$A$43)^1+F$12/(1+$A$43)^2+G$12/(1+$A$43)^3+H$12/(1+$A$43)^4+I$12/(1+$A$43)^5+I$12*10/(1+$A$43)^5+$C$29)/$C$32</f>
        <v/>
      </c>
      <c r="E43" s="22">
        <f>(E$12/(1+$A$43)^1+F$12/(1+$A$43)^2+G$12/(1+$A$43)^3+H$12/(1+$A$43)^4+I$12/(1+$A$43)^5+I$12*12/(1+$A$43)^5+$C$29)/$C$32</f>
        <v/>
      </c>
      <c r="F43" s="22">
        <f>(E$12/(1+$A$43)^1+F$12/(1+$A$43)^2+G$12/(1+$A$43)^3+H$12/(1+$A$43)^4+I$12/(1+$A$43)^5+I$12*14/(1+$A$43)^5+$C$29)/$C$32</f>
        <v/>
      </c>
      <c r="G43" s="22">
        <f>(E$12/(1+$A$43)^1+F$12/(1+$A$43)^2+G$12/(1+$A$43)^3+H$12/(1+$A$43)^4+I$12/(1+$A$43)^5+I$12*16/(1+$A$43)^5+$C$29)/$C$32</f>
        <v/>
      </c>
    </row>
    <row r="44">
      <c r="A44" s="21" t="n">
        <v>0.1549</v>
      </c>
      <c r="C44" s="22">
        <f>(E$12/(1+$A$44)^1+F$12/(1+$A$44)^2+G$12/(1+$A$44)^3+H$12/(1+$A$44)^4+I$12/(1+$A$44)^5+I$12*8/(1+$A$44)^5+$C$29)/$C$32</f>
        <v/>
      </c>
      <c r="D44" s="22">
        <f>(E$12/(1+$A$44)^1+F$12/(1+$A$44)^2+G$12/(1+$A$44)^3+H$12/(1+$A$44)^4+I$12/(1+$A$44)^5+I$12*10/(1+$A$44)^5+$C$29)/$C$32</f>
        <v/>
      </c>
      <c r="E44" s="22">
        <f>(E$12/(1+$A$44)^1+F$12/(1+$A$44)^2+G$12/(1+$A$44)^3+H$12/(1+$A$44)^4+I$12/(1+$A$44)^5+I$12*12/(1+$A$44)^5+$C$29)/$C$32</f>
        <v/>
      </c>
      <c r="F44" s="22">
        <f>(E$12/(1+$A$44)^1+F$12/(1+$A$44)^2+G$12/(1+$A$44)^3+H$12/(1+$A$44)^4+I$12/(1+$A$44)^5+I$12*14/(1+$A$44)^5+$C$29)/$C$32</f>
        <v/>
      </c>
      <c r="G44" s="22">
        <f>(E$12/(1+$A$44)^1+F$12/(1+$A$44)^2+G$12/(1+$A$44)^3+H$12/(1+$A$44)^4+I$12/(1+$A$44)^5+I$12*16/(1+$A$44)^5+$C$29)/$C$32</f>
        <v/>
      </c>
    </row>
    <row r="45">
      <c r="A45" s="21" t="n">
        <v>0.1649</v>
      </c>
      <c r="C45" s="22">
        <f>(E$12/(1+$A$45)^1+F$12/(1+$A$45)^2+G$12/(1+$A$45)^3+H$12/(1+$A$45)^4+I$12/(1+$A$45)^5+I$12*8/(1+$A$45)^5+$C$29)/$C$32</f>
        <v/>
      </c>
      <c r="D45" s="22">
        <f>(E$12/(1+$A$45)^1+F$12/(1+$A$45)^2+G$12/(1+$A$45)^3+H$12/(1+$A$45)^4+I$12/(1+$A$45)^5+I$12*10/(1+$A$45)^5+$C$29)/$C$32</f>
        <v/>
      </c>
      <c r="E45" s="22">
        <f>(E$12/(1+$A$45)^1+F$12/(1+$A$45)^2+G$12/(1+$A$45)^3+H$12/(1+$A$45)^4+I$12/(1+$A$45)^5+I$12*12/(1+$A$45)^5+$C$29)/$C$32</f>
        <v/>
      </c>
      <c r="F45" s="22">
        <f>(E$12/(1+$A$45)^1+F$12/(1+$A$45)^2+G$12/(1+$A$45)^3+H$12/(1+$A$45)^4+I$12/(1+$A$45)^5+I$12*14/(1+$A$45)^5+$C$29)/$C$32</f>
        <v/>
      </c>
      <c r="G45" s="22">
        <f>(E$12/(1+$A$45)^1+F$12/(1+$A$45)^2+G$12/(1+$A$45)^3+H$12/(1+$A$45)^4+I$12/(1+$A$45)^5+I$12*16/(1+$A$45)^5+$C$29)/$C$32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2026-03-18T16:47:04Z</dcterms:created>
  <dcterms:modified xmlns:dcterms="http://purl.org/dc/terms/" xmlns:xsi="http://www.w3.org/2001/XMLSchema-instance" xsi:type="dcterms:W3CDTF">2026-03-18T16:47:04Z</dcterms:modified>
</cp:coreProperties>
</file>