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FRP Holdings, Inc. (FRPH)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Real Estate Services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37.481</v>
      </c>
      <c r="D7" s="5" t="n">
        <v>41.506</v>
      </c>
      <c r="E7" s="5" t="n">
        <v>41.774</v>
      </c>
      <c r="F7" s="5" t="n">
        <v>42.846</v>
      </c>
    </row>
    <row r="8">
      <c r="A8" s="4" t="inlineStr">
        <is>
          <t xml:space="preserve">  Revenue Growth - Base</t>
        </is>
      </c>
      <c r="G8" s="6" t="n">
        <v>0.04</v>
      </c>
      <c r="H8" s="6" t="n">
        <v>0.05</v>
      </c>
      <c r="I8" s="6" t="n">
        <v>0.05</v>
      </c>
      <c r="J8" s="6" t="n">
        <v>0.05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0.07000000000000001</v>
      </c>
      <c r="H9" s="6" t="n">
        <v>0.08</v>
      </c>
      <c r="I9" s="6" t="n">
        <v>0.08</v>
      </c>
      <c r="J9" s="6" t="n">
        <v>0.07000000000000001</v>
      </c>
      <c r="K9" s="6" t="n">
        <v>0.06</v>
      </c>
    </row>
    <row r="10">
      <c r="A10" s="4" t="inlineStr">
        <is>
          <t xml:space="preserve">  Revenue Growth - Bear</t>
        </is>
      </c>
      <c r="G10" s="6" t="n">
        <v>0.02</v>
      </c>
      <c r="H10" s="6" t="n">
        <v>0.02</v>
      </c>
      <c r="I10" s="6" t="n">
        <v>0.03</v>
      </c>
      <c r="J10" s="6" t="n">
        <v>0.03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0.91</v>
      </c>
      <c r="H15" s="6" t="n">
        <v>0.91</v>
      </c>
      <c r="I15" s="6" t="n">
        <v>0.91</v>
      </c>
      <c r="J15" s="6" t="n">
        <v>0.91</v>
      </c>
      <c r="K15" s="6" t="n">
        <v>0.91</v>
      </c>
    </row>
    <row r="16">
      <c r="A16" s="4" t="inlineStr">
        <is>
          <t>Gross Margin - Bull</t>
        </is>
      </c>
      <c r="G16" s="6" t="n">
        <v>0.92</v>
      </c>
      <c r="H16" s="6" t="n">
        <v>0.92</v>
      </c>
      <c r="I16" s="6" t="n">
        <v>0.92</v>
      </c>
      <c r="J16" s="6" t="n">
        <v>0.92</v>
      </c>
      <c r="K16" s="6" t="n">
        <v>0.92</v>
      </c>
    </row>
    <row r="17">
      <c r="A17" s="4" t="inlineStr">
        <is>
          <t>Gross Margin - Bear</t>
        </is>
      </c>
      <c r="G17" s="6" t="n">
        <v>0.88</v>
      </c>
      <c r="H17" s="6" t="n">
        <v>0.88</v>
      </c>
      <c r="I17" s="6" t="n">
        <v>0.88</v>
      </c>
      <c r="J17" s="6" t="n">
        <v>0.88</v>
      </c>
      <c r="K17" s="6" t="n">
        <v>0.88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0.21</v>
      </c>
      <c r="H20" s="6" t="n">
        <v>0.21</v>
      </c>
      <c r="I20" s="6" t="n">
        <v>0.21</v>
      </c>
      <c r="J20" s="6" t="n">
        <v>0.21</v>
      </c>
      <c r="K20" s="6" t="n">
        <v>0.21</v>
      </c>
    </row>
    <row r="21">
      <c r="A21" s="4" t="inlineStr">
        <is>
          <t>SG&amp;A % Revenue - Bull</t>
        </is>
      </c>
      <c r="G21" s="6" t="n">
        <v>0.19</v>
      </c>
      <c r="H21" s="6" t="n">
        <v>0.19</v>
      </c>
      <c r="I21" s="6" t="n">
        <v>0.19</v>
      </c>
      <c r="J21" s="6" t="n">
        <v>0.19</v>
      </c>
      <c r="K21" s="6" t="n">
        <v>0.19</v>
      </c>
    </row>
    <row r="22">
      <c r="A22" s="4" t="inlineStr">
        <is>
          <t>SG&amp;A % Revenue - Bear</t>
        </is>
      </c>
      <c r="G22" s="6" t="n">
        <v>0.23</v>
      </c>
      <c r="H22" s="6" t="n">
        <v>0.23</v>
      </c>
      <c r="I22" s="6" t="n">
        <v>0.23</v>
      </c>
      <c r="J22" s="6" t="n">
        <v>0.23</v>
      </c>
      <c r="K22" s="6" t="n">
        <v>0.23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0.27</v>
      </c>
      <c r="H30" s="6" t="n">
        <v>0.27</v>
      </c>
      <c r="I30" s="6" t="n">
        <v>0.27</v>
      </c>
      <c r="J30" s="6" t="n">
        <v>0.27</v>
      </c>
      <c r="K30" s="6" t="n">
        <v>0.27</v>
      </c>
    </row>
    <row r="31">
      <c r="A31" s="4" t="inlineStr">
        <is>
          <t>CapEx % Revenue</t>
        </is>
      </c>
      <c r="G31" s="6" t="n">
        <v>0.04</v>
      </c>
      <c r="H31" s="6" t="n">
        <v>0.04</v>
      </c>
      <c r="I31" s="6" t="n">
        <v>0.04</v>
      </c>
      <c r="J31" s="6" t="n">
        <v>0.04</v>
      </c>
      <c r="K31" s="6" t="n">
        <v>0.04</v>
      </c>
    </row>
    <row r="32">
      <c r="A32" s="4" t="inlineStr">
        <is>
          <t>Tax Rate</t>
        </is>
      </c>
      <c r="G32" s="6" t="n">
        <v>0.15</v>
      </c>
      <c r="H32" s="6" t="n">
        <v>0.15</v>
      </c>
      <c r="I32" s="6" t="n">
        <v>0.15</v>
      </c>
      <c r="J32" s="6" t="n">
        <v>0.15</v>
      </c>
      <c r="K32" s="6" t="n">
        <v>0.15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</v>
      </c>
    </row>
    <row r="36">
      <c r="A36" s="4" t="inlineStr">
        <is>
          <t>WACC - Bull</t>
        </is>
      </c>
      <c r="C36" s="6" t="n">
        <v>0.075</v>
      </c>
    </row>
    <row r="37">
      <c r="A37" s="4" t="inlineStr">
        <is>
          <t>WACC - Bear</t>
        </is>
      </c>
      <c r="C37" s="6" t="n">
        <v>0.08500000000000001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28</v>
      </c>
    </row>
    <row r="41">
      <c r="A41" s="4" t="inlineStr">
        <is>
          <t>Terminal Value Multiple - Bull</t>
        </is>
      </c>
      <c r="C41" s="9" t="n">
        <v>34</v>
      </c>
    </row>
    <row r="42">
      <c r="A42" s="4" t="inlineStr">
        <is>
          <t>Terminal Value Multiple - Bear</t>
        </is>
      </c>
      <c r="C42" s="9" t="n">
        <v>22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FRP Holdings, Inc. (FRPH)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37.481</v>
      </c>
      <c r="D6" s="5" t="n">
        <v>41.506</v>
      </c>
      <c r="E6" s="5" t="n">
        <v>41.774</v>
      </c>
      <c r="F6" s="5" t="n">
        <v>42.846</v>
      </c>
    </row>
    <row r="7">
      <c r="A7" s="4" t="inlineStr">
        <is>
          <t>Cost of Revenue</t>
        </is>
      </c>
      <c r="C7" s="5" t="n">
        <v>4.125</v>
      </c>
      <c r="D7" s="5" t="n">
        <v>3.65</v>
      </c>
      <c r="E7" s="5" t="n">
        <v>3.437</v>
      </c>
      <c r="F7" s="5" t="n">
        <v>3.907</v>
      </c>
    </row>
    <row r="8">
      <c r="A8" s="2" t="inlineStr">
        <is>
          <t>Gross Profit</t>
        </is>
      </c>
      <c r="C8" s="5" t="n">
        <v>33.356</v>
      </c>
      <c r="D8" s="5" t="n">
        <v>37.856</v>
      </c>
      <c r="E8" s="5" t="n">
        <v>38.337</v>
      </c>
      <c r="F8" s="5" t="n">
        <v>38.939</v>
      </c>
    </row>
    <row r="9">
      <c r="A9" s="4" t="inlineStr">
        <is>
          <t xml:space="preserve">  Gross Margin</t>
        </is>
      </c>
      <c r="C9" s="11" t="n">
        <v>0.8899442384141298</v>
      </c>
      <c r="D9" s="11" t="n">
        <v>0.9120609068568399</v>
      </c>
      <c r="E9" s="11" t="n">
        <v>0.9177239431225164</v>
      </c>
      <c r="F9" s="11" t="n">
        <v>0.908812958035756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7.078</v>
      </c>
      <c r="D12" s="5" t="n">
        <v>7.971</v>
      </c>
      <c r="E12" s="5" t="n">
        <v>9.276</v>
      </c>
      <c r="F12" s="5" t="n">
        <v>10.655</v>
      </c>
    </row>
    <row r="13">
      <c r="A13" s="2" t="inlineStr">
        <is>
          <t>Operating Income (EBIT)</t>
        </is>
      </c>
      <c r="C13" s="5" t="n">
        <v>7.996</v>
      </c>
      <c r="D13" s="5" t="n">
        <v>11.7</v>
      </c>
      <c r="E13" s="5" t="n">
        <v>11.704</v>
      </c>
      <c r="F13" s="5" t="n">
        <v>7.028</v>
      </c>
    </row>
    <row r="14">
      <c r="A14" s="4" t="inlineStr">
        <is>
          <t xml:space="preserve">  EBIT Margin</t>
        </is>
      </c>
      <c r="C14" s="11" t="n">
        <v>0.2133347562765134</v>
      </c>
      <c r="D14" s="11" t="n">
        <v>0.2818869561027321</v>
      </c>
      <c r="E14" s="11" t="n">
        <v>0.2801742710777038</v>
      </c>
      <c r="F14" s="11" t="n">
        <v>0.1640293142883816</v>
      </c>
    </row>
    <row r="16">
      <c r="A16" s="4" t="inlineStr">
        <is>
          <t>Interest Expense</t>
        </is>
      </c>
      <c r="C16" s="5" t="n">
        <v>3.045</v>
      </c>
      <c r="D16" s="5" t="n">
        <v>4.315</v>
      </c>
      <c r="E16" s="5" t="n">
        <v>3.15</v>
      </c>
      <c r="F16" s="5" t="n">
        <v>2.967</v>
      </c>
    </row>
    <row r="17">
      <c r="A17" s="4" t="inlineStr">
        <is>
          <t>Tax Provision</t>
        </is>
      </c>
      <c r="C17" s="5" t="n">
        <v>1.53</v>
      </c>
      <c r="D17" s="5" t="n">
        <v>1.516</v>
      </c>
      <c r="E17" s="5" t="n">
        <v>2.029</v>
      </c>
      <c r="F17" s="5" t="n">
        <v>0.8179999999999999</v>
      </c>
    </row>
    <row r="18">
      <c r="A18" s="2" t="inlineStr">
        <is>
          <t>Net Income</t>
        </is>
      </c>
      <c r="C18" s="5" t="n">
        <v>4.565</v>
      </c>
      <c r="D18" s="5" t="n">
        <v>5.302</v>
      </c>
      <c r="E18" s="5" t="n">
        <v>6.385</v>
      </c>
      <c r="F18" s="5" t="n">
        <v>3.33</v>
      </c>
    </row>
    <row r="19">
      <c r="A19" s="4" t="inlineStr">
        <is>
          <t xml:space="preserve">  Net Margin</t>
        </is>
      </c>
      <c r="C19" s="11" t="n">
        <v>0.1217950428216963</v>
      </c>
      <c r="D19" s="11" t="n">
        <v>0.1277405676287766</v>
      </c>
      <c r="E19" s="11" t="n">
        <v>0.152846268013597</v>
      </c>
      <c r="F19" s="11" t="n">
        <v>0.07772020725388601</v>
      </c>
    </row>
    <row r="21">
      <c r="A21" s="2" t="inlineStr">
        <is>
          <t>EBITDA</t>
        </is>
      </c>
      <c r="C21" s="5" t="n">
        <v>20.084</v>
      </c>
      <c r="D21" s="5" t="n">
        <v>21.688</v>
      </c>
      <c r="E21" s="5" t="n">
        <v>22.029</v>
      </c>
      <c r="F21" s="5" t="n">
        <v>18.122</v>
      </c>
    </row>
    <row r="22">
      <c r="A22" s="4" t="inlineStr">
        <is>
          <t xml:space="preserve">  EBITDA Margin</t>
        </is>
      </c>
      <c r="C22" s="11" t="n">
        <v>0.53584482804621</v>
      </c>
      <c r="D22" s="11" t="n">
        <v>0.5225268635859875</v>
      </c>
      <c r="E22" s="11" t="n">
        <v>0.5273375783980466</v>
      </c>
      <c r="F22" s="11" t="n">
        <v>0.4229566353918686</v>
      </c>
    </row>
    <row r="23">
      <c r="A23" s="4" t="inlineStr">
        <is>
          <t>Diluted EPS</t>
        </is>
      </c>
      <c r="C23" s="12" t="n">
        <v>0.24</v>
      </c>
      <c r="D23" s="12" t="n">
        <v>0.28</v>
      </c>
      <c r="E23" s="12" t="n">
        <v>0.34</v>
      </c>
      <c r="F23" s="12" t="n">
        <v>0</v>
      </c>
    </row>
    <row r="24">
      <c r="A24" s="4" t="inlineStr">
        <is>
          <t>D&amp;A</t>
        </is>
      </c>
      <c r="C24" s="5" t="n">
        <v>11.462</v>
      </c>
      <c r="D24" s="5" t="n">
        <v>10.975</v>
      </c>
      <c r="E24" s="5" t="n">
        <v>10.39</v>
      </c>
      <c r="F24" s="5" t="n">
        <v>11.375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177.497</v>
      </c>
      <c r="D28" s="5" t="n">
        <v>157.555</v>
      </c>
      <c r="E28" s="5" t="n">
        <v>148.62</v>
      </c>
      <c r="F28" s="5" t="n">
        <v>93.967</v>
      </c>
    </row>
    <row r="29">
      <c r="A29" s="4" t="inlineStr">
        <is>
          <t>Current Assets</t>
        </is>
      </c>
      <c r="C29" s="5" t="n">
        <v>180.316</v>
      </c>
      <c r="D29" s="5" t="n">
        <v>161.438</v>
      </c>
      <c r="E29" s="5" t="n">
        <v>152.667</v>
      </c>
      <c r="F29" s="5" t="n">
        <v>109.57</v>
      </c>
    </row>
    <row r="30">
      <c r="A30" s="4" t="inlineStr">
        <is>
          <t>Net PP&amp;E</t>
        </is>
      </c>
      <c r="C30" s="5" t="n">
        <v>0</v>
      </c>
      <c r="D30" s="5" t="n">
        <v>0</v>
      </c>
      <c r="E30" s="5" t="n">
        <v>0</v>
      </c>
      <c r="F30" s="5" t="n">
        <v>0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6.893</v>
      </c>
    </row>
    <row r="32">
      <c r="A32" s="2" t="inlineStr">
        <is>
          <t>Total Assets</t>
        </is>
      </c>
      <c r="C32" s="5" t="n">
        <v>701.0839999999999</v>
      </c>
      <c r="D32" s="5" t="n">
        <v>709.1660000000001</v>
      </c>
      <c r="E32" s="5" t="n">
        <v>728.485</v>
      </c>
      <c r="F32" s="5" t="n">
        <v>735.145</v>
      </c>
    </row>
    <row r="34">
      <c r="A34" s="4" t="inlineStr">
        <is>
          <t>Current Liabilities</t>
        </is>
      </c>
      <c r="C34" s="5" t="n">
        <v>7.116</v>
      </c>
      <c r="D34" s="5" t="n">
        <v>10.133</v>
      </c>
      <c r="E34" s="5" t="n">
        <v>9.879</v>
      </c>
      <c r="F34" s="5" t="n">
        <v>16.193</v>
      </c>
    </row>
    <row r="35">
      <c r="A35" s="4" t="inlineStr">
        <is>
          <t>Total Debt</t>
        </is>
      </c>
      <c r="C35" s="5" t="n">
        <v>178.557</v>
      </c>
      <c r="D35" s="5" t="n">
        <v>178.705</v>
      </c>
      <c r="E35" s="5" t="n">
        <v>178.853</v>
      </c>
      <c r="F35" s="5" t="n">
        <v>192.554</v>
      </c>
    </row>
    <row r="36">
      <c r="A36" s="2" t="inlineStr">
        <is>
          <t>Total Liabilities</t>
        </is>
      </c>
      <c r="C36" s="5" t="n">
        <v>256.873</v>
      </c>
      <c r="D36" s="5" t="n">
        <v>261.19</v>
      </c>
      <c r="E36" s="5" t="n">
        <v>259.372</v>
      </c>
      <c r="F36" s="5" t="n">
        <v>279.488</v>
      </c>
    </row>
    <row r="38">
      <c r="A38" s="2" t="inlineStr">
        <is>
          <t>Total Equity</t>
        </is>
      </c>
      <c r="C38" s="5" t="n">
        <v>444.211</v>
      </c>
      <c r="D38" s="5" t="n">
        <v>447.976</v>
      </c>
      <c r="E38" s="5" t="n">
        <v>469.113</v>
      </c>
      <c r="F38" s="5" t="n">
        <v>455.657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22.338</v>
      </c>
      <c r="D42" s="5" t="n">
        <v>32.971</v>
      </c>
      <c r="E42" s="5" t="n">
        <v>28.986</v>
      </c>
      <c r="F42" s="5" t="n">
        <v>29.677</v>
      </c>
    </row>
    <row r="43">
      <c r="A43" s="4" t="inlineStr">
        <is>
          <t>Capital Expenditure</t>
        </is>
      </c>
      <c r="C43" s="5" t="n">
        <v>0</v>
      </c>
      <c r="D43" s="5" t="n">
        <v>0</v>
      </c>
      <c r="E43" s="5" t="n">
        <v>0</v>
      </c>
      <c r="F43" s="5" t="n">
        <v>0</v>
      </c>
    </row>
    <row r="44">
      <c r="A44" s="2" t="inlineStr">
        <is>
          <t>Free Cash Flow</t>
        </is>
      </c>
      <c r="C44" s="5" t="n">
        <v>22.338</v>
      </c>
      <c r="D44" s="5" t="n">
        <v>32.971</v>
      </c>
      <c r="E44" s="5" t="n">
        <v>28.986</v>
      </c>
      <c r="F44" s="5" t="n">
        <v>29.677</v>
      </c>
    </row>
    <row r="46">
      <c r="A46" s="4" t="inlineStr">
        <is>
          <t>D&amp;A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4" t="inlineStr">
        <is>
          <t>Stock-Based Compensation</t>
        </is>
      </c>
      <c r="C47" s="5" t="n">
        <v>1.569</v>
      </c>
      <c r="D47" s="5" t="n">
        <v>1.738</v>
      </c>
      <c r="E47" s="5" t="n">
        <v>1.957</v>
      </c>
      <c r="F47" s="5" t="n">
        <v>2.089</v>
      </c>
    </row>
    <row r="48">
      <c r="A48" s="4" t="inlineStr">
        <is>
          <t>Change in Working Capital</t>
        </is>
      </c>
      <c r="C48" s="5" t="n">
        <v>-1.37</v>
      </c>
      <c r="D48" s="5" t="n">
        <v>1.957</v>
      </c>
      <c r="E48" s="5" t="n">
        <v>0.797</v>
      </c>
      <c r="F48" s="5" t="n">
        <v>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FRP Holdings, Inc. (FRPH)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Real Estate Services</t>
        </is>
      </c>
      <c r="C8" s="5" t="n">
        <v>37.481</v>
      </c>
      <c r="D8" s="5" t="n">
        <v>41.506</v>
      </c>
      <c r="E8" s="5" t="n">
        <v>41.774</v>
      </c>
      <c r="F8" s="5" t="n">
        <v>42.846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4.125</v>
      </c>
      <c r="D16" s="5" t="n">
        <v>3.65</v>
      </c>
      <c r="E16" s="5" t="n">
        <v>3.437</v>
      </c>
      <c r="F16" s="5" t="n">
        <v>3.907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7.078</v>
      </c>
      <c r="D20" s="5" t="n">
        <v>7.971</v>
      </c>
      <c r="E20" s="5" t="n">
        <v>9.276</v>
      </c>
      <c r="F20" s="5" t="n">
        <v>10.655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11.462</v>
      </c>
      <c r="D22" s="5" t="n">
        <v>10.975</v>
      </c>
      <c r="E22" s="5" t="n">
        <v>10.39</v>
      </c>
      <c r="F22" s="5" t="n">
        <v>11.375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3.045</v>
      </c>
      <c r="D29" s="5" t="n">
        <v>4.315</v>
      </c>
      <c r="E29" s="5" t="n">
        <v>3.15</v>
      </c>
      <c r="F29" s="5" t="n">
        <v>2.967</v>
      </c>
      <c r="G29" s="5" t="n">
        <v>2.967</v>
      </c>
      <c r="H29" s="5" t="n">
        <v>2.967</v>
      </c>
      <c r="I29" s="5" t="n">
        <v>2.967</v>
      </c>
      <c r="J29" s="5" t="n">
        <v>2.967</v>
      </c>
      <c r="K29" s="5" t="n">
        <v>2.967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1.53</v>
      </c>
      <c r="D31" s="5" t="n">
        <v>1.516</v>
      </c>
      <c r="E31" s="5" t="n">
        <v>2.029</v>
      </c>
      <c r="F31" s="5" t="n">
        <v>0.8179999999999999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-1.37</v>
      </c>
      <c r="D39" s="5" t="n">
        <v>1.957</v>
      </c>
      <c r="E39" s="5" t="n">
        <v>0.797</v>
      </c>
      <c r="F39" s="5" t="n">
        <v>4.95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FRP Holdings, Inc. (FRPH)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21.65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-98.587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19.169835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C33/21.65-1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24x</t>
        </is>
      </c>
      <c r="D38" s="1" t="inlineStr">
        <is>
          <t>26x</t>
        </is>
      </c>
      <c r="E38" s="1" t="inlineStr">
        <is>
          <t>28x</t>
        </is>
      </c>
      <c r="F38" s="1" t="inlineStr">
        <is>
          <t>30x</t>
        </is>
      </c>
      <c r="G38" s="1" t="inlineStr">
        <is>
          <t>32x</t>
        </is>
      </c>
    </row>
    <row r="39">
      <c r="A39" s="21" t="n">
        <v>0.05</v>
      </c>
      <c r="C39" s="22">
        <f>(G$12/(1+$A$39)^1+H$12/(1+$A$39)^2+I$12/(1+$A$39)^3+J$12/(1+$A$39)^4+K$12/(1+$A$39)^5+K$8*24/(1+$A$39)^5+$C$29)/$C$32</f>
        <v/>
      </c>
      <c r="D39" s="22">
        <f>(G$12/(1+$A$39)^1+H$12/(1+$A$39)^2+I$12/(1+$A$39)^3+J$12/(1+$A$39)^4+K$12/(1+$A$39)^5+K$8*26/(1+$A$39)^5+$C$29)/$C$32</f>
        <v/>
      </c>
      <c r="E39" s="22">
        <f>(G$12/(1+$A$39)^1+H$12/(1+$A$39)^2+I$12/(1+$A$39)^3+J$12/(1+$A$39)^4+K$12/(1+$A$39)^5+K$8*28/(1+$A$39)^5+$C$29)/$C$32</f>
        <v/>
      </c>
      <c r="F39" s="22">
        <f>(G$12/(1+$A$39)^1+H$12/(1+$A$39)^2+I$12/(1+$A$39)^3+J$12/(1+$A$39)^4+K$12/(1+$A$39)^5+K$8*30/(1+$A$39)^5+$C$29)/$C$32</f>
        <v/>
      </c>
      <c r="G39" s="22">
        <f>(G$12/(1+$A$39)^1+H$12/(1+$A$39)^2+I$12/(1+$A$39)^3+J$12/(1+$A$39)^4+K$12/(1+$A$39)^5+K$8*32/(1+$A$39)^5+$C$29)/$C$32</f>
        <v/>
      </c>
    </row>
    <row r="40">
      <c r="A40" s="21" t="n">
        <v>0.06</v>
      </c>
      <c r="C40" s="22">
        <f>(G$12/(1+$A$40)^1+H$12/(1+$A$40)^2+I$12/(1+$A$40)^3+J$12/(1+$A$40)^4+K$12/(1+$A$40)^5+K$8*24/(1+$A$40)^5+$C$29)/$C$32</f>
        <v/>
      </c>
      <c r="D40" s="22">
        <f>(G$12/(1+$A$40)^1+H$12/(1+$A$40)^2+I$12/(1+$A$40)^3+J$12/(1+$A$40)^4+K$12/(1+$A$40)^5+K$8*26/(1+$A$40)^5+$C$29)/$C$32</f>
        <v/>
      </c>
      <c r="E40" s="22">
        <f>(G$12/(1+$A$40)^1+H$12/(1+$A$40)^2+I$12/(1+$A$40)^3+J$12/(1+$A$40)^4+K$12/(1+$A$40)^5+K$8*28/(1+$A$40)^5+$C$29)/$C$32</f>
        <v/>
      </c>
      <c r="F40" s="22">
        <f>(G$12/(1+$A$40)^1+H$12/(1+$A$40)^2+I$12/(1+$A$40)^3+J$12/(1+$A$40)^4+K$12/(1+$A$40)^5+K$8*30/(1+$A$40)^5+$C$29)/$C$32</f>
        <v/>
      </c>
      <c r="G40" s="22">
        <f>(G$12/(1+$A$40)^1+H$12/(1+$A$40)^2+I$12/(1+$A$40)^3+J$12/(1+$A$40)^4+K$12/(1+$A$40)^5+K$8*32/(1+$A$40)^5+$C$29)/$C$32</f>
        <v/>
      </c>
    </row>
    <row r="41">
      <c r="A41" s="21" t="n">
        <v>0.07000000000000001</v>
      </c>
      <c r="C41" s="22">
        <f>(G$12/(1+$A$41)^1+H$12/(1+$A$41)^2+I$12/(1+$A$41)^3+J$12/(1+$A$41)^4+K$12/(1+$A$41)^5+K$8*24/(1+$A$41)^5+$C$29)/$C$32</f>
        <v/>
      </c>
      <c r="D41" s="22">
        <f>(G$12/(1+$A$41)^1+H$12/(1+$A$41)^2+I$12/(1+$A$41)^3+J$12/(1+$A$41)^4+K$12/(1+$A$41)^5+K$8*26/(1+$A$41)^5+$C$29)/$C$32</f>
        <v/>
      </c>
      <c r="E41" s="22">
        <f>(G$12/(1+$A$41)^1+H$12/(1+$A$41)^2+I$12/(1+$A$41)^3+J$12/(1+$A$41)^4+K$12/(1+$A$41)^5+K$8*28/(1+$A$41)^5+$C$29)/$C$32</f>
        <v/>
      </c>
      <c r="F41" s="22">
        <f>(G$12/(1+$A$41)^1+H$12/(1+$A$41)^2+I$12/(1+$A$41)^3+J$12/(1+$A$41)^4+K$12/(1+$A$41)^5+K$8*30/(1+$A$41)^5+$C$29)/$C$32</f>
        <v/>
      </c>
      <c r="G41" s="22">
        <f>(G$12/(1+$A$41)^1+H$12/(1+$A$41)^2+I$12/(1+$A$41)^3+J$12/(1+$A$41)^4+K$12/(1+$A$41)^5+K$8*32/(1+$A$41)^5+$C$29)/$C$32</f>
        <v/>
      </c>
    </row>
    <row r="42">
      <c r="A42" s="21" t="n">
        <v>0.08</v>
      </c>
      <c r="C42" s="22">
        <f>(G$12/(1+$A$42)^1+H$12/(1+$A$42)^2+I$12/(1+$A$42)^3+J$12/(1+$A$42)^4+K$12/(1+$A$42)^5+K$8*24/(1+$A$42)^5+$C$29)/$C$32</f>
        <v/>
      </c>
      <c r="D42" s="22">
        <f>(G$12/(1+$A$42)^1+H$12/(1+$A$42)^2+I$12/(1+$A$42)^3+J$12/(1+$A$42)^4+K$12/(1+$A$42)^5+K$8*26/(1+$A$42)^5+$C$29)/$C$32</f>
        <v/>
      </c>
      <c r="E42" s="23">
        <f>(G$12/(1+$A$42)^1+H$12/(1+$A$42)^2+I$12/(1+$A$42)^3+J$12/(1+$A$42)^4+K$12/(1+$A$42)^5+K$8*28/(1+$A$42)^5+$C$29)/$C$32</f>
        <v/>
      </c>
      <c r="F42" s="22">
        <f>(G$12/(1+$A$42)^1+H$12/(1+$A$42)^2+I$12/(1+$A$42)^3+J$12/(1+$A$42)^4+K$12/(1+$A$42)^5+K$8*30/(1+$A$42)^5+$C$29)/$C$32</f>
        <v/>
      </c>
      <c r="G42" s="22">
        <f>(G$12/(1+$A$42)^1+H$12/(1+$A$42)^2+I$12/(1+$A$42)^3+J$12/(1+$A$42)^4+K$12/(1+$A$42)^5+K$8*32/(1+$A$42)^5+$C$29)/$C$32</f>
        <v/>
      </c>
    </row>
    <row r="43">
      <c r="A43" s="21" t="n">
        <v>0.09</v>
      </c>
      <c r="C43" s="22">
        <f>(G$12/(1+$A$43)^1+H$12/(1+$A$43)^2+I$12/(1+$A$43)^3+J$12/(1+$A$43)^4+K$12/(1+$A$43)^5+K$8*24/(1+$A$43)^5+$C$29)/$C$32</f>
        <v/>
      </c>
      <c r="D43" s="22">
        <f>(G$12/(1+$A$43)^1+H$12/(1+$A$43)^2+I$12/(1+$A$43)^3+J$12/(1+$A$43)^4+K$12/(1+$A$43)^5+K$8*26/(1+$A$43)^5+$C$29)/$C$32</f>
        <v/>
      </c>
      <c r="E43" s="22">
        <f>(G$12/(1+$A$43)^1+H$12/(1+$A$43)^2+I$12/(1+$A$43)^3+J$12/(1+$A$43)^4+K$12/(1+$A$43)^5+K$8*28/(1+$A$43)^5+$C$29)/$C$32</f>
        <v/>
      </c>
      <c r="F43" s="22">
        <f>(G$12/(1+$A$43)^1+H$12/(1+$A$43)^2+I$12/(1+$A$43)^3+J$12/(1+$A$43)^4+K$12/(1+$A$43)^5+K$8*30/(1+$A$43)^5+$C$29)/$C$32</f>
        <v/>
      </c>
      <c r="G43" s="22">
        <f>(G$12/(1+$A$43)^1+H$12/(1+$A$43)^2+I$12/(1+$A$43)^3+J$12/(1+$A$43)^4+K$12/(1+$A$43)^5+K$8*32/(1+$A$43)^5+$C$29)/$C$32</f>
        <v/>
      </c>
    </row>
    <row r="44">
      <c r="A44" s="21" t="n">
        <v>0.1</v>
      </c>
      <c r="C44" s="22">
        <f>(G$12/(1+$A$44)^1+H$12/(1+$A$44)^2+I$12/(1+$A$44)^3+J$12/(1+$A$44)^4+K$12/(1+$A$44)^5+K$8*24/(1+$A$44)^5+$C$29)/$C$32</f>
        <v/>
      </c>
      <c r="D44" s="22">
        <f>(G$12/(1+$A$44)^1+H$12/(1+$A$44)^2+I$12/(1+$A$44)^3+J$12/(1+$A$44)^4+K$12/(1+$A$44)^5+K$8*26/(1+$A$44)^5+$C$29)/$C$32</f>
        <v/>
      </c>
      <c r="E44" s="22">
        <f>(G$12/(1+$A$44)^1+H$12/(1+$A$44)^2+I$12/(1+$A$44)^3+J$12/(1+$A$44)^4+K$12/(1+$A$44)^5+K$8*28/(1+$A$44)^5+$C$29)/$C$32</f>
        <v/>
      </c>
      <c r="F44" s="22">
        <f>(G$12/(1+$A$44)^1+H$12/(1+$A$44)^2+I$12/(1+$A$44)^3+J$12/(1+$A$44)^4+K$12/(1+$A$44)^5+K$8*30/(1+$A$44)^5+$C$29)/$C$32</f>
        <v/>
      </c>
      <c r="G44" s="22">
        <f>(G$12/(1+$A$44)^1+H$12/(1+$A$44)^2+I$12/(1+$A$44)^3+J$12/(1+$A$44)^4+K$12/(1+$A$44)^5+K$8*32/(1+$A$44)^5+$C$29)/$C$32</f>
        <v/>
      </c>
    </row>
    <row r="45">
      <c r="A45" s="21" t="n">
        <v>0.11</v>
      </c>
      <c r="C45" s="22">
        <f>(G$12/(1+$A$45)^1+H$12/(1+$A$45)^2+I$12/(1+$A$45)^3+J$12/(1+$A$45)^4+K$12/(1+$A$45)^5+K$8*24/(1+$A$45)^5+$C$29)/$C$32</f>
        <v/>
      </c>
      <c r="D45" s="22">
        <f>(G$12/(1+$A$45)^1+H$12/(1+$A$45)^2+I$12/(1+$A$45)^3+J$12/(1+$A$45)^4+K$12/(1+$A$45)^5+K$8*26/(1+$A$45)^5+$C$29)/$C$32</f>
        <v/>
      </c>
      <c r="E45" s="22">
        <f>(G$12/(1+$A$45)^1+H$12/(1+$A$45)^2+I$12/(1+$A$45)^3+J$12/(1+$A$45)^4+K$12/(1+$A$45)^5+K$8*28/(1+$A$45)^5+$C$29)/$C$32</f>
        <v/>
      </c>
      <c r="F45" s="22">
        <f>(G$12/(1+$A$45)^1+H$12/(1+$A$45)^2+I$12/(1+$A$45)^3+J$12/(1+$A$45)^4+K$12/(1+$A$45)^5+K$8*30/(1+$A$45)^5+$C$29)/$C$32</f>
        <v/>
      </c>
      <c r="G45" s="22">
        <f>(G$12/(1+$A$45)^1+H$12/(1+$A$45)^2+I$12/(1+$A$45)^3+J$12/(1+$A$45)^4+K$12/(1+$A$45)^5+K$8*32/(1+$A$45)^5+$C$29)/$C$32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2026-05-15T16:04:14Z</dcterms:created>
  <dcterms:modified xmlns:dcterms="http://purl.org/dc/terms/" xmlns:xsi="http://www.w3.org/2001/XMLSchema-instance" xsi:type="dcterms:W3CDTF">2026-05-15T16:04:14Z</dcterms:modified>
</cp:coreProperties>
</file>