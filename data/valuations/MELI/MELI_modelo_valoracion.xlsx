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MercadoLibre, Inc. (MELI)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Internet Retail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10780</v>
      </c>
      <c r="D7" s="5" t="n">
        <v>15107</v>
      </c>
      <c r="E7" s="5" t="n">
        <v>20777</v>
      </c>
      <c r="F7" s="5" t="n">
        <v>28893</v>
      </c>
    </row>
    <row r="8">
      <c r="A8" s="4" t="inlineStr">
        <is>
          <t xml:space="preserve">  Revenue Growth - Base</t>
        </is>
      </c>
      <c r="G8" s="6" t="n">
        <v>0.32</v>
      </c>
      <c r="H8" s="6" t="n">
        <v>0.26</v>
      </c>
      <c r="I8" s="6" t="n">
        <v>0.2</v>
      </c>
      <c r="J8" s="6" t="n">
        <v>0.16</v>
      </c>
      <c r="K8" s="6" t="n">
        <v>0.13</v>
      </c>
    </row>
    <row r="9">
      <c r="A9" s="4" t="inlineStr">
        <is>
          <t xml:space="preserve">  Revenue Growth - Bull</t>
        </is>
      </c>
      <c r="G9" s="6" t="n">
        <v>0.38</v>
      </c>
      <c r="H9" s="6" t="n">
        <v>0.3</v>
      </c>
      <c r="I9" s="6" t="n">
        <v>0.24</v>
      </c>
      <c r="J9" s="6" t="n">
        <v>0.18</v>
      </c>
      <c r="K9" s="6" t="n">
        <v>0.14</v>
      </c>
    </row>
    <row r="10">
      <c r="A10" s="4" t="inlineStr">
        <is>
          <t xml:space="preserve">  Revenue Growth - Bear</t>
        </is>
      </c>
      <c r="G10" s="6" t="n">
        <v>0.2</v>
      </c>
      <c r="H10" s="6" t="n">
        <v>0.16</v>
      </c>
      <c r="I10" s="6" t="n">
        <v>0.13</v>
      </c>
      <c r="J10" s="6" t="n">
        <v>0.11</v>
      </c>
      <c r="K10" s="6" t="n">
        <v>0.09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0.47</v>
      </c>
      <c r="H15" s="6" t="n">
        <v>0.47</v>
      </c>
      <c r="I15" s="6" t="n">
        <v>0.47</v>
      </c>
      <c r="J15" s="6" t="n">
        <v>0.47</v>
      </c>
      <c r="K15" s="6" t="n">
        <v>0.47</v>
      </c>
    </row>
    <row r="16">
      <c r="A16" s="4" t="inlineStr">
        <is>
          <t>Gross Margin - Bull</t>
        </is>
      </c>
      <c r="G16" s="6" t="n">
        <v>0.475</v>
      </c>
      <c r="H16" s="6" t="n">
        <v>0.475</v>
      </c>
      <c r="I16" s="6" t="n">
        <v>0.475</v>
      </c>
      <c r="J16" s="6" t="n">
        <v>0.475</v>
      </c>
      <c r="K16" s="6" t="n">
        <v>0.475</v>
      </c>
    </row>
    <row r="17">
      <c r="A17" s="4" t="inlineStr">
        <is>
          <t>Gross Margin - Bear</t>
        </is>
      </c>
      <c r="G17" s="6" t="n">
        <v>0.46</v>
      </c>
      <c r="H17" s="6" t="n">
        <v>0.46</v>
      </c>
      <c r="I17" s="6" t="n">
        <v>0.46</v>
      </c>
      <c r="J17" s="6" t="n">
        <v>0.46</v>
      </c>
      <c r="K17" s="6" t="n">
        <v>0.46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0.35</v>
      </c>
      <c r="H20" s="6" t="n">
        <v>0.35</v>
      </c>
      <c r="I20" s="6" t="n">
        <v>0.35</v>
      </c>
      <c r="J20" s="6" t="n">
        <v>0.35</v>
      </c>
      <c r="K20" s="6" t="n">
        <v>0.35</v>
      </c>
    </row>
    <row r="21">
      <c r="A21" s="4" t="inlineStr">
        <is>
          <t>SG&amp;A % Revenue - Bull</t>
        </is>
      </c>
      <c r="G21" s="6" t="n">
        <v>0.335</v>
      </c>
      <c r="H21" s="6" t="n">
        <v>0.335</v>
      </c>
      <c r="I21" s="6" t="n">
        <v>0.335</v>
      </c>
      <c r="J21" s="6" t="n">
        <v>0.335</v>
      </c>
      <c r="K21" s="6" t="n">
        <v>0.335</v>
      </c>
    </row>
    <row r="22">
      <c r="A22" s="4" t="inlineStr">
        <is>
          <t>SG&amp;A % Revenue - Bear</t>
        </is>
      </c>
      <c r="G22" s="6" t="n">
        <v>0.37</v>
      </c>
      <c r="H22" s="6" t="n">
        <v>0.37</v>
      </c>
      <c r="I22" s="6" t="n">
        <v>0.37</v>
      </c>
      <c r="J22" s="6" t="n">
        <v>0.37</v>
      </c>
      <c r="K22" s="6" t="n">
        <v>0.37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0.033</v>
      </c>
      <c r="H30" s="6" t="n">
        <v>0.033</v>
      </c>
      <c r="I30" s="6" t="n">
        <v>0.033</v>
      </c>
      <c r="J30" s="6" t="n">
        <v>0.033</v>
      </c>
      <c r="K30" s="6" t="n">
        <v>0.033</v>
      </c>
    </row>
    <row r="31">
      <c r="A31" s="4" t="inlineStr">
        <is>
          <t>CapEx % Revenue</t>
        </is>
      </c>
      <c r="G31" s="6" t="n">
        <v>0.042</v>
      </c>
      <c r="H31" s="6" t="n">
        <v>0.042</v>
      </c>
      <c r="I31" s="6" t="n">
        <v>0.042</v>
      </c>
      <c r="J31" s="6" t="n">
        <v>0.042</v>
      </c>
      <c r="K31" s="6" t="n">
        <v>0.042</v>
      </c>
    </row>
    <row r="32">
      <c r="A32" s="4" t="inlineStr">
        <is>
          <t>Tax Rate</t>
        </is>
      </c>
      <c r="G32" s="6" t="n">
        <v>0.25</v>
      </c>
      <c r="H32" s="6" t="n">
        <v>0.25</v>
      </c>
      <c r="I32" s="6" t="n">
        <v>0.25</v>
      </c>
      <c r="J32" s="6" t="n">
        <v>0.25</v>
      </c>
      <c r="K32" s="6" t="n">
        <v>0.25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0.12</v>
      </c>
    </row>
    <row r="36">
      <c r="A36" s="4" t="inlineStr">
        <is>
          <t>WACC - Bull</t>
        </is>
      </c>
      <c r="C36" s="6" t="n">
        <v>0.115</v>
      </c>
    </row>
    <row r="37">
      <c r="A37" s="4" t="inlineStr">
        <is>
          <t>WACC - Bear</t>
        </is>
      </c>
      <c r="C37" s="6" t="n">
        <v>0.13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15</v>
      </c>
    </row>
    <row r="41">
      <c r="A41" s="4" t="inlineStr">
        <is>
          <t>Terminal Value Multiple - Bull</t>
        </is>
      </c>
      <c r="C41" s="9" t="n">
        <v>16</v>
      </c>
    </row>
    <row r="42">
      <c r="A42" s="4" t="inlineStr">
        <is>
          <t>Terminal Value Multiple - Bear</t>
        </is>
      </c>
      <c r="C42" s="9" t="n">
        <v>13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MercadoLibre, Inc. (MELI)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10780</v>
      </c>
      <c r="D6" s="5" t="n">
        <v>15107</v>
      </c>
      <c r="E6" s="5" t="n">
        <v>20777</v>
      </c>
      <c r="F6" s="5" t="n">
        <v>28893</v>
      </c>
    </row>
    <row r="7">
      <c r="A7" s="4" t="inlineStr">
        <is>
          <t>Cost of Revenue</t>
        </is>
      </c>
      <c r="C7" s="5" t="n">
        <v>5582</v>
      </c>
      <c r="D7" s="5" t="n">
        <v>7517</v>
      </c>
      <c r="E7" s="5" t="n">
        <v>0</v>
      </c>
      <c r="F7" s="5" t="n">
        <v>0</v>
      </c>
    </row>
    <row r="8">
      <c r="A8" s="2" t="inlineStr">
        <is>
          <t>Gross Profit</t>
        </is>
      </c>
      <c r="C8" s="5" t="n">
        <v>5198</v>
      </c>
      <c r="D8" s="5" t="n">
        <v>7590</v>
      </c>
      <c r="E8" s="5" t="n">
        <v>9577</v>
      </c>
      <c r="F8" s="5" t="n">
        <v>12858</v>
      </c>
    </row>
    <row r="9">
      <c r="A9" s="4" t="inlineStr">
        <is>
          <t xml:space="preserve">  Gross Margin</t>
        </is>
      </c>
      <c r="C9" s="11" t="n">
        <v>0.4821892393320965</v>
      </c>
      <c r="D9" s="11" t="n">
        <v>0.5024160984973853</v>
      </c>
      <c r="E9" s="11" t="n">
        <v>0.4609423882177408</v>
      </c>
      <c r="F9" s="11" t="n">
        <v>0.4450212854324577</v>
      </c>
    </row>
    <row r="11">
      <c r="A11" s="4" t="inlineStr">
        <is>
          <t>R&amp;D Expense</t>
        </is>
      </c>
      <c r="C11" s="5" t="n">
        <v>1099</v>
      </c>
      <c r="D11" s="5" t="n">
        <v>1831</v>
      </c>
      <c r="E11" s="5" t="n">
        <v>1934</v>
      </c>
      <c r="F11" s="5" t="n">
        <v>2269</v>
      </c>
    </row>
    <row r="12">
      <c r="A12" s="4" t="inlineStr">
        <is>
          <t>SG&amp;A Expense</t>
        </is>
      </c>
      <c r="C12" s="5" t="n">
        <v>1957</v>
      </c>
      <c r="D12" s="5" t="n">
        <v>2502</v>
      </c>
      <c r="E12" s="5" t="n">
        <v>3154</v>
      </c>
      <c r="F12" s="5" t="n">
        <v>4297</v>
      </c>
    </row>
    <row r="13">
      <c r="A13" s="2" t="inlineStr">
        <is>
          <t>Operating Income (EBIT)</t>
        </is>
      </c>
      <c r="C13" s="5" t="n">
        <v>1069</v>
      </c>
      <c r="D13" s="5" t="n">
        <v>2207</v>
      </c>
      <c r="E13" s="5" t="n">
        <v>2631</v>
      </c>
      <c r="F13" s="5" t="n">
        <v>3201</v>
      </c>
    </row>
    <row r="14">
      <c r="A14" s="4" t="inlineStr">
        <is>
          <t xml:space="preserve">  EBIT Margin</t>
        </is>
      </c>
      <c r="C14" s="11" t="n">
        <v>0.09916512059369202</v>
      </c>
      <c r="D14" s="11" t="n">
        <v>0.1460912159925862</v>
      </c>
      <c r="E14" s="11" t="n">
        <v>0.1266304086249218</v>
      </c>
      <c r="F14" s="11" t="n">
        <v>0.1107880801578237</v>
      </c>
    </row>
    <row r="16">
      <c r="A16" s="4" t="inlineStr">
        <is>
          <t>Interest Expense</t>
        </is>
      </c>
      <c r="C16" s="5" t="n">
        <v>135</v>
      </c>
      <c r="D16" s="5" t="n">
        <v>174</v>
      </c>
      <c r="E16" s="5" t="n">
        <v>165</v>
      </c>
      <c r="F16" s="5" t="n">
        <v>160</v>
      </c>
    </row>
    <row r="17">
      <c r="A17" s="4" t="inlineStr">
        <is>
          <t>Tax Provision</t>
        </is>
      </c>
      <c r="C17" s="5" t="n">
        <v>298</v>
      </c>
      <c r="D17" s="5" t="n">
        <v>569</v>
      </c>
      <c r="E17" s="5" t="n">
        <v>521</v>
      </c>
      <c r="F17" s="5" t="n">
        <v>845</v>
      </c>
    </row>
    <row r="18">
      <c r="A18" s="2" t="inlineStr">
        <is>
          <t>Net Income</t>
        </is>
      </c>
      <c r="C18" s="5" t="n">
        <v>482</v>
      </c>
      <c r="D18" s="5" t="n">
        <v>987</v>
      </c>
      <c r="E18" s="5" t="n">
        <v>1911</v>
      </c>
      <c r="F18" s="5" t="n">
        <v>1997</v>
      </c>
    </row>
    <row r="19">
      <c r="A19" s="4" t="inlineStr">
        <is>
          <t xml:space="preserve">  Net Margin</t>
        </is>
      </c>
      <c r="C19" s="11" t="n">
        <v>0.04471243042671614</v>
      </c>
      <c r="D19" s="11" t="n">
        <v>0.06533395114847422</v>
      </c>
      <c r="E19" s="11" t="n">
        <v>0.09197670501034798</v>
      </c>
      <c r="F19" s="11" t="n">
        <v>0.06911708718374693</v>
      </c>
    </row>
    <row r="21">
      <c r="A21" s="2" t="inlineStr">
        <is>
          <t>EBITDA</t>
        </is>
      </c>
      <c r="C21" s="5" t="n">
        <v>1318</v>
      </c>
      <c r="D21" s="5" t="n">
        <v>2251</v>
      </c>
      <c r="E21" s="5" t="n">
        <v>3214</v>
      </c>
      <c r="F21" s="5" t="n">
        <v>3820</v>
      </c>
    </row>
    <row r="22">
      <c r="A22" s="4" t="inlineStr">
        <is>
          <t xml:space="preserve">  EBITDA Margin</t>
        </is>
      </c>
      <c r="C22" s="11" t="n">
        <v>0.1222634508348794</v>
      </c>
      <c r="D22" s="11" t="n">
        <v>0.1490037730853247</v>
      </c>
      <c r="E22" s="11" t="n">
        <v>0.1546902825239447</v>
      </c>
      <c r="F22" s="11" t="n">
        <v>0.1322119544526356</v>
      </c>
    </row>
    <row r="23">
      <c r="A23" s="4" t="inlineStr">
        <is>
          <t>Diluted EPS</t>
        </is>
      </c>
      <c r="C23" s="12" t="n">
        <v>9.529999999999999</v>
      </c>
      <c r="D23" s="12" t="n">
        <v>19.46</v>
      </c>
      <c r="E23" s="12" t="n">
        <v>37.69</v>
      </c>
      <c r="F23" s="12" t="n">
        <v>39.4</v>
      </c>
    </row>
    <row r="24">
      <c r="A24" s="4" t="inlineStr">
        <is>
          <t>D&amp;A</t>
        </is>
      </c>
      <c r="C24" s="5" t="n">
        <v>403</v>
      </c>
      <c r="D24" s="5" t="n">
        <v>524</v>
      </c>
      <c r="E24" s="5" t="n">
        <v>617</v>
      </c>
      <c r="F24" s="5" t="n">
        <v>818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1910</v>
      </c>
      <c r="D28" s="5" t="n">
        <v>2556</v>
      </c>
      <c r="E28" s="5" t="n">
        <v>2635</v>
      </c>
      <c r="F28" s="5" t="n">
        <v>3670</v>
      </c>
    </row>
    <row r="29">
      <c r="A29" s="4" t="inlineStr">
        <is>
          <t>Current Assets</t>
        </is>
      </c>
      <c r="C29" s="5" t="n">
        <v>10953</v>
      </c>
      <c r="D29" s="5" t="n">
        <v>14260</v>
      </c>
      <c r="E29" s="5" t="n">
        <v>20142</v>
      </c>
      <c r="F29" s="5" t="n">
        <v>33573</v>
      </c>
    </row>
    <row r="30">
      <c r="A30" s="4" t="inlineStr">
        <is>
          <t>Net PP&amp;E</t>
        </is>
      </c>
      <c r="C30" s="5" t="n">
        <v>1649</v>
      </c>
      <c r="D30" s="5" t="n">
        <v>2149</v>
      </c>
      <c r="E30" s="5" t="n">
        <v>2478</v>
      </c>
      <c r="F30" s="5" t="n">
        <v>4504</v>
      </c>
    </row>
    <row r="31">
      <c r="A31" s="4" t="inlineStr">
        <is>
          <t>Goodwill</t>
        </is>
      </c>
      <c r="C31" s="5" t="n">
        <v>153</v>
      </c>
      <c r="D31" s="5" t="n">
        <v>163</v>
      </c>
      <c r="E31" s="5" t="n">
        <v>149</v>
      </c>
      <c r="F31" s="5" t="n">
        <v>163</v>
      </c>
    </row>
    <row r="32">
      <c r="A32" s="2" t="inlineStr">
        <is>
          <t>Total Assets</t>
        </is>
      </c>
      <c r="C32" s="5" t="n">
        <v>13736</v>
      </c>
      <c r="D32" s="5" t="n">
        <v>17612</v>
      </c>
      <c r="E32" s="5" t="n">
        <v>25196</v>
      </c>
      <c r="F32" s="5" t="n">
        <v>42667</v>
      </c>
    </row>
    <row r="34">
      <c r="A34" s="4" t="inlineStr">
        <is>
          <t>Current Liabilities</t>
        </is>
      </c>
      <c r="C34" s="5" t="n">
        <v>8562</v>
      </c>
      <c r="D34" s="5" t="n">
        <v>11263</v>
      </c>
      <c r="E34" s="5" t="n">
        <v>16603</v>
      </c>
      <c r="F34" s="5" t="n">
        <v>28633</v>
      </c>
    </row>
    <row r="35">
      <c r="A35" s="4" t="inlineStr">
        <is>
          <t>Total Debt</t>
        </is>
      </c>
      <c r="C35" s="5" t="n">
        <v>5414</v>
      </c>
      <c r="D35" s="5" t="n">
        <v>5333</v>
      </c>
      <c r="E35" s="5" t="n">
        <v>6850</v>
      </c>
      <c r="F35" s="5" t="n">
        <v>11392</v>
      </c>
    </row>
    <row r="36">
      <c r="A36" s="2" t="inlineStr">
        <is>
          <t>Total Liabilities</t>
        </is>
      </c>
      <c r="C36" s="5" t="n">
        <v>11909</v>
      </c>
      <c r="D36" s="5" t="n">
        <v>14541</v>
      </c>
      <c r="E36" s="5" t="n">
        <v>20845</v>
      </c>
      <c r="F36" s="5" t="n">
        <v>35919</v>
      </c>
    </row>
    <row r="38">
      <c r="A38" s="2" t="inlineStr">
        <is>
          <t>Total Equity</t>
        </is>
      </c>
      <c r="C38" s="5" t="n">
        <v>1827</v>
      </c>
      <c r="D38" s="5" t="n">
        <v>3071</v>
      </c>
      <c r="E38" s="5" t="n">
        <v>4351</v>
      </c>
      <c r="F38" s="5" t="n">
        <v>6748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2940</v>
      </c>
      <c r="D42" s="5" t="n">
        <v>5140</v>
      </c>
      <c r="E42" s="5" t="n">
        <v>7918</v>
      </c>
      <c r="F42" s="5" t="n">
        <v>12116</v>
      </c>
    </row>
    <row r="43">
      <c r="A43" s="4" t="inlineStr">
        <is>
          <t>Capital Expenditure</t>
        </is>
      </c>
      <c r="C43" s="5" t="n">
        <v>-455</v>
      </c>
      <c r="D43" s="5" t="n">
        <v>-509</v>
      </c>
      <c r="E43" s="5" t="n">
        <v>-860</v>
      </c>
      <c r="F43" s="5" t="n">
        <v>-1343</v>
      </c>
    </row>
    <row r="44">
      <c r="A44" s="2" t="inlineStr">
        <is>
          <t>Free Cash Flow</t>
        </is>
      </c>
      <c r="C44" s="5" t="n">
        <v>2485</v>
      </c>
      <c r="D44" s="5" t="n">
        <v>4631</v>
      </c>
      <c r="E44" s="5" t="n">
        <v>7058</v>
      </c>
      <c r="F44" s="5" t="n">
        <v>10773</v>
      </c>
    </row>
    <row r="46">
      <c r="A46" s="4" t="inlineStr">
        <is>
          <t>D&amp;A</t>
        </is>
      </c>
      <c r="C46" s="5" t="n">
        <v>403</v>
      </c>
      <c r="D46" s="5" t="n">
        <v>524</v>
      </c>
      <c r="E46" s="5" t="n">
        <v>617</v>
      </c>
      <c r="F46" s="5" t="n">
        <v>818</v>
      </c>
    </row>
    <row r="47">
      <c r="A47" s="4" t="inlineStr">
        <is>
          <t>Stock-Based Compensation</t>
        </is>
      </c>
      <c r="C47" s="5" t="n">
        <v>1</v>
      </c>
      <c r="D47" s="5" t="n">
        <v>167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411</v>
      </c>
      <c r="D48" s="5" t="n">
        <v>1795</v>
      </c>
      <c r="E48" s="5" t="n">
        <v>3191</v>
      </c>
      <c r="F48" s="5" t="n">
        <v>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MercadoLibre, Inc. (MELI)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Internet Retail</t>
        </is>
      </c>
      <c r="C8" s="5" t="n">
        <v>10780</v>
      </c>
      <c r="D8" s="5" t="n">
        <v>15107</v>
      </c>
      <c r="E8" s="5" t="n">
        <v>20777</v>
      </c>
      <c r="F8" s="5" t="n">
        <v>28893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5582</v>
      </c>
      <c r="D16" s="5" t="n">
        <v>7517</v>
      </c>
      <c r="E16" s="5" t="n">
        <v>0</v>
      </c>
      <c r="F16" s="5" t="n">
        <v>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1957</v>
      </c>
      <c r="D20" s="5" t="n">
        <v>2502</v>
      </c>
      <c r="E20" s="5" t="n">
        <v>3154</v>
      </c>
      <c r="F20" s="5" t="n">
        <v>4297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1099</v>
      </c>
      <c r="D21" s="5" t="n">
        <v>1831</v>
      </c>
      <c r="E21" s="5" t="n">
        <v>1934</v>
      </c>
      <c r="F21" s="5" t="n">
        <v>2269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403</v>
      </c>
      <c r="D22" s="5" t="n">
        <v>524</v>
      </c>
      <c r="E22" s="5" t="n">
        <v>617</v>
      </c>
      <c r="F22" s="5" t="n">
        <v>818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135</v>
      </c>
      <c r="D29" s="5" t="n">
        <v>174</v>
      </c>
      <c r="E29" s="5" t="n">
        <v>165</v>
      </c>
      <c r="F29" s="5" t="n">
        <v>160</v>
      </c>
      <c r="G29" s="5" t="n">
        <v>160</v>
      </c>
      <c r="H29" s="5" t="n">
        <v>160</v>
      </c>
      <c r="I29" s="5" t="n">
        <v>160</v>
      </c>
      <c r="J29" s="5" t="n">
        <v>160</v>
      </c>
      <c r="K29" s="5" t="n">
        <v>160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298</v>
      </c>
      <c r="D31" s="5" t="n">
        <v>569</v>
      </c>
      <c r="E31" s="5" t="n">
        <v>521</v>
      </c>
      <c r="F31" s="5" t="n">
        <v>845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411</v>
      </c>
      <c r="D39" s="5" t="n">
        <v>1795</v>
      </c>
      <c r="E39" s="5" t="n">
        <v>3191</v>
      </c>
      <c r="F39" s="5" t="n">
        <v>5923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-455</v>
      </c>
      <c r="D42" s="5" t="n">
        <v>-509</v>
      </c>
      <c r="E42" s="5" t="n">
        <v>-860</v>
      </c>
      <c r="F42" s="5" t="n">
        <v>-1343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MercadoLibre, Inc. (MELI)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1546.81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-7722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50.697182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C33/1546.81-1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11x</t>
        </is>
      </c>
      <c r="D38" s="1" t="inlineStr">
        <is>
          <t>13x</t>
        </is>
      </c>
      <c r="E38" s="1" t="inlineStr">
        <is>
          <t>15x</t>
        </is>
      </c>
      <c r="F38" s="1" t="inlineStr">
        <is>
          <t>17x</t>
        </is>
      </c>
      <c r="G38" s="1" t="inlineStr">
        <is>
          <t>19x</t>
        </is>
      </c>
    </row>
    <row r="39">
      <c r="A39" s="21" t="n">
        <v>0.09</v>
      </c>
      <c r="C39" s="22">
        <f>(G$12/(1+$A$39)^1+H$12/(1+$A$39)^2+I$12/(1+$A$39)^3+J$12/(1+$A$39)^4+K$12/(1+$A$39)^5+K$8*11/(1+$A$39)^5+$C$29)/$C$32</f>
        <v/>
      </c>
      <c r="D39" s="22">
        <f>(G$12/(1+$A$39)^1+H$12/(1+$A$39)^2+I$12/(1+$A$39)^3+J$12/(1+$A$39)^4+K$12/(1+$A$39)^5+K$8*13/(1+$A$39)^5+$C$29)/$C$32</f>
        <v/>
      </c>
      <c r="E39" s="22">
        <f>(G$12/(1+$A$39)^1+H$12/(1+$A$39)^2+I$12/(1+$A$39)^3+J$12/(1+$A$39)^4+K$12/(1+$A$39)^5+K$8*15/(1+$A$39)^5+$C$29)/$C$32</f>
        <v/>
      </c>
      <c r="F39" s="22">
        <f>(G$12/(1+$A$39)^1+H$12/(1+$A$39)^2+I$12/(1+$A$39)^3+J$12/(1+$A$39)^4+K$12/(1+$A$39)^5+K$8*17/(1+$A$39)^5+$C$29)/$C$32</f>
        <v/>
      </c>
      <c r="G39" s="22">
        <f>(G$12/(1+$A$39)^1+H$12/(1+$A$39)^2+I$12/(1+$A$39)^3+J$12/(1+$A$39)^4+K$12/(1+$A$39)^5+K$8*19/(1+$A$39)^5+$C$29)/$C$32</f>
        <v/>
      </c>
    </row>
    <row r="40">
      <c r="A40" s="21" t="n">
        <v>0.09999999999999999</v>
      </c>
      <c r="C40" s="22">
        <f>(G$12/(1+$A$40)^1+H$12/(1+$A$40)^2+I$12/(1+$A$40)^3+J$12/(1+$A$40)^4+K$12/(1+$A$40)^5+K$8*11/(1+$A$40)^5+$C$29)/$C$32</f>
        <v/>
      </c>
      <c r="D40" s="22">
        <f>(G$12/(1+$A$40)^1+H$12/(1+$A$40)^2+I$12/(1+$A$40)^3+J$12/(1+$A$40)^4+K$12/(1+$A$40)^5+K$8*13/(1+$A$40)^5+$C$29)/$C$32</f>
        <v/>
      </c>
      <c r="E40" s="22">
        <f>(G$12/(1+$A$40)^1+H$12/(1+$A$40)^2+I$12/(1+$A$40)^3+J$12/(1+$A$40)^4+K$12/(1+$A$40)^5+K$8*15/(1+$A$40)^5+$C$29)/$C$32</f>
        <v/>
      </c>
      <c r="F40" s="22">
        <f>(G$12/(1+$A$40)^1+H$12/(1+$A$40)^2+I$12/(1+$A$40)^3+J$12/(1+$A$40)^4+K$12/(1+$A$40)^5+K$8*17/(1+$A$40)^5+$C$29)/$C$32</f>
        <v/>
      </c>
      <c r="G40" s="22">
        <f>(G$12/(1+$A$40)^1+H$12/(1+$A$40)^2+I$12/(1+$A$40)^3+J$12/(1+$A$40)^4+K$12/(1+$A$40)^5+K$8*19/(1+$A$40)^5+$C$29)/$C$32</f>
        <v/>
      </c>
    </row>
    <row r="41">
      <c r="A41" s="21" t="n">
        <v>0.11</v>
      </c>
      <c r="C41" s="22">
        <f>(G$12/(1+$A$41)^1+H$12/(1+$A$41)^2+I$12/(1+$A$41)^3+J$12/(1+$A$41)^4+K$12/(1+$A$41)^5+K$8*11/(1+$A$41)^5+$C$29)/$C$32</f>
        <v/>
      </c>
      <c r="D41" s="22">
        <f>(G$12/(1+$A$41)^1+H$12/(1+$A$41)^2+I$12/(1+$A$41)^3+J$12/(1+$A$41)^4+K$12/(1+$A$41)^5+K$8*13/(1+$A$41)^5+$C$29)/$C$32</f>
        <v/>
      </c>
      <c r="E41" s="22">
        <f>(G$12/(1+$A$41)^1+H$12/(1+$A$41)^2+I$12/(1+$A$41)^3+J$12/(1+$A$41)^4+K$12/(1+$A$41)^5+K$8*15/(1+$A$41)^5+$C$29)/$C$32</f>
        <v/>
      </c>
      <c r="F41" s="22">
        <f>(G$12/(1+$A$41)^1+H$12/(1+$A$41)^2+I$12/(1+$A$41)^3+J$12/(1+$A$41)^4+K$12/(1+$A$41)^5+K$8*17/(1+$A$41)^5+$C$29)/$C$32</f>
        <v/>
      </c>
      <c r="G41" s="22">
        <f>(G$12/(1+$A$41)^1+H$12/(1+$A$41)^2+I$12/(1+$A$41)^3+J$12/(1+$A$41)^4+K$12/(1+$A$41)^5+K$8*19/(1+$A$41)^5+$C$29)/$C$32</f>
        <v/>
      </c>
    </row>
    <row r="42">
      <c r="A42" s="21" t="n">
        <v>0.12</v>
      </c>
      <c r="C42" s="22">
        <f>(G$12/(1+$A$42)^1+H$12/(1+$A$42)^2+I$12/(1+$A$42)^3+J$12/(1+$A$42)^4+K$12/(1+$A$42)^5+K$8*11/(1+$A$42)^5+$C$29)/$C$32</f>
        <v/>
      </c>
      <c r="D42" s="22">
        <f>(G$12/(1+$A$42)^1+H$12/(1+$A$42)^2+I$12/(1+$A$42)^3+J$12/(1+$A$42)^4+K$12/(1+$A$42)^5+K$8*13/(1+$A$42)^5+$C$29)/$C$32</f>
        <v/>
      </c>
      <c r="E42" s="23">
        <f>(G$12/(1+$A$42)^1+H$12/(1+$A$42)^2+I$12/(1+$A$42)^3+J$12/(1+$A$42)^4+K$12/(1+$A$42)^5+K$8*15/(1+$A$42)^5+$C$29)/$C$32</f>
        <v/>
      </c>
      <c r="F42" s="22">
        <f>(G$12/(1+$A$42)^1+H$12/(1+$A$42)^2+I$12/(1+$A$42)^3+J$12/(1+$A$42)^4+K$12/(1+$A$42)^5+K$8*17/(1+$A$42)^5+$C$29)/$C$32</f>
        <v/>
      </c>
      <c r="G42" s="22">
        <f>(G$12/(1+$A$42)^1+H$12/(1+$A$42)^2+I$12/(1+$A$42)^3+J$12/(1+$A$42)^4+K$12/(1+$A$42)^5+K$8*19/(1+$A$42)^5+$C$29)/$C$32</f>
        <v/>
      </c>
    </row>
    <row r="43">
      <c r="A43" s="21" t="n">
        <v>0.13</v>
      </c>
      <c r="C43" s="22">
        <f>(G$12/(1+$A$43)^1+H$12/(1+$A$43)^2+I$12/(1+$A$43)^3+J$12/(1+$A$43)^4+K$12/(1+$A$43)^5+K$8*11/(1+$A$43)^5+$C$29)/$C$32</f>
        <v/>
      </c>
      <c r="D43" s="22">
        <f>(G$12/(1+$A$43)^1+H$12/(1+$A$43)^2+I$12/(1+$A$43)^3+J$12/(1+$A$43)^4+K$12/(1+$A$43)^5+K$8*13/(1+$A$43)^5+$C$29)/$C$32</f>
        <v/>
      </c>
      <c r="E43" s="22">
        <f>(G$12/(1+$A$43)^1+H$12/(1+$A$43)^2+I$12/(1+$A$43)^3+J$12/(1+$A$43)^4+K$12/(1+$A$43)^5+K$8*15/(1+$A$43)^5+$C$29)/$C$32</f>
        <v/>
      </c>
      <c r="F43" s="22">
        <f>(G$12/(1+$A$43)^1+H$12/(1+$A$43)^2+I$12/(1+$A$43)^3+J$12/(1+$A$43)^4+K$12/(1+$A$43)^5+K$8*17/(1+$A$43)^5+$C$29)/$C$32</f>
        <v/>
      </c>
      <c r="G43" s="22">
        <f>(G$12/(1+$A$43)^1+H$12/(1+$A$43)^2+I$12/(1+$A$43)^3+J$12/(1+$A$43)^4+K$12/(1+$A$43)^5+K$8*19/(1+$A$43)^5+$C$29)/$C$32</f>
        <v/>
      </c>
    </row>
    <row r="44">
      <c r="A44" s="21" t="n">
        <v>0.14</v>
      </c>
      <c r="C44" s="22">
        <f>(G$12/(1+$A$44)^1+H$12/(1+$A$44)^2+I$12/(1+$A$44)^3+J$12/(1+$A$44)^4+K$12/(1+$A$44)^5+K$8*11/(1+$A$44)^5+$C$29)/$C$32</f>
        <v/>
      </c>
      <c r="D44" s="22">
        <f>(G$12/(1+$A$44)^1+H$12/(1+$A$44)^2+I$12/(1+$A$44)^3+J$12/(1+$A$44)^4+K$12/(1+$A$44)^5+K$8*13/(1+$A$44)^5+$C$29)/$C$32</f>
        <v/>
      </c>
      <c r="E44" s="22">
        <f>(G$12/(1+$A$44)^1+H$12/(1+$A$44)^2+I$12/(1+$A$44)^3+J$12/(1+$A$44)^4+K$12/(1+$A$44)^5+K$8*15/(1+$A$44)^5+$C$29)/$C$32</f>
        <v/>
      </c>
      <c r="F44" s="22">
        <f>(G$12/(1+$A$44)^1+H$12/(1+$A$44)^2+I$12/(1+$A$44)^3+J$12/(1+$A$44)^4+K$12/(1+$A$44)^5+K$8*17/(1+$A$44)^5+$C$29)/$C$32</f>
        <v/>
      </c>
      <c r="G44" s="22">
        <f>(G$12/(1+$A$44)^1+H$12/(1+$A$44)^2+I$12/(1+$A$44)^3+J$12/(1+$A$44)^4+K$12/(1+$A$44)^5+K$8*19/(1+$A$44)^5+$C$29)/$C$32</f>
        <v/>
      </c>
    </row>
    <row r="45">
      <c r="A45" s="21" t="n">
        <v>0.15</v>
      </c>
      <c r="C45" s="22">
        <f>(G$12/(1+$A$45)^1+H$12/(1+$A$45)^2+I$12/(1+$A$45)^3+J$12/(1+$A$45)^4+K$12/(1+$A$45)^5+K$8*11/(1+$A$45)^5+$C$29)/$C$32</f>
        <v/>
      </c>
      <c r="D45" s="22">
        <f>(G$12/(1+$A$45)^1+H$12/(1+$A$45)^2+I$12/(1+$A$45)^3+J$12/(1+$A$45)^4+K$12/(1+$A$45)^5+K$8*13/(1+$A$45)^5+$C$29)/$C$32</f>
        <v/>
      </c>
      <c r="E45" s="22">
        <f>(G$12/(1+$A$45)^1+H$12/(1+$A$45)^2+I$12/(1+$A$45)^3+J$12/(1+$A$45)^4+K$12/(1+$A$45)^5+K$8*15/(1+$A$45)^5+$C$29)/$C$32</f>
        <v/>
      </c>
      <c r="F45" s="22">
        <f>(G$12/(1+$A$45)^1+H$12/(1+$A$45)^2+I$12/(1+$A$45)^3+J$12/(1+$A$45)^4+K$12/(1+$A$45)^5+K$8*17/(1+$A$45)^5+$C$29)/$C$32</f>
        <v/>
      </c>
      <c r="G45" s="22">
        <f>(G$12/(1+$A$45)^1+H$12/(1+$A$45)^2+I$12/(1+$A$45)^3+J$12/(1+$A$45)^4+K$12/(1+$A$45)^5+K$8*19/(1+$A$45)^5+$C$29)/$C$32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2026-05-17T18:39:00Z</dcterms:created>
  <dcterms:modified xmlns:dcterms="http://purl.org/dc/terms/" xmlns:xsi="http://www.w3.org/2001/XMLSchema-instance" xsi:type="dcterms:W3CDTF">2026-05-17T18:39:00Z</dcterms:modified>
</cp:coreProperties>
</file>