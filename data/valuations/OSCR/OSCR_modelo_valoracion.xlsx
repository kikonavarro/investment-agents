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Oscar Health, Inc. (OSCR)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Healthcare Plans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4125.584</v>
      </c>
      <c r="D7" s="5" t="n">
        <v>5862.869</v>
      </c>
      <c r="E7" s="5" t="n">
        <v>9177.941000000001</v>
      </c>
      <c r="F7" s="5" t="n">
        <v>11701.427</v>
      </c>
    </row>
    <row r="8">
      <c r="A8" s="4" t="inlineStr">
        <is>
          <t xml:space="preserve">  Revenue Growth - Base</t>
        </is>
      </c>
      <c r="G8" s="6" t="n">
        <v>0.61</v>
      </c>
      <c r="H8" s="6" t="n">
        <v>0.12</v>
      </c>
      <c r="I8" s="6" t="n">
        <v>0.12</v>
      </c>
      <c r="J8" s="6" t="n">
        <v>0.12</v>
      </c>
      <c r="K8" s="6" t="n">
        <v>0.12</v>
      </c>
    </row>
    <row r="9">
      <c r="A9" s="4" t="inlineStr">
        <is>
          <t xml:space="preserve">  Revenue Growth - Bull</t>
        </is>
      </c>
      <c r="G9" s="6" t="n">
        <v>0.67</v>
      </c>
      <c r="H9" s="6" t="n">
        <v>0.18</v>
      </c>
      <c r="I9" s="6" t="n">
        <v>0.18</v>
      </c>
      <c r="J9" s="6" t="n">
        <v>0.18</v>
      </c>
      <c r="K9" s="6" t="n">
        <v>0.15</v>
      </c>
    </row>
    <row r="10">
      <c r="A10" s="4" t="inlineStr">
        <is>
          <t xml:space="preserve">  Revenue Growth - Bear</t>
        </is>
      </c>
      <c r="G10" s="6" t="n">
        <v>0.45</v>
      </c>
      <c r="H10" s="6" t="n">
        <v>0.05</v>
      </c>
      <c r="I10" s="6" t="n">
        <v>0.05</v>
      </c>
      <c r="J10" s="6" t="n">
        <v>0.05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0.17</v>
      </c>
      <c r="H15" s="6" t="n">
        <v>0.17</v>
      </c>
      <c r="I15" s="6" t="n">
        <v>0.17</v>
      </c>
      <c r="J15" s="6" t="n">
        <v>0.17</v>
      </c>
      <c r="K15" s="6" t="n">
        <v>0.17</v>
      </c>
    </row>
    <row r="16">
      <c r="A16" s="4" t="inlineStr">
        <is>
          <t>Gross Margin - Bull</t>
        </is>
      </c>
      <c r="G16" s="6" t="n">
        <v>0.19</v>
      </c>
      <c r="H16" s="6" t="n">
        <v>0.19</v>
      </c>
      <c r="I16" s="6" t="n">
        <v>0.19</v>
      </c>
      <c r="J16" s="6" t="n">
        <v>0.19</v>
      </c>
      <c r="K16" s="6" t="n">
        <v>0.19</v>
      </c>
    </row>
    <row r="17">
      <c r="A17" s="4" t="inlineStr">
        <is>
          <t>Gross Margin - Bear</t>
        </is>
      </c>
      <c r="G17" s="6" t="n">
        <v>0.14</v>
      </c>
      <c r="H17" s="6" t="n">
        <v>0.14</v>
      </c>
      <c r="I17" s="6" t="n">
        <v>0.14</v>
      </c>
      <c r="J17" s="6" t="n">
        <v>0.14</v>
      </c>
      <c r="K17" s="6" t="n">
        <v>0.14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0.15</v>
      </c>
      <c r="H20" s="6" t="n">
        <v>0.15</v>
      </c>
      <c r="I20" s="6" t="n">
        <v>0.15</v>
      </c>
      <c r="J20" s="6" t="n">
        <v>0.15</v>
      </c>
      <c r="K20" s="6" t="n">
        <v>0.15</v>
      </c>
    </row>
    <row r="21">
      <c r="A21" s="4" t="inlineStr">
        <is>
          <t>SG&amp;A % Revenue - Bull</t>
        </is>
      </c>
      <c r="G21" s="6" t="n">
        <v>0.13</v>
      </c>
      <c r="H21" s="6" t="n">
        <v>0.13</v>
      </c>
      <c r="I21" s="6" t="n">
        <v>0.13</v>
      </c>
      <c r="J21" s="6" t="n">
        <v>0.13</v>
      </c>
      <c r="K21" s="6" t="n">
        <v>0.13</v>
      </c>
    </row>
    <row r="22">
      <c r="A22" s="4" t="inlineStr">
        <is>
          <t>SG&amp;A % Revenue - Bear</t>
        </is>
      </c>
      <c r="G22" s="6" t="n">
        <v>0.17</v>
      </c>
      <c r="H22" s="6" t="n">
        <v>0.17</v>
      </c>
      <c r="I22" s="6" t="n">
        <v>0.17</v>
      </c>
      <c r="J22" s="6" t="n">
        <v>0.17</v>
      </c>
      <c r="K22" s="6" t="n">
        <v>0.17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0.004</v>
      </c>
      <c r="H30" s="6" t="n">
        <v>0.004</v>
      </c>
      <c r="I30" s="6" t="n">
        <v>0.004</v>
      </c>
      <c r="J30" s="6" t="n">
        <v>0.004</v>
      </c>
      <c r="K30" s="6" t="n">
        <v>0.004</v>
      </c>
    </row>
    <row r="31">
      <c r="A31" s="4" t="inlineStr">
        <is>
          <t>CapEx % Revenue</t>
        </is>
      </c>
      <c r="G31" s="6" t="n">
        <v>0.004</v>
      </c>
      <c r="H31" s="6" t="n">
        <v>0.004</v>
      </c>
      <c r="I31" s="6" t="n">
        <v>0.004</v>
      </c>
      <c r="J31" s="6" t="n">
        <v>0.004</v>
      </c>
      <c r="K31" s="6" t="n">
        <v>0.004</v>
      </c>
    </row>
    <row r="32">
      <c r="A32" s="4" t="inlineStr">
        <is>
          <t>Tax Rate</t>
        </is>
      </c>
      <c r="G32" s="6" t="n">
        <v>0.13</v>
      </c>
      <c r="H32" s="6" t="n">
        <v>0.13</v>
      </c>
      <c r="I32" s="6" t="n">
        <v>0.13</v>
      </c>
      <c r="J32" s="6" t="n">
        <v>0.13</v>
      </c>
      <c r="K32" s="6" t="n">
        <v>0.13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0.115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0.13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10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Oscar Health, Inc. (OSCR)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4125.584</v>
      </c>
      <c r="D6" s="5" t="n">
        <v>5862.869</v>
      </c>
      <c r="E6" s="5" t="n">
        <v>9177.941000000001</v>
      </c>
      <c r="F6" s="5" t="n">
        <v>11701.427</v>
      </c>
    </row>
    <row r="7">
      <c r="A7" s="4" t="inlineStr">
        <is>
          <t>Cost of Revenue</t>
        </is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2" t="inlineStr">
        <is>
          <t>Gross Profit</t>
        </is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4" t="inlineStr">
        <is>
          <t xml:space="preserve">  Gross Margin</t>
        </is>
      </c>
      <c r="C9" s="11" t="n">
        <v>0</v>
      </c>
      <c r="D9" s="11" t="n">
        <v>0</v>
      </c>
      <c r="E9" s="11" t="n">
        <v>0</v>
      </c>
      <c r="F9" s="11" t="n">
        <v>0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1419.37</v>
      </c>
      <c r="D12" s="5" t="n">
        <v>1424.763</v>
      </c>
      <c r="E12" s="5" t="n">
        <v>1755.942</v>
      </c>
      <c r="F12" s="5" t="n">
        <v>2049.867</v>
      </c>
    </row>
    <row r="13">
      <c r="A13" s="2" t="inlineStr">
        <is>
          <t>Operating Income (EBIT)</t>
        </is>
      </c>
      <c r="C13" s="5" t="n">
        <v>-587.452</v>
      </c>
      <c r="D13" s="5" t="n">
        <v>-242.697</v>
      </c>
      <c r="E13" s="5" t="n">
        <v>57.16</v>
      </c>
      <c r="F13" s="5" t="n">
        <v>-419.696</v>
      </c>
    </row>
    <row r="14">
      <c r="A14" s="4" t="inlineStr">
        <is>
          <t xml:space="preserve">  EBIT Margin</t>
        </is>
      </c>
      <c r="C14" s="11" t="n">
        <v>-0.1423924467420855</v>
      </c>
      <c r="D14" s="11" t="n">
        <v>-0.04139560341532448</v>
      </c>
      <c r="E14" s="11" t="n">
        <v>0.006227976405601213</v>
      </c>
      <c r="F14" s="11" t="n">
        <v>-0.03586707843410893</v>
      </c>
    </row>
    <row r="16">
      <c r="A16" s="4" t="inlineStr">
        <is>
          <t>Interest Expense</t>
        </is>
      </c>
      <c r="C16" s="5" t="n">
        <v>22.623</v>
      </c>
      <c r="D16" s="5" t="n">
        <v>24.603</v>
      </c>
      <c r="E16" s="5" t="n">
        <v>23.734</v>
      </c>
      <c r="F16" s="5" t="n">
        <v>17.601</v>
      </c>
    </row>
    <row r="17">
      <c r="A17" s="4" t="inlineStr">
        <is>
          <t>Tax Provision</t>
        </is>
      </c>
      <c r="C17" s="5" t="n">
        <v>-0.523</v>
      </c>
      <c r="D17" s="5" t="n">
        <v>3.294</v>
      </c>
      <c r="E17" s="5" t="n">
        <v>7.305</v>
      </c>
      <c r="F17" s="5" t="n">
        <v>5.606</v>
      </c>
    </row>
    <row r="18">
      <c r="A18" s="2" t="inlineStr">
        <is>
          <t>Net Income</t>
        </is>
      </c>
      <c r="C18" s="5" t="n">
        <v>-606.275</v>
      </c>
      <c r="D18" s="5" t="n">
        <v>-270.728</v>
      </c>
      <c r="E18" s="5" t="n">
        <v>25.432</v>
      </c>
      <c r="F18" s="5" t="n">
        <v>-443.151</v>
      </c>
    </row>
    <row r="19">
      <c r="A19" s="4" t="inlineStr">
        <is>
          <t xml:space="preserve">  Net Margin</t>
        </is>
      </c>
      <c r="C19" s="11" t="n">
        <v>-0.1469549523170538</v>
      </c>
      <c r="D19" s="11" t="n">
        <v>-0.04617670973033851</v>
      </c>
      <c r="E19" s="11" t="n">
        <v>0.002770991881512422</v>
      </c>
      <c r="F19" s="11" t="n">
        <v>-0.03787153481365991</v>
      </c>
    </row>
    <row r="21">
      <c r="A21" s="2" t="inlineStr">
        <is>
          <t>EBITDA</t>
        </is>
      </c>
      <c r="C21" s="5" t="n">
        <v>-572.169</v>
      </c>
      <c r="D21" s="5" t="n">
        <v>-212.003</v>
      </c>
      <c r="E21" s="5" t="n">
        <v>89.30500000000001</v>
      </c>
      <c r="F21" s="5" t="n">
        <v>-390.804</v>
      </c>
    </row>
    <row r="22">
      <c r="A22" s="4" t="inlineStr">
        <is>
          <t xml:space="preserve">  EBITDA Margin</t>
        </is>
      </c>
      <c r="C22" s="11" t="n">
        <v>-0.1386880015047567</v>
      </c>
      <c r="D22" s="11" t="n">
        <v>-0.03616028261931147</v>
      </c>
      <c r="E22" s="11" t="n">
        <v>0.009730395957001686</v>
      </c>
      <c r="F22" s="11" t="n">
        <v>-0.03339797787056228</v>
      </c>
    </row>
    <row r="23">
      <c r="A23" s="4" t="inlineStr">
        <is>
          <t>Diluted EPS</t>
        </is>
      </c>
      <c r="C23" s="12" t="n">
        <v>-2.85</v>
      </c>
      <c r="D23" s="12" t="n">
        <v>-1.22</v>
      </c>
      <c r="E23" s="12" t="n">
        <v>0.1</v>
      </c>
      <c r="F23" s="12" t="n">
        <v>-1.69</v>
      </c>
    </row>
    <row r="24">
      <c r="A24" s="4" t="inlineStr">
        <is>
          <t>D&amp;A</t>
        </is>
      </c>
      <c r="C24" s="5" t="n">
        <v>15.283</v>
      </c>
      <c r="D24" s="5" t="n">
        <v>30.694</v>
      </c>
      <c r="E24" s="5" t="n">
        <v>32.145</v>
      </c>
      <c r="F24" s="5" t="n">
        <v>28.892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1558.595</v>
      </c>
      <c r="D28" s="5" t="n">
        <v>1870.315</v>
      </c>
      <c r="E28" s="5" t="n">
        <v>1527.186</v>
      </c>
      <c r="F28" s="5" t="n">
        <v>2774.151</v>
      </c>
    </row>
    <row r="29">
      <c r="A29" s="4" t="inlineStr">
        <is>
          <t>Current Assets</t>
        </is>
      </c>
      <c r="C29" s="5" t="n">
        <v>0</v>
      </c>
      <c r="D29" s="5" t="n">
        <v>0</v>
      </c>
      <c r="E29" s="5" t="n">
        <v>0</v>
      </c>
      <c r="F29" s="5" t="n">
        <v>0</v>
      </c>
    </row>
    <row r="30">
      <c r="A30" s="4" t="inlineStr">
        <is>
          <t>Net PP&amp;E</t>
        </is>
      </c>
      <c r="C30" s="5" t="n">
        <v>59.888</v>
      </c>
      <c r="D30" s="5" t="n">
        <v>61.93</v>
      </c>
      <c r="E30" s="5" t="n">
        <v>66.79300000000001</v>
      </c>
      <c r="F30" s="5" t="n">
        <v>88.34999999999999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4526.601</v>
      </c>
      <c r="D32" s="5" t="n">
        <v>3601.48</v>
      </c>
      <c r="E32" s="5" t="n">
        <v>4840.496</v>
      </c>
      <c r="F32" s="5" t="n">
        <v>6325.411</v>
      </c>
    </row>
    <row r="34">
      <c r="A34" s="4" t="inlineStr">
        <is>
          <t>Current Liabilities</t>
        </is>
      </c>
      <c r="C34" s="5" t="n">
        <v>0</v>
      </c>
      <c r="D34" s="5" t="n">
        <v>0</v>
      </c>
      <c r="E34" s="5" t="n">
        <v>0</v>
      </c>
      <c r="F34" s="5" t="n">
        <v>0</v>
      </c>
    </row>
    <row r="35">
      <c r="A35" s="4" t="inlineStr">
        <is>
          <t>Total Debt</t>
        </is>
      </c>
      <c r="C35" s="5" t="n">
        <v>297.999</v>
      </c>
      <c r="D35" s="5" t="n">
        <v>298.777</v>
      </c>
      <c r="E35" s="5" t="n">
        <v>299.555</v>
      </c>
      <c r="F35" s="5" t="n">
        <v>430.095</v>
      </c>
    </row>
    <row r="36">
      <c r="A36" s="2" t="inlineStr">
        <is>
          <t>Total Liabilities</t>
        </is>
      </c>
      <c r="C36" s="5" t="n">
        <v>3634.201</v>
      </c>
      <c r="D36" s="5" t="n">
        <v>2795.363</v>
      </c>
      <c r="E36" s="5" t="n">
        <v>3824.071</v>
      </c>
      <c r="F36" s="5" t="n">
        <v>5344.676</v>
      </c>
    </row>
    <row r="38">
      <c r="A38" s="2" t="inlineStr">
        <is>
          <t>Total Equity</t>
        </is>
      </c>
      <c r="C38" s="5" t="n">
        <v>892.4</v>
      </c>
      <c r="D38" s="5" t="n">
        <v>806.117</v>
      </c>
      <c r="E38" s="5" t="n">
        <v>1016.425</v>
      </c>
      <c r="F38" s="5" t="n">
        <v>980.735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380.349</v>
      </c>
      <c r="D42" s="5" t="n">
        <v>-272.159</v>
      </c>
      <c r="E42" s="5" t="n">
        <v>978.193</v>
      </c>
      <c r="F42" s="5" t="n">
        <v>1094.854</v>
      </c>
    </row>
    <row r="43">
      <c r="A43" s="4" t="inlineStr">
        <is>
          <t>Capital Expenditure</t>
        </is>
      </c>
      <c r="C43" s="5" t="n">
        <v>-29.012</v>
      </c>
      <c r="D43" s="5" t="n">
        <v>-25.577</v>
      </c>
      <c r="E43" s="5" t="n">
        <v>-27.897</v>
      </c>
      <c r="F43" s="5" t="n">
        <v>-36.372</v>
      </c>
    </row>
    <row r="44">
      <c r="A44" s="2" t="inlineStr">
        <is>
          <t>Free Cash Flow</t>
        </is>
      </c>
      <c r="C44" s="5" t="n">
        <v>351.337</v>
      </c>
      <c r="D44" s="5" t="n">
        <v>-297.736</v>
      </c>
      <c r="E44" s="5" t="n">
        <v>950.296</v>
      </c>
      <c r="F44" s="5" t="n">
        <v>1058.482</v>
      </c>
    </row>
    <row r="46">
      <c r="A46" s="4" t="inlineStr">
        <is>
          <t>D&amp;A</t>
        </is>
      </c>
      <c r="C46" s="5" t="n">
        <v>15.283</v>
      </c>
      <c r="D46" s="5" t="n">
        <v>30.694</v>
      </c>
      <c r="E46" s="5" t="n">
        <v>32.145</v>
      </c>
      <c r="F46" s="5" t="n">
        <v>28.892</v>
      </c>
    </row>
    <row r="47">
      <c r="A47" s="4" t="inlineStr">
        <is>
          <t>Stock-Based Compensation</t>
        </is>
      </c>
      <c r="C47" s="5" t="n">
        <v>112.329</v>
      </c>
      <c r="D47" s="5" t="n">
        <v>159.683</v>
      </c>
      <c r="E47" s="5" t="n">
        <v>109.824</v>
      </c>
      <c r="F47" s="5" t="n">
        <v>87.654</v>
      </c>
    </row>
    <row r="48">
      <c r="A48" s="4" t="inlineStr">
        <is>
          <t>Change in Working Capital</t>
        </is>
      </c>
      <c r="C48" s="5" t="n">
        <v>854.999</v>
      </c>
      <c r="D48" s="5" t="n">
        <v>-192.086</v>
      </c>
      <c r="E48" s="5" t="n">
        <v>838.8630000000001</v>
      </c>
      <c r="F48" s="5" t="n">
        <v>1459.002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Oscar Health, Inc. (OSCR)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Healthcare Plans</t>
        </is>
      </c>
      <c r="C8" s="5" t="n">
        <v>4125.584</v>
      </c>
      <c r="D8" s="5" t="n">
        <v>5862.869</v>
      </c>
      <c r="E8" s="5" t="n">
        <v>9177.941000000001</v>
      </c>
      <c r="F8" s="5" t="n">
        <v>11701.427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1419.37</v>
      </c>
      <c r="D20" s="5" t="n">
        <v>1424.763</v>
      </c>
      <c r="E20" s="5" t="n">
        <v>1755.942</v>
      </c>
      <c r="F20" s="5" t="n">
        <v>2049.867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15.283</v>
      </c>
      <c r="D22" s="5" t="n">
        <v>30.694</v>
      </c>
      <c r="E22" s="5" t="n">
        <v>32.145</v>
      </c>
      <c r="F22" s="5" t="n">
        <v>28.892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22.623</v>
      </c>
      <c r="D29" s="5" t="n">
        <v>24.603</v>
      </c>
      <c r="E29" s="5" t="n">
        <v>23.734</v>
      </c>
      <c r="F29" s="5" t="n">
        <v>17.601</v>
      </c>
      <c r="G29" s="5" t="n">
        <v>17.601</v>
      </c>
      <c r="H29" s="5" t="n">
        <v>17.601</v>
      </c>
      <c r="I29" s="5" t="n">
        <v>17.601</v>
      </c>
      <c r="J29" s="5" t="n">
        <v>17.601</v>
      </c>
      <c r="K29" s="5" t="n">
        <v>17.601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-0.523</v>
      </c>
      <c r="D31" s="5" t="n">
        <v>3.294</v>
      </c>
      <c r="E31" s="5" t="n">
        <v>7.305</v>
      </c>
      <c r="F31" s="5" t="n">
        <v>5.606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854.999</v>
      </c>
      <c r="D39" s="5" t="n">
        <v>-192.086</v>
      </c>
      <c r="E39" s="5" t="n">
        <v>838.8630000000001</v>
      </c>
      <c r="F39" s="5" t="n">
        <v>1459.002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-29.012</v>
      </c>
      <c r="D42" s="5" t="n">
        <v>-25.577</v>
      </c>
      <c r="E42" s="5" t="n">
        <v>-27.897</v>
      </c>
      <c r="F42" s="5" t="n">
        <v>-36.372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Oscar Health, Inc. (OSCR)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11.92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2344.056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262.157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C33/11.92-1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6x</t>
        </is>
      </c>
      <c r="D38" s="1" t="inlineStr">
        <is>
          <t>8x</t>
        </is>
      </c>
      <c r="E38" s="1" t="inlineStr">
        <is>
          <t>10x</t>
        </is>
      </c>
      <c r="F38" s="1" t="inlineStr">
        <is>
          <t>12x</t>
        </is>
      </c>
      <c r="G38" s="1" t="inlineStr">
        <is>
          <t>14x</t>
        </is>
      </c>
    </row>
    <row r="39">
      <c r="A39" s="21" t="n">
        <v>0.08500000000000001</v>
      </c>
      <c r="C39" s="22">
        <f>(G$12/(1+$A$39)^1+H$12/(1+$A$39)^2+I$12/(1+$A$39)^3+J$12/(1+$A$39)^4+K$12/(1+$A$39)^5+K$8*6/(1+$A$39)^5+$C$29)/$C$32</f>
        <v/>
      </c>
      <c r="D39" s="22">
        <f>(G$12/(1+$A$39)^1+H$12/(1+$A$39)^2+I$12/(1+$A$39)^3+J$12/(1+$A$39)^4+K$12/(1+$A$39)^5+K$8*8/(1+$A$39)^5+$C$29)/$C$32</f>
        <v/>
      </c>
      <c r="E39" s="22">
        <f>(G$12/(1+$A$39)^1+H$12/(1+$A$39)^2+I$12/(1+$A$39)^3+J$12/(1+$A$39)^4+K$12/(1+$A$39)^5+K$8*10/(1+$A$39)^5+$C$29)/$C$32</f>
        <v/>
      </c>
      <c r="F39" s="22">
        <f>(G$12/(1+$A$39)^1+H$12/(1+$A$39)^2+I$12/(1+$A$39)^3+J$12/(1+$A$39)^4+K$12/(1+$A$39)^5+K$8*12/(1+$A$39)^5+$C$29)/$C$32</f>
        <v/>
      </c>
      <c r="G39" s="22">
        <f>(G$12/(1+$A$39)^1+H$12/(1+$A$39)^2+I$12/(1+$A$39)^3+J$12/(1+$A$39)^4+K$12/(1+$A$39)^5+K$8*14/(1+$A$39)^5+$C$29)/$C$32</f>
        <v/>
      </c>
    </row>
    <row r="40">
      <c r="A40" s="21" t="n">
        <v>0.095</v>
      </c>
      <c r="C40" s="22">
        <f>(G$12/(1+$A$40)^1+H$12/(1+$A$40)^2+I$12/(1+$A$40)^3+J$12/(1+$A$40)^4+K$12/(1+$A$40)^5+K$8*6/(1+$A$40)^5+$C$29)/$C$32</f>
        <v/>
      </c>
      <c r="D40" s="22">
        <f>(G$12/(1+$A$40)^1+H$12/(1+$A$40)^2+I$12/(1+$A$40)^3+J$12/(1+$A$40)^4+K$12/(1+$A$40)^5+K$8*8/(1+$A$40)^5+$C$29)/$C$32</f>
        <v/>
      </c>
      <c r="E40" s="22">
        <f>(G$12/(1+$A$40)^1+H$12/(1+$A$40)^2+I$12/(1+$A$40)^3+J$12/(1+$A$40)^4+K$12/(1+$A$40)^5+K$8*10/(1+$A$40)^5+$C$29)/$C$32</f>
        <v/>
      </c>
      <c r="F40" s="22">
        <f>(G$12/(1+$A$40)^1+H$12/(1+$A$40)^2+I$12/(1+$A$40)^3+J$12/(1+$A$40)^4+K$12/(1+$A$40)^5+K$8*12/(1+$A$40)^5+$C$29)/$C$32</f>
        <v/>
      </c>
      <c r="G40" s="22">
        <f>(G$12/(1+$A$40)^1+H$12/(1+$A$40)^2+I$12/(1+$A$40)^3+J$12/(1+$A$40)^4+K$12/(1+$A$40)^5+K$8*14/(1+$A$40)^5+$C$29)/$C$32</f>
        <v/>
      </c>
    </row>
    <row r="41">
      <c r="A41" s="21" t="n">
        <v>0.105</v>
      </c>
      <c r="C41" s="22">
        <f>(G$12/(1+$A$41)^1+H$12/(1+$A$41)^2+I$12/(1+$A$41)^3+J$12/(1+$A$41)^4+K$12/(1+$A$41)^5+K$8*6/(1+$A$41)^5+$C$29)/$C$32</f>
        <v/>
      </c>
      <c r="D41" s="22">
        <f>(G$12/(1+$A$41)^1+H$12/(1+$A$41)^2+I$12/(1+$A$41)^3+J$12/(1+$A$41)^4+K$12/(1+$A$41)^5+K$8*8/(1+$A$41)^5+$C$29)/$C$32</f>
        <v/>
      </c>
      <c r="E41" s="22">
        <f>(G$12/(1+$A$41)^1+H$12/(1+$A$41)^2+I$12/(1+$A$41)^3+J$12/(1+$A$41)^4+K$12/(1+$A$41)^5+K$8*10/(1+$A$41)^5+$C$29)/$C$32</f>
        <v/>
      </c>
      <c r="F41" s="22">
        <f>(G$12/(1+$A$41)^1+H$12/(1+$A$41)^2+I$12/(1+$A$41)^3+J$12/(1+$A$41)^4+K$12/(1+$A$41)^5+K$8*12/(1+$A$41)^5+$C$29)/$C$32</f>
        <v/>
      </c>
      <c r="G41" s="22">
        <f>(G$12/(1+$A$41)^1+H$12/(1+$A$41)^2+I$12/(1+$A$41)^3+J$12/(1+$A$41)^4+K$12/(1+$A$41)^5+K$8*14/(1+$A$41)^5+$C$29)/$C$32</f>
        <v/>
      </c>
    </row>
    <row r="42">
      <c r="A42" s="21" t="n">
        <v>0.115</v>
      </c>
      <c r="C42" s="22">
        <f>(G$12/(1+$A$42)^1+H$12/(1+$A$42)^2+I$12/(1+$A$42)^3+J$12/(1+$A$42)^4+K$12/(1+$A$42)^5+K$8*6/(1+$A$42)^5+$C$29)/$C$32</f>
        <v/>
      </c>
      <c r="D42" s="22">
        <f>(G$12/(1+$A$42)^1+H$12/(1+$A$42)^2+I$12/(1+$A$42)^3+J$12/(1+$A$42)^4+K$12/(1+$A$42)^5+K$8*8/(1+$A$42)^5+$C$29)/$C$32</f>
        <v/>
      </c>
      <c r="E42" s="23">
        <f>(G$12/(1+$A$42)^1+H$12/(1+$A$42)^2+I$12/(1+$A$42)^3+J$12/(1+$A$42)^4+K$12/(1+$A$42)^5+K$8*10/(1+$A$42)^5+$C$29)/$C$32</f>
        <v/>
      </c>
      <c r="F42" s="22">
        <f>(G$12/(1+$A$42)^1+H$12/(1+$A$42)^2+I$12/(1+$A$42)^3+J$12/(1+$A$42)^4+K$12/(1+$A$42)^5+K$8*12/(1+$A$42)^5+$C$29)/$C$32</f>
        <v/>
      </c>
      <c r="G42" s="22">
        <f>(G$12/(1+$A$42)^1+H$12/(1+$A$42)^2+I$12/(1+$A$42)^3+J$12/(1+$A$42)^4+K$12/(1+$A$42)^5+K$8*14/(1+$A$42)^5+$C$29)/$C$32</f>
        <v/>
      </c>
    </row>
    <row r="43">
      <c r="A43" s="21" t="n">
        <v>0.125</v>
      </c>
      <c r="C43" s="22">
        <f>(G$12/(1+$A$43)^1+H$12/(1+$A$43)^2+I$12/(1+$A$43)^3+J$12/(1+$A$43)^4+K$12/(1+$A$43)^5+K$8*6/(1+$A$43)^5+$C$29)/$C$32</f>
        <v/>
      </c>
      <c r="D43" s="22">
        <f>(G$12/(1+$A$43)^1+H$12/(1+$A$43)^2+I$12/(1+$A$43)^3+J$12/(1+$A$43)^4+K$12/(1+$A$43)^5+K$8*8/(1+$A$43)^5+$C$29)/$C$32</f>
        <v/>
      </c>
      <c r="E43" s="22">
        <f>(G$12/(1+$A$43)^1+H$12/(1+$A$43)^2+I$12/(1+$A$43)^3+J$12/(1+$A$43)^4+K$12/(1+$A$43)^5+K$8*10/(1+$A$43)^5+$C$29)/$C$32</f>
        <v/>
      </c>
      <c r="F43" s="22">
        <f>(G$12/(1+$A$43)^1+H$12/(1+$A$43)^2+I$12/(1+$A$43)^3+J$12/(1+$A$43)^4+K$12/(1+$A$43)^5+K$8*12/(1+$A$43)^5+$C$29)/$C$32</f>
        <v/>
      </c>
      <c r="G43" s="22">
        <f>(G$12/(1+$A$43)^1+H$12/(1+$A$43)^2+I$12/(1+$A$43)^3+J$12/(1+$A$43)^4+K$12/(1+$A$43)^5+K$8*14/(1+$A$43)^5+$C$29)/$C$32</f>
        <v/>
      </c>
    </row>
    <row r="44">
      <c r="A44" s="21" t="n">
        <v>0.135</v>
      </c>
      <c r="C44" s="22">
        <f>(G$12/(1+$A$44)^1+H$12/(1+$A$44)^2+I$12/(1+$A$44)^3+J$12/(1+$A$44)^4+K$12/(1+$A$44)^5+K$8*6/(1+$A$44)^5+$C$29)/$C$32</f>
        <v/>
      </c>
      <c r="D44" s="22">
        <f>(G$12/(1+$A$44)^1+H$12/(1+$A$44)^2+I$12/(1+$A$44)^3+J$12/(1+$A$44)^4+K$12/(1+$A$44)^5+K$8*8/(1+$A$44)^5+$C$29)/$C$32</f>
        <v/>
      </c>
      <c r="E44" s="22">
        <f>(G$12/(1+$A$44)^1+H$12/(1+$A$44)^2+I$12/(1+$A$44)^3+J$12/(1+$A$44)^4+K$12/(1+$A$44)^5+K$8*10/(1+$A$44)^5+$C$29)/$C$32</f>
        <v/>
      </c>
      <c r="F44" s="22">
        <f>(G$12/(1+$A$44)^1+H$12/(1+$A$44)^2+I$12/(1+$A$44)^3+J$12/(1+$A$44)^4+K$12/(1+$A$44)^5+K$8*12/(1+$A$44)^5+$C$29)/$C$32</f>
        <v/>
      </c>
      <c r="G44" s="22">
        <f>(G$12/(1+$A$44)^1+H$12/(1+$A$44)^2+I$12/(1+$A$44)^3+J$12/(1+$A$44)^4+K$12/(1+$A$44)^5+K$8*14/(1+$A$44)^5+$C$29)/$C$32</f>
        <v/>
      </c>
    </row>
    <row r="45">
      <c r="A45" s="21" t="n">
        <v>0.145</v>
      </c>
      <c r="C45" s="22">
        <f>(G$12/(1+$A$45)^1+H$12/(1+$A$45)^2+I$12/(1+$A$45)^3+J$12/(1+$A$45)^4+K$12/(1+$A$45)^5+K$8*6/(1+$A$45)^5+$C$29)/$C$32</f>
        <v/>
      </c>
      <c r="D45" s="22">
        <f>(G$12/(1+$A$45)^1+H$12/(1+$A$45)^2+I$12/(1+$A$45)^3+J$12/(1+$A$45)^4+K$12/(1+$A$45)^5+K$8*8/(1+$A$45)^5+$C$29)/$C$32</f>
        <v/>
      </c>
      <c r="E45" s="22">
        <f>(G$12/(1+$A$45)^1+H$12/(1+$A$45)^2+I$12/(1+$A$45)^3+J$12/(1+$A$45)^4+K$12/(1+$A$45)^5+K$8*10/(1+$A$45)^5+$C$29)/$C$32</f>
        <v/>
      </c>
      <c r="F45" s="22">
        <f>(G$12/(1+$A$45)^1+H$12/(1+$A$45)^2+I$12/(1+$A$45)^3+J$12/(1+$A$45)^4+K$12/(1+$A$45)^5+K$8*12/(1+$A$45)^5+$C$29)/$C$32</f>
        <v/>
      </c>
      <c r="G45" s="22">
        <f>(G$12/(1+$A$45)^1+H$12/(1+$A$45)^2+I$12/(1+$A$45)^3+J$12/(1+$A$45)^4+K$12/(1+$A$45)^5+K$8*14/(1+$A$45)^5+$C$29)/$C$32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2026-04-06T09:11:14Z</dcterms:created>
  <dcterms:modified xmlns:dcterms="http://purl.org/dc/terms/" xmlns:xsi="http://www.w3.org/2001/XMLSchema-instance" xsi:type="dcterms:W3CDTF">2026-04-06T09:11:14Z</dcterms:modified>
</cp:coreProperties>
</file>