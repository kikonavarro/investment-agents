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IREN Limited (IREN)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Capital Markets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59.037</v>
      </c>
      <c r="D7" s="5" t="n">
        <v>75.509</v>
      </c>
      <c r="E7" s="5" t="n">
        <v>187.192</v>
      </c>
      <c r="F7" s="5" t="n">
        <v>501.023</v>
      </c>
    </row>
    <row r="8">
      <c r="A8" s="4" t="inlineStr">
        <is>
          <t xml:space="preserve">  Revenue Growth - Base</t>
        </is>
      </c>
      <c r="G8" s="6" t="n">
        <v>0.4</v>
      </c>
      <c r="H8" s="6" t="n">
        <v>0.36</v>
      </c>
      <c r="I8" s="6" t="n">
        <v>0.3200000000000001</v>
      </c>
      <c r="J8" s="6" t="n">
        <v>0.28</v>
      </c>
      <c r="K8" s="6" t="n">
        <v>0.24</v>
      </c>
    </row>
    <row r="9">
      <c r="A9" s="4" t="inlineStr">
        <is>
          <t xml:space="preserve">  Revenue Growth - Bull</t>
        </is>
      </c>
      <c r="G9" s="6" t="n">
        <v>0.52</v>
      </c>
      <c r="H9" s="6" t="n">
        <v>0.468</v>
      </c>
      <c r="I9" s="6" t="n">
        <v>0.416</v>
      </c>
      <c r="J9" s="6" t="n">
        <v>0.364</v>
      </c>
      <c r="K9" s="6" t="n">
        <v>0.312</v>
      </c>
    </row>
    <row r="10">
      <c r="A10" s="4" t="inlineStr">
        <is>
          <t xml:space="preserve">  Revenue Growth - Bear</t>
        </is>
      </c>
      <c r="G10" s="6" t="n">
        <v>0.28</v>
      </c>
      <c r="H10" s="6" t="n">
        <v>0.2520000000000001</v>
      </c>
      <c r="I10" s="6" t="n">
        <v>0.224</v>
      </c>
      <c r="J10" s="6" t="n">
        <v>0.196</v>
      </c>
      <c r="K10" s="6" t="n">
        <v>0.168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0.5687263431985272</v>
      </c>
      <c r="H15" s="6" t="n">
        <v>0.5687263431985272</v>
      </c>
      <c r="I15" s="6" t="n">
        <v>0.5687263431985272</v>
      </c>
      <c r="J15" s="6" t="n">
        <v>0.5687263431985272</v>
      </c>
      <c r="K15" s="6" t="n">
        <v>0.5687263431985272</v>
      </c>
    </row>
    <row r="16">
      <c r="A16" s="4" t="inlineStr">
        <is>
          <t>Gross Margin - Bull</t>
        </is>
      </c>
      <c r="G16" s="6" t="n">
        <v>0.5887263431985272</v>
      </c>
      <c r="H16" s="6" t="n">
        <v>0.5887263431985272</v>
      </c>
      <c r="I16" s="6" t="n">
        <v>0.5887263431985272</v>
      </c>
      <c r="J16" s="6" t="n">
        <v>0.5887263431985272</v>
      </c>
      <c r="K16" s="6" t="n">
        <v>0.5887263431985272</v>
      </c>
    </row>
    <row r="17">
      <c r="A17" s="4" t="inlineStr">
        <is>
          <t>Gross Margin - Bear</t>
        </is>
      </c>
      <c r="G17" s="6" t="n">
        <v>0.5487263431985272</v>
      </c>
      <c r="H17" s="6" t="n">
        <v>0.5487263431985272</v>
      </c>
      <c r="I17" s="6" t="n">
        <v>0.5487263431985272</v>
      </c>
      <c r="J17" s="6" t="n">
        <v>0.5487263431985272</v>
      </c>
      <c r="K17" s="6" t="n">
        <v>0.5487263431985272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0.3505640026609269</v>
      </c>
      <c r="H20" s="6" t="n">
        <v>0.3505640026609269</v>
      </c>
      <c r="I20" s="6" t="n">
        <v>0.3505640026609269</v>
      </c>
      <c r="J20" s="6" t="n">
        <v>0.3505640026609269</v>
      </c>
      <c r="K20" s="6" t="n">
        <v>0.3505640026609269</v>
      </c>
    </row>
    <row r="21">
      <c r="A21" s="4" t="inlineStr">
        <is>
          <t>SG&amp;A % Revenue - Bull</t>
        </is>
      </c>
      <c r="G21" s="6" t="n">
        <v>0.3405640026609269</v>
      </c>
      <c r="H21" s="6" t="n">
        <v>0.3405640026609269</v>
      </c>
      <c r="I21" s="6" t="n">
        <v>0.3405640026609269</v>
      </c>
      <c r="J21" s="6" t="n">
        <v>0.3405640026609269</v>
      </c>
      <c r="K21" s="6" t="n">
        <v>0.3405640026609269</v>
      </c>
    </row>
    <row r="22">
      <c r="A22" s="4" t="inlineStr">
        <is>
          <t>SG&amp;A % Revenue - Bear</t>
        </is>
      </c>
      <c r="G22" s="6" t="n">
        <v>0.3605640026609269</v>
      </c>
      <c r="H22" s="6" t="n">
        <v>0.3605640026609269</v>
      </c>
      <c r="I22" s="6" t="n">
        <v>0.3605640026609269</v>
      </c>
      <c r="J22" s="6" t="n">
        <v>0.3605640026609269</v>
      </c>
      <c r="K22" s="6" t="n">
        <v>0.3605640026609269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0.2921215416578224</v>
      </c>
      <c r="H30" s="6" t="n">
        <v>0.2921215416578224</v>
      </c>
      <c r="I30" s="6" t="n">
        <v>0.2921215416578224</v>
      </c>
      <c r="J30" s="6" t="n">
        <v>0.2921215416578224</v>
      </c>
      <c r="K30" s="6" t="n">
        <v>0.2921215416578224</v>
      </c>
    </row>
    <row r="31">
      <c r="A31" s="4" t="inlineStr">
        <is>
          <t>CapEx % Revenue</t>
        </is>
      </c>
      <c r="G31" s="6" t="n">
        <v>2.956143661409069</v>
      </c>
      <c r="H31" s="6" t="n">
        <v>2.956143661409069</v>
      </c>
      <c r="I31" s="6" t="n">
        <v>2.956143661409069</v>
      </c>
      <c r="J31" s="6" t="n">
        <v>2.956143661409069</v>
      </c>
      <c r="K31" s="6" t="n">
        <v>2.956143661409069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0.2328</v>
      </c>
    </row>
    <row r="36">
      <c r="A36" s="4" t="inlineStr">
        <is>
          <t>WACC - Bull</t>
        </is>
      </c>
      <c r="C36" s="6" t="n">
        <v>0.2228</v>
      </c>
    </row>
    <row r="37">
      <c r="A37" s="4" t="inlineStr">
        <is>
          <t>WACC - Bear</t>
        </is>
      </c>
      <c r="C37" s="6" t="n">
        <v>0.2528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13</v>
      </c>
    </row>
    <row r="41">
      <c r="A41" s="4" t="inlineStr">
        <is>
          <t>Terminal Value Multiple - Bull</t>
        </is>
      </c>
      <c r="C41" s="9" t="n">
        <v>15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IREN Limited (IREN)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59.037</v>
      </c>
      <c r="D6" s="5" t="n">
        <v>75.509</v>
      </c>
      <c r="E6" s="5" t="n">
        <v>187.192</v>
      </c>
      <c r="F6" s="5" t="n">
        <v>501.023</v>
      </c>
    </row>
    <row r="7">
      <c r="A7" s="4" t="inlineStr">
        <is>
          <t>Cost of Revenue</t>
        </is>
      </c>
      <c r="C7" s="5" t="n">
        <v>7.448</v>
      </c>
      <c r="D7" s="5" t="n">
        <v>54.388</v>
      </c>
      <c r="E7" s="5" t="n">
        <v>105.074</v>
      </c>
      <c r="F7" s="5" t="n">
        <v>158.992</v>
      </c>
    </row>
    <row r="8">
      <c r="A8" s="2" t="inlineStr">
        <is>
          <t>Gross Profit</t>
        </is>
      </c>
      <c r="C8" s="5" t="n">
        <v>51.589</v>
      </c>
      <c r="D8" s="5" t="n">
        <v>21.121</v>
      </c>
      <c r="E8" s="5" t="n">
        <v>82.11799999999999</v>
      </c>
      <c r="F8" s="5" t="n">
        <v>342.031</v>
      </c>
    </row>
    <row r="9">
      <c r="A9" s="4" t="inlineStr">
        <is>
          <t xml:space="preserve">  Gross Margin</t>
        </is>
      </c>
      <c r="C9" s="11" t="n">
        <v>0.8738418280061656</v>
      </c>
      <c r="D9" s="11" t="n">
        <v>0.2797150008608245</v>
      </c>
      <c r="E9" s="11" t="n">
        <v>0.4386832770631224</v>
      </c>
      <c r="F9" s="11" t="n">
        <v>0.6826652668639963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26.073</v>
      </c>
      <c r="D12" s="5" t="n">
        <v>33.183</v>
      </c>
      <c r="E12" s="5" t="n">
        <v>50.027</v>
      </c>
      <c r="F12" s="5" t="n">
        <v>127.215</v>
      </c>
    </row>
    <row r="13">
      <c r="A13" s="2" t="inlineStr">
        <is>
          <t>Operating Income (EBIT)</t>
        </is>
      </c>
      <c r="C13" s="5" t="n">
        <v>0.462</v>
      </c>
      <c r="D13" s="5" t="n">
        <v>-48.558</v>
      </c>
      <c r="E13" s="5" t="n">
        <v>-27.277</v>
      </c>
      <c r="F13" s="5" t="n">
        <v>22.122</v>
      </c>
    </row>
    <row r="14">
      <c r="A14" s="4" t="inlineStr">
        <is>
          <t xml:space="preserve">  EBIT Margin</t>
        </is>
      </c>
      <c r="C14" s="11" t="n">
        <v>0.007825600894354388</v>
      </c>
      <c r="D14" s="11" t="n">
        <v>-0.6430756598551166</v>
      </c>
      <c r="E14" s="11" t="n">
        <v>-0.1457166972947562</v>
      </c>
      <c r="F14" s="11" t="n">
        <v>0.04415366160834932</v>
      </c>
    </row>
    <row r="16">
      <c r="A16" s="4" t="inlineStr">
        <is>
          <t>Interest Expense</t>
        </is>
      </c>
      <c r="C16" s="5" t="n">
        <v>425.441</v>
      </c>
      <c r="D16" s="5" t="n">
        <v>16.207</v>
      </c>
      <c r="E16" s="5" t="n">
        <v>0.098</v>
      </c>
      <c r="F16" s="5" t="n">
        <v>11.045</v>
      </c>
    </row>
    <row r="17">
      <c r="A17" s="4" t="inlineStr">
        <is>
          <t>Tax Provision</t>
        </is>
      </c>
      <c r="C17" s="5" t="n">
        <v>2.724</v>
      </c>
      <c r="D17" s="5" t="n">
        <v>2.39</v>
      </c>
      <c r="E17" s="5" t="n">
        <v>3.453</v>
      </c>
      <c r="F17" s="5" t="n">
        <v>6.56</v>
      </c>
    </row>
    <row r="18">
      <c r="A18" s="2" t="inlineStr">
        <is>
          <t>Net Income</t>
        </is>
      </c>
      <c r="C18" s="5" t="n">
        <v>-419.77</v>
      </c>
      <c r="D18" s="5" t="n">
        <v>-171.827</v>
      </c>
      <c r="E18" s="5" t="n">
        <v>-28.92</v>
      </c>
      <c r="F18" s="5" t="n">
        <v>86.941</v>
      </c>
    </row>
    <row r="19">
      <c r="A19" s="4" t="inlineStr">
        <is>
          <t xml:space="preserve">  Net Margin</t>
        </is>
      </c>
      <c r="C19" s="11" t="n">
        <v>-7.110286769314158</v>
      </c>
      <c r="D19" s="11" t="n">
        <v>-2.275583043080957</v>
      </c>
      <c r="E19" s="11" t="n">
        <v>-0.1544937817855464</v>
      </c>
      <c r="F19" s="11" t="n">
        <v>0.1735269638319997</v>
      </c>
    </row>
    <row r="21">
      <c r="A21" s="2" t="inlineStr">
        <is>
          <t>EBITDA</t>
        </is>
      </c>
      <c r="C21" s="5" t="n">
        <v>16.136</v>
      </c>
      <c r="D21" s="5" t="n">
        <v>-122.557</v>
      </c>
      <c r="E21" s="5" t="n">
        <v>25.101</v>
      </c>
      <c r="F21" s="5" t="n">
        <v>285.682</v>
      </c>
    </row>
    <row r="22">
      <c r="A22" s="4" t="inlineStr">
        <is>
          <t xml:space="preserve">  EBITDA Margin</t>
        </is>
      </c>
      <c r="C22" s="11" t="n">
        <v>0.2733201212798753</v>
      </c>
      <c r="D22" s="11" t="n">
        <v>-1.623078043676913</v>
      </c>
      <c r="E22" s="11" t="n">
        <v>0.1340922689003804</v>
      </c>
      <c r="F22" s="11" t="n">
        <v>0.5701973761683595</v>
      </c>
    </row>
    <row r="23">
      <c r="A23" s="4" t="inlineStr">
        <is>
          <t>Diluted EPS</t>
        </is>
      </c>
      <c r="C23" s="12" t="n">
        <v>-10.253</v>
      </c>
      <c r="D23" s="12" t="n">
        <v>-3.14</v>
      </c>
      <c r="E23" s="12" t="n">
        <v>-0.29</v>
      </c>
      <c r="F23" s="12" t="n">
        <v>0.336687</v>
      </c>
    </row>
    <row r="24">
      <c r="A24" s="4" t="inlineStr">
        <is>
          <t>D&amp;A</t>
        </is>
      </c>
      <c r="C24" s="5" t="n">
        <v>7.741</v>
      </c>
      <c r="D24" s="5" t="n">
        <v>30.673</v>
      </c>
      <c r="E24" s="5" t="n">
        <v>50.47</v>
      </c>
      <c r="F24" s="5" t="n">
        <v>181.136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109.97</v>
      </c>
      <c r="D28" s="5" t="n">
        <v>68.89400000000001</v>
      </c>
      <c r="E28" s="5" t="n">
        <v>404.601</v>
      </c>
      <c r="F28" s="5" t="n">
        <v>564.526</v>
      </c>
    </row>
    <row r="29">
      <c r="A29" s="4" t="inlineStr">
        <is>
          <t>Current Assets</t>
        </is>
      </c>
      <c r="C29" s="5" t="n">
        <v>160.254</v>
      </c>
      <c r="D29" s="5" t="n">
        <v>89.23</v>
      </c>
      <c r="E29" s="5" t="n">
        <v>452.385</v>
      </c>
      <c r="F29" s="5" t="n">
        <v>641.173</v>
      </c>
    </row>
    <row r="30">
      <c r="A30" s="4" t="inlineStr">
        <is>
          <t>Net PP&amp;E</t>
        </is>
      </c>
      <c r="C30" s="5" t="n">
        <v>406.999</v>
      </c>
      <c r="D30" s="5" t="n">
        <v>242.544</v>
      </c>
      <c r="E30" s="5" t="n">
        <v>682.549</v>
      </c>
      <c r="F30" s="5" t="n">
        <v>1935.1</v>
      </c>
    </row>
    <row r="31">
      <c r="A31" s="4" t="inlineStr">
        <is>
          <t>Goodwill</t>
        </is>
      </c>
      <c r="C31" s="5" t="n">
        <v>0.634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570.46</v>
      </c>
      <c r="D32" s="5" t="n">
        <v>332.074</v>
      </c>
      <c r="E32" s="5" t="n">
        <v>1152.819</v>
      </c>
      <c r="F32" s="5" t="n">
        <v>2940.323</v>
      </c>
    </row>
    <row r="34">
      <c r="A34" s="4" t="inlineStr">
        <is>
          <t>Current Liabilities</t>
        </is>
      </c>
      <c r="C34" s="5" t="n">
        <v>85.10599999999999</v>
      </c>
      <c r="D34" s="5" t="n">
        <v>24.001</v>
      </c>
      <c r="E34" s="5" t="n">
        <v>51.072</v>
      </c>
      <c r="F34" s="5" t="n">
        <v>149.347</v>
      </c>
    </row>
    <row r="35">
      <c r="A35" s="4" t="inlineStr">
        <is>
          <t>Total Debt</t>
        </is>
      </c>
      <c r="C35" s="5" t="n">
        <v>108.287</v>
      </c>
      <c r="D35" s="5" t="n">
        <v>1.448</v>
      </c>
      <c r="E35" s="5" t="n">
        <v>1.321</v>
      </c>
      <c r="F35" s="5" t="n">
        <v>964.232</v>
      </c>
    </row>
    <row r="36">
      <c r="A36" s="2" t="inlineStr">
        <is>
          <t>Total Liabilities</t>
        </is>
      </c>
      <c r="C36" s="5" t="n">
        <v>133.098</v>
      </c>
      <c r="D36" s="5" t="n">
        <v>26.713</v>
      </c>
      <c r="E36" s="5" t="n">
        <v>55.348</v>
      </c>
      <c r="F36" s="5" t="n">
        <v>1122.835</v>
      </c>
    </row>
    <row r="38">
      <c r="A38" s="2" t="inlineStr">
        <is>
          <t>Total Equity</t>
        </is>
      </c>
      <c r="C38" s="5" t="n">
        <v>437.362</v>
      </c>
      <c r="D38" s="5" t="n">
        <v>305.361</v>
      </c>
      <c r="E38" s="5" t="n">
        <v>1097.471</v>
      </c>
      <c r="F38" s="5" t="n">
        <v>1817.488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-37.48</v>
      </c>
      <c r="D42" s="5" t="n">
        <v>5.729</v>
      </c>
      <c r="E42" s="5" t="n">
        <v>52.219</v>
      </c>
      <c r="F42" s="5" t="n">
        <v>245.886</v>
      </c>
    </row>
    <row r="43">
      <c r="A43" s="4" t="inlineStr">
        <is>
          <t>Capital Expenditure</t>
        </is>
      </c>
      <c r="C43" s="5" t="n">
        <v>-294.247</v>
      </c>
      <c r="D43" s="5" t="n">
        <v>-116.064</v>
      </c>
      <c r="E43" s="5" t="n">
        <v>-479.909</v>
      </c>
      <c r="F43" s="5" t="n">
        <v>-1372.627</v>
      </c>
    </row>
    <row r="44">
      <c r="A44" s="2" t="inlineStr">
        <is>
          <t>Free Cash Flow</t>
        </is>
      </c>
      <c r="C44" s="5" t="n">
        <v>-331.727</v>
      </c>
      <c r="D44" s="5" t="n">
        <v>-110.335</v>
      </c>
      <c r="E44" s="5" t="n">
        <v>-427.69</v>
      </c>
      <c r="F44" s="5" t="n">
        <v>-1126.741</v>
      </c>
    </row>
    <row r="46">
      <c r="A46" s="4" t="inlineStr">
        <is>
          <t>D&amp;A</t>
        </is>
      </c>
      <c r="C46" s="5" t="n">
        <v>7.741</v>
      </c>
      <c r="D46" s="5" t="n">
        <v>30.673</v>
      </c>
      <c r="E46" s="5" t="n">
        <v>50.47</v>
      </c>
      <c r="F46" s="5" t="n">
        <v>181.136</v>
      </c>
    </row>
    <row r="47">
      <c r="A47" s="4" t="inlineStr">
        <is>
          <t>Stock-Based Compensation</t>
        </is>
      </c>
      <c r="C47" s="5" t="n">
        <v>13.896</v>
      </c>
      <c r="D47" s="5" t="n">
        <v>14.356</v>
      </c>
      <c r="E47" s="5" t="n">
        <v>23.636</v>
      </c>
      <c r="F47" s="5" t="n">
        <v>42.642</v>
      </c>
    </row>
    <row r="48">
      <c r="A48" s="4" t="inlineStr">
        <is>
          <t>Change in Working Capital</t>
        </is>
      </c>
      <c r="C48" s="5" t="n">
        <v>4.213</v>
      </c>
      <c r="D48" s="5" t="n">
        <v>9.662000000000001</v>
      </c>
      <c r="E48" s="5" t="n">
        <v>11.364</v>
      </c>
      <c r="F48" s="5" t="n">
        <v>-5.436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IREN Limited (IREN)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Capital Markets</t>
        </is>
      </c>
      <c r="C8" s="5" t="n">
        <v>59.037</v>
      </c>
      <c r="D8" s="5" t="n">
        <v>75.509</v>
      </c>
      <c r="E8" s="5" t="n">
        <v>187.192</v>
      </c>
      <c r="F8" s="5" t="n">
        <v>501.023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7.448</v>
      </c>
      <c r="D16" s="5" t="n">
        <v>54.388</v>
      </c>
      <c r="E16" s="5" t="n">
        <v>105.074</v>
      </c>
      <c r="F16" s="5" t="n">
        <v>158.992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26.073</v>
      </c>
      <c r="D20" s="5" t="n">
        <v>33.183</v>
      </c>
      <c r="E20" s="5" t="n">
        <v>50.027</v>
      </c>
      <c r="F20" s="5" t="n">
        <v>127.215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7.741</v>
      </c>
      <c r="D22" s="5" t="n">
        <v>30.673</v>
      </c>
      <c r="E22" s="5" t="n">
        <v>50.47</v>
      </c>
      <c r="F22" s="5" t="n">
        <v>181.136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425.441</v>
      </c>
      <c r="D29" s="5" t="n">
        <v>16.207</v>
      </c>
      <c r="E29" s="5" t="n">
        <v>0.098</v>
      </c>
      <c r="F29" s="5" t="n">
        <v>11.045</v>
      </c>
      <c r="G29" s="5" t="n">
        <v>11.045</v>
      </c>
      <c r="H29" s="5" t="n">
        <v>11.045</v>
      </c>
      <c r="I29" s="5" t="n">
        <v>11.045</v>
      </c>
      <c r="J29" s="5" t="n">
        <v>11.045</v>
      </c>
      <c r="K29" s="5" t="n">
        <v>11.045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2.724</v>
      </c>
      <c r="D31" s="5" t="n">
        <v>2.39</v>
      </c>
      <c r="E31" s="5" t="n">
        <v>3.453</v>
      </c>
      <c r="F31" s="5" t="n">
        <v>6.56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4.213</v>
      </c>
      <c r="D39" s="5" t="n">
        <v>9.662000000000001</v>
      </c>
      <c r="E39" s="5" t="n">
        <v>11.364</v>
      </c>
      <c r="F39" s="5" t="n">
        <v>-5.436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-294.247</v>
      </c>
      <c r="D42" s="5" t="n">
        <v>-116.064</v>
      </c>
      <c r="E42" s="5" t="n">
        <v>-479.909</v>
      </c>
      <c r="F42" s="5" t="n">
        <v>-1372.627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IREN Limited (IREN)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44.94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-399.706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331.759177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C33/44.94-1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9x</t>
        </is>
      </c>
      <c r="D38" s="1" t="inlineStr">
        <is>
          <t>11x</t>
        </is>
      </c>
      <c r="E38" s="1" t="inlineStr">
        <is>
          <t>13x</t>
        </is>
      </c>
      <c r="F38" s="1" t="inlineStr">
        <is>
          <t>15x</t>
        </is>
      </c>
      <c r="G38" s="1" t="inlineStr">
        <is>
          <t>17x</t>
        </is>
      </c>
    </row>
    <row r="39">
      <c r="A39" s="21" t="n">
        <v>0.2028</v>
      </c>
      <c r="C39" s="22">
        <f>(G$12/(1+$A$39)^1+H$12/(1+$A$39)^2+I$12/(1+$A$39)^3+J$12/(1+$A$39)^4+K$12/(1+$A$39)^5+K$12*9/(1+$A$39)^5+$C$29)/$C$32</f>
        <v/>
      </c>
      <c r="D39" s="22">
        <f>(G$12/(1+$A$39)^1+H$12/(1+$A$39)^2+I$12/(1+$A$39)^3+J$12/(1+$A$39)^4+K$12/(1+$A$39)^5+K$12*11/(1+$A$39)^5+$C$29)/$C$32</f>
        <v/>
      </c>
      <c r="E39" s="22">
        <f>(G$12/(1+$A$39)^1+H$12/(1+$A$39)^2+I$12/(1+$A$39)^3+J$12/(1+$A$39)^4+K$12/(1+$A$39)^5+K$12*13/(1+$A$39)^5+$C$29)/$C$32</f>
        <v/>
      </c>
      <c r="F39" s="22">
        <f>(G$12/(1+$A$39)^1+H$12/(1+$A$39)^2+I$12/(1+$A$39)^3+J$12/(1+$A$39)^4+K$12/(1+$A$39)^5+K$12*15/(1+$A$39)^5+$C$29)/$C$32</f>
        <v/>
      </c>
      <c r="G39" s="22">
        <f>(G$12/(1+$A$39)^1+H$12/(1+$A$39)^2+I$12/(1+$A$39)^3+J$12/(1+$A$39)^4+K$12/(1+$A$39)^5+K$12*17/(1+$A$39)^5+$C$29)/$C$32</f>
        <v/>
      </c>
    </row>
    <row r="40">
      <c r="A40" s="21" t="n">
        <v>0.2128</v>
      </c>
      <c r="C40" s="22">
        <f>(G$12/(1+$A$40)^1+H$12/(1+$A$40)^2+I$12/(1+$A$40)^3+J$12/(1+$A$40)^4+K$12/(1+$A$40)^5+K$12*9/(1+$A$40)^5+$C$29)/$C$32</f>
        <v/>
      </c>
      <c r="D40" s="22">
        <f>(G$12/(1+$A$40)^1+H$12/(1+$A$40)^2+I$12/(1+$A$40)^3+J$12/(1+$A$40)^4+K$12/(1+$A$40)^5+K$12*11/(1+$A$40)^5+$C$29)/$C$32</f>
        <v/>
      </c>
      <c r="E40" s="22">
        <f>(G$12/(1+$A$40)^1+H$12/(1+$A$40)^2+I$12/(1+$A$40)^3+J$12/(1+$A$40)^4+K$12/(1+$A$40)^5+K$12*13/(1+$A$40)^5+$C$29)/$C$32</f>
        <v/>
      </c>
      <c r="F40" s="22">
        <f>(G$12/(1+$A$40)^1+H$12/(1+$A$40)^2+I$12/(1+$A$40)^3+J$12/(1+$A$40)^4+K$12/(1+$A$40)^5+K$12*15/(1+$A$40)^5+$C$29)/$C$32</f>
        <v/>
      </c>
      <c r="G40" s="22">
        <f>(G$12/(1+$A$40)^1+H$12/(1+$A$40)^2+I$12/(1+$A$40)^3+J$12/(1+$A$40)^4+K$12/(1+$A$40)^5+K$12*17/(1+$A$40)^5+$C$29)/$C$32</f>
        <v/>
      </c>
    </row>
    <row r="41">
      <c r="A41" s="21" t="n">
        <v>0.2228</v>
      </c>
      <c r="C41" s="22">
        <f>(G$12/(1+$A$41)^1+H$12/(1+$A$41)^2+I$12/(1+$A$41)^3+J$12/(1+$A$41)^4+K$12/(1+$A$41)^5+K$12*9/(1+$A$41)^5+$C$29)/$C$32</f>
        <v/>
      </c>
      <c r="D41" s="22">
        <f>(G$12/(1+$A$41)^1+H$12/(1+$A$41)^2+I$12/(1+$A$41)^3+J$12/(1+$A$41)^4+K$12/(1+$A$41)^5+K$12*11/(1+$A$41)^5+$C$29)/$C$32</f>
        <v/>
      </c>
      <c r="E41" s="22">
        <f>(G$12/(1+$A$41)^1+H$12/(1+$A$41)^2+I$12/(1+$A$41)^3+J$12/(1+$A$41)^4+K$12/(1+$A$41)^5+K$12*13/(1+$A$41)^5+$C$29)/$C$32</f>
        <v/>
      </c>
      <c r="F41" s="22">
        <f>(G$12/(1+$A$41)^1+H$12/(1+$A$41)^2+I$12/(1+$A$41)^3+J$12/(1+$A$41)^4+K$12/(1+$A$41)^5+K$12*15/(1+$A$41)^5+$C$29)/$C$32</f>
        <v/>
      </c>
      <c r="G41" s="22">
        <f>(G$12/(1+$A$41)^1+H$12/(1+$A$41)^2+I$12/(1+$A$41)^3+J$12/(1+$A$41)^4+K$12/(1+$A$41)^5+K$12*17/(1+$A$41)^5+$C$29)/$C$32</f>
        <v/>
      </c>
    </row>
    <row r="42">
      <c r="A42" s="21" t="n">
        <v>0.2328</v>
      </c>
      <c r="C42" s="22">
        <f>(G$12/(1+$A$42)^1+H$12/(1+$A$42)^2+I$12/(1+$A$42)^3+J$12/(1+$A$42)^4+K$12/(1+$A$42)^5+K$12*9/(1+$A$42)^5+$C$29)/$C$32</f>
        <v/>
      </c>
      <c r="D42" s="22">
        <f>(G$12/(1+$A$42)^1+H$12/(1+$A$42)^2+I$12/(1+$A$42)^3+J$12/(1+$A$42)^4+K$12/(1+$A$42)^5+K$12*11/(1+$A$42)^5+$C$29)/$C$32</f>
        <v/>
      </c>
      <c r="E42" s="23">
        <f>(G$12/(1+$A$42)^1+H$12/(1+$A$42)^2+I$12/(1+$A$42)^3+J$12/(1+$A$42)^4+K$12/(1+$A$42)^5+K$12*13/(1+$A$42)^5+$C$29)/$C$32</f>
        <v/>
      </c>
      <c r="F42" s="22">
        <f>(G$12/(1+$A$42)^1+H$12/(1+$A$42)^2+I$12/(1+$A$42)^3+J$12/(1+$A$42)^4+K$12/(1+$A$42)^5+K$12*15/(1+$A$42)^5+$C$29)/$C$32</f>
        <v/>
      </c>
      <c r="G42" s="22">
        <f>(G$12/(1+$A$42)^1+H$12/(1+$A$42)^2+I$12/(1+$A$42)^3+J$12/(1+$A$42)^4+K$12/(1+$A$42)^5+K$12*17/(1+$A$42)^5+$C$29)/$C$32</f>
        <v/>
      </c>
    </row>
    <row r="43">
      <c r="A43" s="21" t="n">
        <v>0.2428</v>
      </c>
      <c r="C43" s="22">
        <f>(G$12/(1+$A$43)^1+H$12/(1+$A$43)^2+I$12/(1+$A$43)^3+J$12/(1+$A$43)^4+K$12/(1+$A$43)^5+K$12*9/(1+$A$43)^5+$C$29)/$C$32</f>
        <v/>
      </c>
      <c r="D43" s="22">
        <f>(G$12/(1+$A$43)^1+H$12/(1+$A$43)^2+I$12/(1+$A$43)^3+J$12/(1+$A$43)^4+K$12/(1+$A$43)^5+K$12*11/(1+$A$43)^5+$C$29)/$C$32</f>
        <v/>
      </c>
      <c r="E43" s="22">
        <f>(G$12/(1+$A$43)^1+H$12/(1+$A$43)^2+I$12/(1+$A$43)^3+J$12/(1+$A$43)^4+K$12/(1+$A$43)^5+K$12*13/(1+$A$43)^5+$C$29)/$C$32</f>
        <v/>
      </c>
      <c r="F43" s="22">
        <f>(G$12/(1+$A$43)^1+H$12/(1+$A$43)^2+I$12/(1+$A$43)^3+J$12/(1+$A$43)^4+K$12/(1+$A$43)^5+K$12*15/(1+$A$43)^5+$C$29)/$C$32</f>
        <v/>
      </c>
      <c r="G43" s="22">
        <f>(G$12/(1+$A$43)^1+H$12/(1+$A$43)^2+I$12/(1+$A$43)^3+J$12/(1+$A$43)^4+K$12/(1+$A$43)^5+K$12*17/(1+$A$43)^5+$C$29)/$C$32</f>
        <v/>
      </c>
    </row>
    <row r="44">
      <c r="A44" s="21" t="n">
        <v>0.2528</v>
      </c>
      <c r="C44" s="22">
        <f>(G$12/(1+$A$44)^1+H$12/(1+$A$44)^2+I$12/(1+$A$44)^3+J$12/(1+$A$44)^4+K$12/(1+$A$44)^5+K$12*9/(1+$A$44)^5+$C$29)/$C$32</f>
        <v/>
      </c>
      <c r="D44" s="22">
        <f>(G$12/(1+$A$44)^1+H$12/(1+$A$44)^2+I$12/(1+$A$44)^3+J$12/(1+$A$44)^4+K$12/(1+$A$44)^5+K$12*11/(1+$A$44)^5+$C$29)/$C$32</f>
        <v/>
      </c>
      <c r="E44" s="22">
        <f>(G$12/(1+$A$44)^1+H$12/(1+$A$44)^2+I$12/(1+$A$44)^3+J$12/(1+$A$44)^4+K$12/(1+$A$44)^5+K$12*13/(1+$A$44)^5+$C$29)/$C$32</f>
        <v/>
      </c>
      <c r="F44" s="22">
        <f>(G$12/(1+$A$44)^1+H$12/(1+$A$44)^2+I$12/(1+$A$44)^3+J$12/(1+$A$44)^4+K$12/(1+$A$44)^5+K$12*15/(1+$A$44)^5+$C$29)/$C$32</f>
        <v/>
      </c>
      <c r="G44" s="22">
        <f>(G$12/(1+$A$44)^1+H$12/(1+$A$44)^2+I$12/(1+$A$44)^3+J$12/(1+$A$44)^4+K$12/(1+$A$44)^5+K$12*17/(1+$A$44)^5+$C$29)/$C$32</f>
        <v/>
      </c>
    </row>
    <row r="45">
      <c r="A45" s="21" t="n">
        <v>0.2628</v>
      </c>
      <c r="C45" s="22">
        <f>(G$12/(1+$A$45)^1+H$12/(1+$A$45)^2+I$12/(1+$A$45)^3+J$12/(1+$A$45)^4+K$12/(1+$A$45)^5+K$12*9/(1+$A$45)^5+$C$29)/$C$32</f>
        <v/>
      </c>
      <c r="D45" s="22">
        <f>(G$12/(1+$A$45)^1+H$12/(1+$A$45)^2+I$12/(1+$A$45)^3+J$12/(1+$A$45)^4+K$12/(1+$A$45)^5+K$12*11/(1+$A$45)^5+$C$29)/$C$32</f>
        <v/>
      </c>
      <c r="E45" s="22">
        <f>(G$12/(1+$A$45)^1+H$12/(1+$A$45)^2+I$12/(1+$A$45)^3+J$12/(1+$A$45)^4+K$12/(1+$A$45)^5+K$12*13/(1+$A$45)^5+$C$29)/$C$32</f>
        <v/>
      </c>
      <c r="F45" s="22">
        <f>(G$12/(1+$A$45)^1+H$12/(1+$A$45)^2+I$12/(1+$A$45)^3+J$12/(1+$A$45)^4+K$12/(1+$A$45)^5+K$12*15/(1+$A$45)^5+$C$29)/$C$32</f>
        <v/>
      </c>
      <c r="G45" s="22">
        <f>(G$12/(1+$A$45)^1+H$12/(1+$A$45)^2+I$12/(1+$A$45)^3+J$12/(1+$A$45)^4+K$12/(1+$A$45)^5+K$12*17/(1+$A$45)^5+$C$29)/$C$32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2026-03-17T08:32:48Z</dcterms:created>
  <dcterms:modified xmlns:dcterms="http://purl.org/dc/terms/" xmlns:xsi="http://www.w3.org/2001/XMLSchema-instance" xsi:type="dcterms:W3CDTF">2026-03-17T08:32:48Z</dcterms:modified>
</cp:coreProperties>
</file>