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Netskope, Inc. (NTSK)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FY2024</t>
        </is>
      </c>
      <c r="D4" s="1" t="inlineStr">
        <is>
          <t>FY2025</t>
        </is>
      </c>
      <c r="E4" s="1" t="inlineStr">
        <is>
          <t>FY2026</t>
        </is>
      </c>
      <c r="F4" s="1" t="inlineStr">
        <is>
          <t>FY2027</t>
        </is>
      </c>
      <c r="G4" s="1" t="inlineStr">
        <is>
          <t>FY2028</t>
        </is>
      </c>
      <c r="H4" s="1" t="inlineStr">
        <is>
          <t>FY2029</t>
        </is>
      </c>
      <c r="I4" s="1" t="inlineStr">
        <is>
          <t>FY2030</t>
        </is>
      </c>
    </row>
    <row r="6">
      <c r="A6" s="1" t="inlineStr">
        <is>
          <t>Software - Infrastructure</t>
        </is>
      </c>
      <c r="B6" s="1" t="n"/>
      <c r="C6" s="1" t="n"/>
      <c r="D6" s="1" t="n"/>
      <c r="E6" s="1" t="n"/>
      <c r="F6" s="1" t="n"/>
      <c r="G6" s="1" t="n"/>
      <c r="H6" s="1" t="n"/>
      <c r="I6" s="1" t="n"/>
    </row>
    <row r="7">
      <c r="A7" s="2" t="inlineStr">
        <is>
          <t xml:space="preserve">  Revenue ($M)</t>
        </is>
      </c>
      <c r="C7" s="5" t="n">
        <v>406.883</v>
      </c>
      <c r="D7" s="5" t="n">
        <v>538.268</v>
      </c>
    </row>
    <row r="8">
      <c r="A8" s="4" t="inlineStr">
        <is>
          <t xml:space="preserve">  Revenue Growth - Base</t>
        </is>
      </c>
      <c r="E8" s="6" t="n">
        <v>0.322</v>
      </c>
      <c r="F8" s="6" t="n">
        <v>0.2898</v>
      </c>
      <c r="G8" s="6" t="n">
        <v>0.2576</v>
      </c>
      <c r="H8" s="6" t="n">
        <v>0.2254</v>
      </c>
      <c r="I8" s="6" t="n">
        <v>0.1932</v>
      </c>
    </row>
    <row r="9">
      <c r="A9" s="4" t="inlineStr">
        <is>
          <t xml:space="preserve">  Revenue Growth - Bull</t>
        </is>
      </c>
      <c r="E9" s="6" t="n">
        <v>0.3703</v>
      </c>
      <c r="F9" s="6" t="n">
        <v>0.33327</v>
      </c>
      <c r="G9" s="6" t="n">
        <v>0.29624</v>
      </c>
      <c r="H9" s="6" t="n">
        <v>0.25921</v>
      </c>
      <c r="I9" s="6" t="n">
        <v>0.22218</v>
      </c>
    </row>
    <row r="10">
      <c r="A10" s="4" t="inlineStr">
        <is>
          <t xml:space="preserve">  Revenue Growth - Bear</t>
        </is>
      </c>
      <c r="E10" s="6" t="n">
        <v>0.2737</v>
      </c>
      <c r="F10" s="6" t="n">
        <v>0.24633</v>
      </c>
      <c r="G10" s="6" t="n">
        <v>0.21896</v>
      </c>
      <c r="H10" s="6" t="n">
        <v>0.19159</v>
      </c>
      <c r="I10" s="6" t="n">
        <v>0.16422</v>
      </c>
    </row>
    <row r="11">
      <c r="A11" s="2" t="inlineStr">
        <is>
          <t xml:space="preserve">  Revenue Growth (Selected)</t>
        </is>
      </c>
      <c r="E11" s="7">
        <f>OFFSET(E8,$G$2-1,0)</f>
        <v/>
      </c>
      <c r="F11" s="7">
        <f>OFFSET(F8,$G$2-1,0)</f>
        <v/>
      </c>
      <c r="G11" s="7">
        <f>OFFSET(G8,$G$2-1,0)</f>
        <v/>
      </c>
      <c r="H11" s="7">
        <f>OFFSET(H8,$G$2-1,0)</f>
        <v/>
      </c>
      <c r="I11" s="7">
        <f>OFFSET(I8,$G$2-1,0)</f>
        <v/>
      </c>
    </row>
    <row r="12">
      <c r="A12" s="2" t="inlineStr">
        <is>
          <t xml:space="preserve">  Revenue Projected ($M)</t>
        </is>
      </c>
      <c r="E12" s="8">
        <f>D7*(1+E11)</f>
        <v/>
      </c>
      <c r="F12" s="8">
        <f>E12*(1+F11)</f>
        <v/>
      </c>
      <c r="G12" s="8">
        <f>F12*(1+G11)</f>
        <v/>
      </c>
      <c r="H12" s="8">
        <f>G12*(1+H11)</f>
        <v/>
      </c>
      <c r="I12" s="8">
        <f>H12*(1+I11)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</row>
    <row r="15">
      <c r="A15" s="4" t="inlineStr">
        <is>
          <t>Gross Margin - Base</t>
        </is>
      </c>
      <c r="E15" s="6" t="n">
        <v>0.6220840800670192</v>
      </c>
      <c r="F15" s="6" t="n">
        <v>0.6220840800670192</v>
      </c>
      <c r="G15" s="6" t="n">
        <v>0.6220840800670192</v>
      </c>
      <c r="H15" s="6" t="n">
        <v>0.6220840800670192</v>
      </c>
      <c r="I15" s="6" t="n">
        <v>0.6220840800670192</v>
      </c>
    </row>
    <row r="16">
      <c r="A16" s="4" t="inlineStr">
        <is>
          <t>Gross Margin - Bull</t>
        </is>
      </c>
      <c r="E16" s="6" t="n">
        <v>0.6320840800670192</v>
      </c>
      <c r="F16" s="6" t="n">
        <v>0.6320840800670192</v>
      </c>
      <c r="G16" s="6" t="n">
        <v>0.6320840800670192</v>
      </c>
      <c r="H16" s="6" t="n">
        <v>0.6320840800670192</v>
      </c>
      <c r="I16" s="6" t="n">
        <v>0.6320840800670192</v>
      </c>
    </row>
    <row r="17">
      <c r="A17" s="4" t="inlineStr">
        <is>
          <t>Gross Margin - Bear</t>
        </is>
      </c>
      <c r="E17" s="6" t="n">
        <v>0.6120840800670192</v>
      </c>
      <c r="F17" s="6" t="n">
        <v>0.6120840800670192</v>
      </c>
      <c r="G17" s="6" t="n">
        <v>0.6120840800670192</v>
      </c>
      <c r="H17" s="6" t="n">
        <v>0.6120840800670192</v>
      </c>
      <c r="I17" s="6" t="n">
        <v>0.6120840800670192</v>
      </c>
    </row>
    <row r="18">
      <c r="A18" s="2" t="inlineStr">
        <is>
          <t>Gross Margin (Selected)</t>
        </is>
      </c>
      <c r="E18" s="7">
        <f>OFFSET(E15,$G$2-1,0)</f>
        <v/>
      </c>
      <c r="F18" s="7">
        <f>OFFSET(F15,$G$2-1,0)</f>
        <v/>
      </c>
      <c r="G18" s="7">
        <f>OFFSET(G15,$G$2-1,0)</f>
        <v/>
      </c>
      <c r="H18" s="7">
        <f>OFFSET(H15,$G$2-1,0)</f>
        <v/>
      </c>
      <c r="I18" s="7">
        <f>OFFSET(I15,$G$2-1,0)</f>
        <v/>
      </c>
    </row>
    <row r="20">
      <c r="A20" s="4" t="inlineStr">
        <is>
          <t>SG&amp;A % Revenue - Base</t>
        </is>
      </c>
      <c r="E20" s="6" t="n">
        <v>0.4894530056362105</v>
      </c>
      <c r="F20" s="6" t="n">
        <v>0.4894530056362105</v>
      </c>
      <c r="G20" s="6" t="n">
        <v>0.4894530056362105</v>
      </c>
      <c r="H20" s="6" t="n">
        <v>0.4894530056362105</v>
      </c>
      <c r="I20" s="6" t="n">
        <v>0.4894530056362105</v>
      </c>
    </row>
    <row r="21">
      <c r="A21" s="4" t="inlineStr">
        <is>
          <t>SG&amp;A % Revenue - Bull</t>
        </is>
      </c>
      <c r="E21" s="6" t="n">
        <v>0.4844530056362105</v>
      </c>
      <c r="F21" s="6" t="n">
        <v>0.4844530056362105</v>
      </c>
      <c r="G21" s="6" t="n">
        <v>0.4844530056362105</v>
      </c>
      <c r="H21" s="6" t="n">
        <v>0.4844530056362105</v>
      </c>
      <c r="I21" s="6" t="n">
        <v>0.4844530056362105</v>
      </c>
    </row>
    <row r="22">
      <c r="A22" s="4" t="inlineStr">
        <is>
          <t>SG&amp;A % Revenue - Bear</t>
        </is>
      </c>
      <c r="E22" s="6" t="n">
        <v>0.4944530056362105</v>
      </c>
      <c r="F22" s="6" t="n">
        <v>0.4944530056362105</v>
      </c>
      <c r="G22" s="6" t="n">
        <v>0.4944530056362105</v>
      </c>
      <c r="H22" s="6" t="n">
        <v>0.4944530056362105</v>
      </c>
      <c r="I22" s="6" t="n">
        <v>0.4944530056362105</v>
      </c>
    </row>
    <row r="23">
      <c r="A23" s="2" t="inlineStr">
        <is>
          <t>SG&amp;A % Revenue (Selected)</t>
        </is>
      </c>
      <c r="E23" s="7">
        <f>OFFSET(E20,$G$2-1,0)</f>
        <v/>
      </c>
      <c r="F23" s="7">
        <f>OFFSET(F20,$G$2-1,0)</f>
        <v/>
      </c>
      <c r="G23" s="7">
        <f>OFFSET(G20,$G$2-1,0)</f>
        <v/>
      </c>
      <c r="H23" s="7">
        <f>OFFSET(H20,$G$2-1,0)</f>
        <v/>
      </c>
      <c r="I23" s="7">
        <f>OFFSET(I20,$G$2-1,0)</f>
        <v/>
      </c>
    </row>
    <row r="25">
      <c r="A25" s="4" t="inlineStr">
        <is>
          <t>R&amp;D % Revenue - Base</t>
        </is>
      </c>
      <c r="E25" s="6" t="n">
        <v>0.5119904270209683</v>
      </c>
      <c r="F25" s="6" t="n">
        <v>0.5119904270209683</v>
      </c>
      <c r="G25" s="6" t="n">
        <v>0.5119904270209683</v>
      </c>
      <c r="H25" s="6" t="n">
        <v>0.5119904270209683</v>
      </c>
      <c r="I25" s="6" t="n">
        <v>0.5119904270209683</v>
      </c>
    </row>
    <row r="26">
      <c r="A26" s="4" t="inlineStr">
        <is>
          <t>R&amp;D % Revenue - Bull</t>
        </is>
      </c>
      <c r="E26" s="6" t="n">
        <v>0.5119904270209683</v>
      </c>
      <c r="F26" s="6" t="n">
        <v>0.5119904270209683</v>
      </c>
      <c r="G26" s="6" t="n">
        <v>0.5119904270209683</v>
      </c>
      <c r="H26" s="6" t="n">
        <v>0.5119904270209683</v>
      </c>
      <c r="I26" s="6" t="n">
        <v>0.5119904270209683</v>
      </c>
    </row>
    <row r="27">
      <c r="A27" s="4" t="inlineStr">
        <is>
          <t>R&amp;D % Revenue - Bear</t>
        </is>
      </c>
      <c r="E27" s="6" t="n">
        <v>0.5119904270209683</v>
      </c>
      <c r="F27" s="6" t="n">
        <v>0.5119904270209683</v>
      </c>
      <c r="G27" s="6" t="n">
        <v>0.5119904270209683</v>
      </c>
      <c r="H27" s="6" t="n">
        <v>0.5119904270209683</v>
      </c>
      <c r="I27" s="6" t="n">
        <v>0.5119904270209683</v>
      </c>
    </row>
    <row r="28">
      <c r="A28" s="2" t="inlineStr">
        <is>
          <t>R&amp;D % Revenue (Selected)</t>
        </is>
      </c>
      <c r="E28" s="7">
        <f>OFFSET(E25,$G$2-1,0)</f>
        <v/>
      </c>
      <c r="F28" s="7">
        <f>OFFSET(F25,$G$2-1,0)</f>
        <v/>
      </c>
      <c r="G28" s="7">
        <f>OFFSET(G25,$G$2-1,0)</f>
        <v/>
      </c>
      <c r="H28" s="7">
        <f>OFFSET(H25,$G$2-1,0)</f>
        <v/>
      </c>
      <c r="I28" s="7">
        <f>OFFSET(I25,$G$2-1,0)</f>
        <v/>
      </c>
    </row>
    <row r="30">
      <c r="A30" s="4" t="inlineStr">
        <is>
          <t>D&amp;A % Revenue</t>
        </is>
      </c>
      <c r="E30" s="6" t="n">
        <v>0.1087667770661427</v>
      </c>
      <c r="F30" s="6" t="n">
        <v>0.1087667770661427</v>
      </c>
      <c r="G30" s="6" t="n">
        <v>0.1087667770661427</v>
      </c>
      <c r="H30" s="6" t="n">
        <v>0.1087667770661427</v>
      </c>
      <c r="I30" s="6" t="n">
        <v>0.1087667770661427</v>
      </c>
    </row>
    <row r="31">
      <c r="A31" s="4" t="inlineStr">
        <is>
          <t>CapEx % Revenue</t>
        </is>
      </c>
      <c r="E31" s="6" t="n">
        <v>0.08811803001061608</v>
      </c>
      <c r="F31" s="6" t="n">
        <v>0.08811803001061608</v>
      </c>
      <c r="G31" s="6" t="n">
        <v>0.08811803001061608</v>
      </c>
      <c r="H31" s="6" t="n">
        <v>0.08811803001061608</v>
      </c>
      <c r="I31" s="6" t="n">
        <v>0.08811803001061608</v>
      </c>
    </row>
    <row r="32">
      <c r="A32" s="4" t="inlineStr">
        <is>
          <t>Tax Rate</t>
        </is>
      </c>
      <c r="E32" s="6" t="n">
        <v>0.21</v>
      </c>
      <c r="F32" s="6" t="n">
        <v>0.21</v>
      </c>
      <c r="G32" s="6" t="n">
        <v>0.21</v>
      </c>
      <c r="H32" s="6" t="n">
        <v>0.21</v>
      </c>
      <c r="I32" s="6" t="n">
        <v>0.21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</row>
    <row r="35">
      <c r="A35" s="4" t="inlineStr">
        <is>
          <t>WACC - Base</t>
        </is>
      </c>
      <c r="C35" s="6" t="n">
        <v>0.0905</v>
      </c>
    </row>
    <row r="36">
      <c r="A36" s="4" t="inlineStr">
        <is>
          <t>WACC - Bull</t>
        </is>
      </c>
      <c r="C36" s="6" t="n">
        <v>0.0805</v>
      </c>
    </row>
    <row r="37">
      <c r="A37" s="4" t="inlineStr">
        <is>
          <t>WACC - Bear</t>
        </is>
      </c>
      <c r="C37" s="6" t="n">
        <v>0.1005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25</v>
      </c>
    </row>
    <row r="41">
      <c r="A41" s="4" t="inlineStr">
        <is>
          <t>Terminal Value Multiple - Bull</t>
        </is>
      </c>
      <c r="C41" s="9" t="n">
        <v>27</v>
      </c>
    </row>
    <row r="42">
      <c r="A42" s="4" t="inlineStr">
        <is>
          <t>Terminal Value Multiple - Bear</t>
        </is>
      </c>
      <c r="C42" s="9" t="n">
        <v>23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Netskope, Inc. (NTSK) - Historical Financial Statements</t>
        </is>
      </c>
      <c r="B1" s="1" t="n"/>
      <c r="C1" s="1" t="n"/>
      <c r="D1" s="1" t="n"/>
    </row>
    <row r="3">
      <c r="A3" s="4" t="inlineStr">
        <is>
          <t>($ in millions)</t>
        </is>
      </c>
      <c r="C3" s="1" t="inlineStr">
        <is>
          <t>FY2024</t>
        </is>
      </c>
      <c r="D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</row>
    <row r="6">
      <c r="A6" s="2" t="inlineStr">
        <is>
          <t>Total Revenue</t>
        </is>
      </c>
      <c r="C6" s="5" t="n">
        <v>406.883</v>
      </c>
      <c r="D6" s="5" t="n">
        <v>538.268</v>
      </c>
    </row>
    <row r="7">
      <c r="A7" s="4" t="inlineStr">
        <is>
          <t>Cost of Revenue</t>
        </is>
      </c>
      <c r="C7" s="5" t="n">
        <v>163.633</v>
      </c>
      <c r="D7" s="5" t="n">
        <v>190.369</v>
      </c>
    </row>
    <row r="8">
      <c r="A8" s="2" t="inlineStr">
        <is>
          <t>Gross Profit</t>
        </is>
      </c>
      <c r="C8" s="5" t="n">
        <v>243.25</v>
      </c>
      <c r="D8" s="5" t="n">
        <v>347.899</v>
      </c>
    </row>
    <row r="9">
      <c r="A9" s="4" t="inlineStr">
        <is>
          <t xml:space="preserve">  Gross Margin</t>
        </is>
      </c>
      <c r="C9" s="11" t="n">
        <v>0.5978377076456869</v>
      </c>
      <c r="D9" s="11" t="n">
        <v>0.6463304524883515</v>
      </c>
    </row>
    <row r="11">
      <c r="A11" s="4" t="inlineStr">
        <is>
          <t>R&amp;D Expense</t>
        </is>
      </c>
      <c r="C11" s="5" t="n">
        <v>224.496</v>
      </c>
      <c r="D11" s="5" t="n">
        <v>254.189</v>
      </c>
    </row>
    <row r="12">
      <c r="A12" s="4" t="inlineStr">
        <is>
          <t>SG&amp;A Expense</t>
        </is>
      </c>
      <c r="C12" s="5" t="n">
        <v>331.552</v>
      </c>
      <c r="D12" s="5" t="n">
        <v>349.451</v>
      </c>
    </row>
    <row r="13">
      <c r="A13" s="2" t="inlineStr">
        <is>
          <t>Operating Income (EBIT)</t>
        </is>
      </c>
      <c r="C13" s="5" t="n">
        <v>-312.798</v>
      </c>
      <c r="D13" s="5" t="n">
        <v>-255.741</v>
      </c>
    </row>
    <row r="14">
      <c r="A14" s="4" t="inlineStr">
        <is>
          <t xml:space="preserve">  EBIT Margin</t>
        </is>
      </c>
      <c r="C14" s="11" t="n">
        <v>-0.768766451289437</v>
      </c>
      <c r="D14" s="11" t="n">
        <v>-0.4751183425356885</v>
      </c>
    </row>
    <row r="16">
      <c r="A16" s="4" t="inlineStr">
        <is>
          <t>Interest Expense</t>
        </is>
      </c>
      <c r="C16" s="5" t="n">
        <v>0</v>
      </c>
      <c r="D16" s="5" t="n">
        <v>0</v>
      </c>
    </row>
    <row r="17">
      <c r="A17" s="4" t="inlineStr">
        <is>
          <t>Tax Provision</t>
        </is>
      </c>
      <c r="C17" s="5" t="n">
        <v>6.784</v>
      </c>
      <c r="D17" s="5" t="n">
        <v>4.243</v>
      </c>
    </row>
    <row r="18">
      <c r="A18" s="2" t="inlineStr">
        <is>
          <t>Net Income</t>
        </is>
      </c>
      <c r="C18" s="5" t="n">
        <v>-344.852</v>
      </c>
      <c r="D18" s="5" t="n">
        <v>-354.51</v>
      </c>
    </row>
    <row r="19">
      <c r="A19" s="4" t="inlineStr">
        <is>
          <t xml:space="preserve">  Net Margin</t>
        </is>
      </c>
      <c r="C19" s="11" t="n">
        <v>-0.847545854705161</v>
      </c>
      <c r="D19" s="11" t="n">
        <v>-0.6586124384135784</v>
      </c>
    </row>
    <row r="21">
      <c r="A21" s="2" t="inlineStr">
        <is>
          <t>EBITDA</t>
        </is>
      </c>
      <c r="C21" s="5" t="n">
        <v>-263.25</v>
      </c>
      <c r="D21" s="5" t="n">
        <v>-204.197</v>
      </c>
    </row>
    <row r="22">
      <c r="A22" s="4" t="inlineStr">
        <is>
          <t xml:space="preserve">  EBITDA Margin</t>
        </is>
      </c>
      <c r="C22" s="11" t="n">
        <v>-0.6469918871026806</v>
      </c>
      <c r="D22" s="11" t="n">
        <v>-0.3793593525901596</v>
      </c>
    </row>
    <row r="23">
      <c r="A23" s="4" t="inlineStr">
        <is>
          <t>Diluted EPS</t>
        </is>
      </c>
      <c r="C23" s="12" t="n">
        <v>-1.051523</v>
      </c>
      <c r="D23" s="12" t="n">
        <v>-1.88</v>
      </c>
    </row>
    <row r="24">
      <c r="A24" s="4" t="inlineStr">
        <is>
          <t>D&amp;A</t>
        </is>
      </c>
      <c r="C24" s="5" t="n">
        <v>49.548</v>
      </c>
      <c r="D24" s="5" t="n">
        <v>51.544</v>
      </c>
    </row>
    <row r="27">
      <c r="A27" s="1" t="inlineStr">
        <is>
          <t>Balance Sheet</t>
        </is>
      </c>
      <c r="B27" s="1" t="n"/>
      <c r="C27" s="1" t="n"/>
      <c r="D27" s="1" t="n"/>
    </row>
    <row r="28">
      <c r="A28" s="4" t="inlineStr">
        <is>
          <t>Cash &amp; Equivalents</t>
        </is>
      </c>
      <c r="C28" s="5" t="n">
        <v>163.054</v>
      </c>
      <c r="D28" s="5" t="n">
        <v>166.012</v>
      </c>
    </row>
    <row r="29">
      <c r="A29" s="4" t="inlineStr">
        <is>
          <t>Current Assets</t>
        </is>
      </c>
      <c r="C29" s="5" t="n">
        <v>480.131</v>
      </c>
      <c r="D29" s="5" t="n">
        <v>528.405</v>
      </c>
    </row>
    <row r="30">
      <c r="A30" s="4" t="inlineStr">
        <is>
          <t>Net PP&amp;E</t>
        </is>
      </c>
      <c r="C30" s="5" t="n">
        <v>127.445</v>
      </c>
      <c r="D30" s="5" t="n">
        <v>134.051</v>
      </c>
    </row>
    <row r="31">
      <c r="A31" s="4" t="inlineStr">
        <is>
          <t>Goodwill</t>
        </is>
      </c>
      <c r="C31" s="5" t="n">
        <v>57.176</v>
      </c>
      <c r="D31" s="5" t="n">
        <v>61.083</v>
      </c>
    </row>
    <row r="32">
      <c r="A32" s="2" t="inlineStr">
        <is>
          <t>Total Assets</t>
        </is>
      </c>
      <c r="C32" s="5" t="n">
        <v>773.788</v>
      </c>
      <c r="D32" s="5" t="n">
        <v>858.506</v>
      </c>
    </row>
    <row r="34">
      <c r="A34" s="4" t="inlineStr">
        <is>
          <t>Current Liabilities</t>
        </is>
      </c>
      <c r="C34" s="5" t="n">
        <v>427.558</v>
      </c>
      <c r="D34" s="5" t="n">
        <v>526.708</v>
      </c>
    </row>
    <row r="35">
      <c r="A35" s="4" t="inlineStr">
        <is>
          <t>Total Debt</t>
        </is>
      </c>
      <c r="C35" s="5" t="n">
        <v>508.503</v>
      </c>
      <c r="D35" s="5" t="n">
        <v>662.697</v>
      </c>
    </row>
    <row r="36">
      <c r="A36" s="2" t="inlineStr">
        <is>
          <t>Total Liabilities</t>
        </is>
      </c>
      <c r="C36" s="5" t="n">
        <v>1030.608</v>
      </c>
      <c r="D36" s="5" t="n">
        <v>1344.095</v>
      </c>
    </row>
    <row r="38">
      <c r="A38" s="2" t="inlineStr">
        <is>
          <t>Total Equity</t>
        </is>
      </c>
      <c r="C38" s="5" t="n">
        <v>-256.82</v>
      </c>
      <c r="D38" s="5" t="n">
        <v>-485.589</v>
      </c>
    </row>
    <row r="41">
      <c r="A41" s="1" t="inlineStr">
        <is>
          <t>Cash Flow Statement</t>
        </is>
      </c>
      <c r="B41" s="1" t="n"/>
      <c r="C41" s="1" t="n"/>
      <c r="D41" s="1" t="n"/>
    </row>
    <row r="42">
      <c r="A42" s="2" t="inlineStr">
        <is>
          <t>Operating Cash Flow</t>
        </is>
      </c>
      <c r="C42" s="5" t="n">
        <v>-167.166</v>
      </c>
      <c r="D42" s="5" t="n">
        <v>-110.678</v>
      </c>
    </row>
    <row r="43">
      <c r="A43" s="4" t="inlineStr">
        <is>
          <t>Capital Expenditure</t>
        </is>
      </c>
      <c r="C43" s="5" t="n">
        <v>-41.152</v>
      </c>
      <c r="D43" s="5" t="n">
        <v>-40.422</v>
      </c>
    </row>
    <row r="44">
      <c r="A44" s="2" t="inlineStr">
        <is>
          <t>Free Cash Flow</t>
        </is>
      </c>
      <c r="C44" s="5" t="n">
        <v>-208.318</v>
      </c>
      <c r="D44" s="5" t="n">
        <v>-151.1</v>
      </c>
    </row>
    <row r="46">
      <c r="A46" s="4" t="inlineStr">
        <is>
          <t>D&amp;A</t>
        </is>
      </c>
      <c r="C46" s="5" t="n">
        <v>49.548</v>
      </c>
      <c r="D46" s="5" t="n">
        <v>51.544</v>
      </c>
    </row>
    <row r="47">
      <c r="A47" s="4" t="inlineStr">
        <is>
          <t>Stock-Based Compensation</t>
        </is>
      </c>
      <c r="C47" s="5" t="n">
        <v>60.991</v>
      </c>
      <c r="D47" s="5" t="n">
        <v>50.834</v>
      </c>
    </row>
    <row r="48">
      <c r="A48" s="4" t="inlineStr">
        <is>
          <t>Change in Working Capital</t>
        </is>
      </c>
      <c r="C48" s="5" t="n">
        <v>-5.269</v>
      </c>
      <c r="D48" s="5" t="n">
        <v>-10.466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I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Netskope, Inc. (NTSK)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FY2024</t>
        </is>
      </c>
      <c r="D4" s="1" t="inlineStr">
        <is>
          <t>FY2025</t>
        </is>
      </c>
      <c r="E4" s="1" t="inlineStr">
        <is>
          <t>FY2026</t>
        </is>
      </c>
      <c r="F4" s="1" t="inlineStr">
        <is>
          <t>FY2027</t>
        </is>
      </c>
      <c r="G4" s="1" t="inlineStr">
        <is>
          <t>FY2028</t>
        </is>
      </c>
      <c r="H4" s="1" t="inlineStr">
        <is>
          <t>FY2029</t>
        </is>
      </c>
      <c r="I4" s="1" t="inlineStr">
        <is>
          <t>FY2030</t>
        </is>
      </c>
    </row>
    <row r="5">
      <c r="E5" s="14" t="inlineStr">
        <is>
          <t>Proj.</t>
        </is>
      </c>
      <c r="F5" s="14" t="inlineStr">
        <is>
          <t>Proj.</t>
        </is>
      </c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</row>
    <row r="8">
      <c r="A8" s="2" t="inlineStr">
        <is>
          <t xml:space="preserve">  Software - Infrastructure</t>
        </is>
      </c>
      <c r="C8" s="5" t="n">
        <v>406.883</v>
      </c>
      <c r="D8" s="5" t="n">
        <v>538.268</v>
      </c>
      <c r="E8" s="8">
        <f>Assumptions!E12</f>
        <v/>
      </c>
      <c r="F8" s="8">
        <f>Assumptions!F12</f>
        <v/>
      </c>
      <c r="G8" s="8">
        <f>Assumptions!G12</f>
        <v/>
      </c>
      <c r="H8" s="8">
        <f>Assumptions!H12</f>
        <v/>
      </c>
      <c r="I8" s="8">
        <f>Assumptions!I12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</row>
    <row r="16">
      <c r="A16" s="4" t="inlineStr">
        <is>
          <t>Cost of Goods Sold (COGS)</t>
        </is>
      </c>
      <c r="C16" s="5" t="n">
        <v>163.633</v>
      </c>
      <c r="D16" s="5" t="n">
        <v>190.369</v>
      </c>
      <c r="E16" s="8">
        <f>-E15*(1-Assumptions!E18)</f>
        <v/>
      </c>
      <c r="F16" s="8">
        <f>-F15*(1-Assumptions!F18)</f>
        <v/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</row>
    <row r="20">
      <c r="A20" s="4" t="inlineStr">
        <is>
          <t>SG&amp;A Expense</t>
        </is>
      </c>
      <c r="C20" s="5" t="n">
        <v>331.552</v>
      </c>
      <c r="D20" s="5" t="n">
        <v>349.451</v>
      </c>
      <c r="E20" s="8">
        <f>-E15*Assumptions!E24</f>
        <v/>
      </c>
      <c r="F20" s="8">
        <f>-F15*Assumptions!F24</f>
        <v/>
      </c>
      <c r="G20" s="8">
        <f>-G15*Assumptions!G24</f>
        <v/>
      </c>
      <c r="H20" s="8">
        <f>-H15*Assumptions!H24</f>
        <v/>
      </c>
      <c r="I20" s="8">
        <f>-I15*Assumptions!I24</f>
        <v/>
      </c>
    </row>
    <row r="21">
      <c r="A21" s="4" t="inlineStr">
        <is>
          <t>R&amp;D Expense</t>
        </is>
      </c>
      <c r="C21" s="5" t="n">
        <v>224.496</v>
      </c>
      <c r="D21" s="5" t="n">
        <v>254.189</v>
      </c>
      <c r="E21" s="8">
        <f>-E15*Assumptions!E30</f>
        <v/>
      </c>
      <c r="F21" s="8">
        <f>-F15*Assumptions!F30</f>
        <v/>
      </c>
      <c r="G21" s="8">
        <f>-G15*Assumptions!G30</f>
        <v/>
      </c>
      <c r="H21" s="8">
        <f>-H15*Assumptions!H30</f>
        <v/>
      </c>
      <c r="I21" s="8">
        <f>-I15*Assumptions!I30</f>
        <v/>
      </c>
    </row>
    <row r="22">
      <c r="A22" s="4" t="inlineStr">
        <is>
          <t>Depreciation &amp; Amortization</t>
        </is>
      </c>
      <c r="C22" s="5" t="n">
        <v>49.548</v>
      </c>
      <c r="D22" s="5" t="n">
        <v>51.544</v>
      </c>
      <c r="E22" s="8">
        <f>-E15*Assumptions!E32</f>
        <v/>
      </c>
      <c r="F22" s="8">
        <f>-F15*Assumptions!F32</f>
        <v/>
      </c>
      <c r="G22" s="8">
        <f>-G15*Assumptions!G32</f>
        <v/>
      </c>
      <c r="H22" s="8">
        <f>-H15*Assumptions!H32</f>
        <v/>
      </c>
      <c r="I22" s="8">
        <f>-I15*Assumptions!I32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</row>
    <row r="29">
      <c r="A29" s="4" t="inlineStr">
        <is>
          <t>Interest Expense</t>
        </is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</row>
    <row r="31">
      <c r="A31" s="4" t="inlineStr">
        <is>
          <t>Taxes</t>
        </is>
      </c>
      <c r="C31" s="5" t="n">
        <v>6.784</v>
      </c>
      <c r="D31" s="5" t="n">
        <v>4.243</v>
      </c>
      <c r="E31" s="8">
        <f>-ABS(E30)*Assumptions!E34</f>
        <v/>
      </c>
      <c r="F31" s="8">
        <f>-ABS(F30)*Assumptions!F34</f>
        <v/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</row>
    <row r="39">
      <c r="A39" s="4" t="inlineStr">
        <is>
          <t>(+/-) Change in Working Capital</t>
        </is>
      </c>
      <c r="C39" s="5" t="n">
        <v>-5.269</v>
      </c>
      <c r="D39" s="5" t="n">
        <v>-10.466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</row>
    <row r="42">
      <c r="A42" s="4" t="inlineStr">
        <is>
          <t>(-) Capital Expenditure</t>
        </is>
      </c>
      <c r="C42" s="5" t="n">
        <v>-41.152</v>
      </c>
      <c r="D42" s="5" t="n">
        <v>-40.422</v>
      </c>
      <c r="E42" s="8">
        <f>-ABS(E15)*Assumptions!E33</f>
        <v/>
      </c>
      <c r="F42" s="8">
        <f>-ABS(F15)*Assumptions!F33</f>
        <v/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Netskope, Inc. (NTSK)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7.73</v>
      </c>
    </row>
    <row r="4">
      <c r="A4" s="4" t="inlineStr">
        <is>
          <t>Year</t>
        </is>
      </c>
      <c r="E4" s="1" t="n">
        <v>2026</v>
      </c>
      <c r="F4" s="1" t="n">
        <v>2027</v>
      </c>
      <c r="G4" s="1" t="n">
        <v>2028</v>
      </c>
      <c r="H4" s="1" t="n">
        <v>2029</v>
      </c>
      <c r="I4" s="1" t="n">
        <v>2030</v>
      </c>
    </row>
    <row r="5">
      <c r="A5" s="4" t="inlineStr">
        <is>
          <t>Year #</t>
        </is>
      </c>
      <c r="E5" t="n">
        <v>1</v>
      </c>
      <c r="F5" t="n">
        <v>2</v>
      </c>
      <c r="G5" t="n">
        <v>3</v>
      </c>
      <c r="H5" t="n">
        <v>4</v>
      </c>
      <c r="I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</row>
    <row r="8">
      <c r="A8" s="4" t="inlineStr">
        <is>
          <t>EBITDA ($M)</t>
        </is>
      </c>
      <c r="E8" s="8">
        <f>INDIRECT("Model!"&amp;"E"&amp;Model!B200)</f>
        <v/>
      </c>
      <c r="F8" s="8">
        <f>INDIRECT("Model!"&amp;"F"&amp;Model!B200)</f>
        <v/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</row>
    <row r="9">
      <c r="A9" s="4" t="inlineStr">
        <is>
          <t>(-) Taxes ($M)</t>
        </is>
      </c>
      <c r="E9" s="8">
        <f>INDIRECT("Model!"&amp;"E"&amp;Model!B201)</f>
        <v/>
      </c>
      <c r="F9" s="8">
        <f>INDIRECT("Model!"&amp;"F"&amp;Model!B201)</f>
        <v/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</row>
    <row r="10">
      <c r="A10" s="4" t="inlineStr">
        <is>
          <t>(+/-) Change in WC ($M)</t>
        </is>
      </c>
      <c r="E10" s="8">
        <f>INDIRECT("Model!"&amp;"E"&amp;Model!B204)</f>
        <v/>
      </c>
      <c r="F10" s="8">
        <f>INDIRECT("Model!"&amp;"F"&amp;Model!B204)</f>
        <v/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</row>
    <row r="11">
      <c r="A11" s="4" t="inlineStr">
        <is>
          <t>(-) CapEx ($M)</t>
        </is>
      </c>
      <c r="E11" s="8">
        <f>INDIRECT("Model!"&amp;"E"&amp;Model!B202)</f>
        <v/>
      </c>
      <c r="F11" s="8">
        <f>INDIRECT("Model!"&amp;"F"&amp;Model!B202)</f>
        <v/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</row>
    <row r="12">
      <c r="A12" s="2" t="inlineStr">
        <is>
          <t>Unlevered Free Cash Flow ($M)</t>
        </is>
      </c>
      <c r="E12" s="8">
        <f>E8+E9+E10+E11</f>
        <v/>
      </c>
      <c r="F12" s="8">
        <f>F8+F9+F10+F11</f>
        <v/>
      </c>
      <c r="G12" s="8">
        <f>G8+G9+G10+G11</f>
        <v/>
      </c>
      <c r="H12" s="8">
        <f>H8+H9+H10+H11</f>
        <v/>
      </c>
      <c r="I12" s="8">
        <f>I8+I9+I10+I11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E18" s="17">
        <f>1/(1+$C$15)^1</f>
        <v/>
      </c>
      <c r="F18" s="17">
        <f>1/(1+$C$15)^2</f>
        <v/>
      </c>
      <c r="G18" s="17">
        <f>1/(1+$C$15)^3</f>
        <v/>
      </c>
      <c r="H18" s="17">
        <f>1/(1+$C$15)^4</f>
        <v/>
      </c>
      <c r="I18" s="17">
        <f>1/(1+$C$15)^5</f>
        <v/>
      </c>
    </row>
    <row r="19">
      <c r="A19" s="4" t="inlineStr">
        <is>
          <t>PV of UFCF ($M)</t>
        </is>
      </c>
      <c r="E19" s="8">
        <f>E12*E18</f>
        <v/>
      </c>
      <c r="F19" s="8">
        <f>F12*F18</f>
        <v/>
      </c>
      <c r="G19" s="8">
        <f>G12*G18</f>
        <v/>
      </c>
      <c r="H19" s="8">
        <f>H12*H18</f>
        <v/>
      </c>
      <c r="I19" s="8">
        <f>I12*I18</f>
        <v/>
      </c>
    </row>
    <row r="21">
      <c r="A21" s="2" t="inlineStr">
        <is>
          <t>Terminal Value ($M)</t>
        </is>
      </c>
      <c r="I21" s="8">
        <f>I8*$C$16</f>
        <v/>
      </c>
    </row>
    <row r="22">
      <c r="A22" s="4" t="inlineStr">
        <is>
          <t>PV of Terminal Value ($M)</t>
        </is>
      </c>
      <c r="I22" s="8">
        <f>I21*I18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</row>
    <row r="25">
      <c r="A25" s="4" t="inlineStr">
        <is>
          <t>Sum of PV of UFCF ($M)</t>
        </is>
      </c>
      <c r="C25" s="8">
        <f>SUM(E19:I19)</f>
        <v/>
      </c>
    </row>
    <row r="26">
      <c r="A26" s="4" t="inlineStr">
        <is>
          <t>PV of Terminal Value ($M)</t>
        </is>
      </c>
      <c r="C26" s="8">
        <f>I22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-496.685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156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C33/7.73-1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21x</t>
        </is>
      </c>
      <c r="D38" s="1" t="inlineStr">
        <is>
          <t>23x</t>
        </is>
      </c>
      <c r="E38" s="1" t="inlineStr">
        <is>
          <t>25x</t>
        </is>
      </c>
      <c r="F38" s="1" t="inlineStr">
        <is>
          <t>27x</t>
        </is>
      </c>
      <c r="G38" s="1" t="inlineStr">
        <is>
          <t>29x</t>
        </is>
      </c>
    </row>
    <row r="39">
      <c r="A39" s="21" t="n">
        <v>0.0605</v>
      </c>
      <c r="C39" s="22">
        <f>(E$12/(1+$A$39)^1+F$12/(1+$A$39)^2+G$12/(1+$A$39)^3+H$12/(1+$A$39)^4+I$12/(1+$A$39)^5+I$8*21/(1+$A$39)^5+$C$29)/$C$32</f>
        <v/>
      </c>
      <c r="D39" s="22">
        <f>(E$12/(1+$A$39)^1+F$12/(1+$A$39)^2+G$12/(1+$A$39)^3+H$12/(1+$A$39)^4+I$12/(1+$A$39)^5+I$8*23/(1+$A$39)^5+$C$29)/$C$32</f>
        <v/>
      </c>
      <c r="E39" s="22">
        <f>(E$12/(1+$A$39)^1+F$12/(1+$A$39)^2+G$12/(1+$A$39)^3+H$12/(1+$A$39)^4+I$12/(1+$A$39)^5+I$8*25/(1+$A$39)^5+$C$29)/$C$32</f>
        <v/>
      </c>
      <c r="F39" s="22">
        <f>(E$12/(1+$A$39)^1+F$12/(1+$A$39)^2+G$12/(1+$A$39)^3+H$12/(1+$A$39)^4+I$12/(1+$A$39)^5+I$8*27/(1+$A$39)^5+$C$29)/$C$32</f>
        <v/>
      </c>
      <c r="G39" s="22">
        <f>(E$12/(1+$A$39)^1+F$12/(1+$A$39)^2+G$12/(1+$A$39)^3+H$12/(1+$A$39)^4+I$12/(1+$A$39)^5+I$8*29/(1+$A$39)^5+$C$29)/$C$32</f>
        <v/>
      </c>
    </row>
    <row r="40">
      <c r="A40" s="21" t="n">
        <v>0.07049999999999999</v>
      </c>
      <c r="C40" s="22">
        <f>(E$12/(1+$A$40)^1+F$12/(1+$A$40)^2+G$12/(1+$A$40)^3+H$12/(1+$A$40)^4+I$12/(1+$A$40)^5+I$8*21/(1+$A$40)^5+$C$29)/$C$32</f>
        <v/>
      </c>
      <c r="D40" s="22">
        <f>(E$12/(1+$A$40)^1+F$12/(1+$A$40)^2+G$12/(1+$A$40)^3+H$12/(1+$A$40)^4+I$12/(1+$A$40)^5+I$8*23/(1+$A$40)^5+$C$29)/$C$32</f>
        <v/>
      </c>
      <c r="E40" s="22">
        <f>(E$12/(1+$A$40)^1+F$12/(1+$A$40)^2+G$12/(1+$A$40)^3+H$12/(1+$A$40)^4+I$12/(1+$A$40)^5+I$8*25/(1+$A$40)^5+$C$29)/$C$32</f>
        <v/>
      </c>
      <c r="F40" s="22">
        <f>(E$12/(1+$A$40)^1+F$12/(1+$A$40)^2+G$12/(1+$A$40)^3+H$12/(1+$A$40)^4+I$12/(1+$A$40)^5+I$8*27/(1+$A$40)^5+$C$29)/$C$32</f>
        <v/>
      </c>
      <c r="G40" s="22">
        <f>(E$12/(1+$A$40)^1+F$12/(1+$A$40)^2+G$12/(1+$A$40)^3+H$12/(1+$A$40)^4+I$12/(1+$A$40)^5+I$8*29/(1+$A$40)^5+$C$29)/$C$32</f>
        <v/>
      </c>
    </row>
    <row r="41">
      <c r="A41" s="21" t="n">
        <v>0.0805</v>
      </c>
      <c r="C41" s="22">
        <f>(E$12/(1+$A$41)^1+F$12/(1+$A$41)^2+G$12/(1+$A$41)^3+H$12/(1+$A$41)^4+I$12/(1+$A$41)^5+I$8*21/(1+$A$41)^5+$C$29)/$C$32</f>
        <v/>
      </c>
      <c r="D41" s="22">
        <f>(E$12/(1+$A$41)^1+F$12/(1+$A$41)^2+G$12/(1+$A$41)^3+H$12/(1+$A$41)^4+I$12/(1+$A$41)^5+I$8*23/(1+$A$41)^5+$C$29)/$C$32</f>
        <v/>
      </c>
      <c r="E41" s="22">
        <f>(E$12/(1+$A$41)^1+F$12/(1+$A$41)^2+G$12/(1+$A$41)^3+H$12/(1+$A$41)^4+I$12/(1+$A$41)^5+I$8*25/(1+$A$41)^5+$C$29)/$C$32</f>
        <v/>
      </c>
      <c r="F41" s="22">
        <f>(E$12/(1+$A$41)^1+F$12/(1+$A$41)^2+G$12/(1+$A$41)^3+H$12/(1+$A$41)^4+I$12/(1+$A$41)^5+I$8*27/(1+$A$41)^5+$C$29)/$C$32</f>
        <v/>
      </c>
      <c r="G41" s="22">
        <f>(E$12/(1+$A$41)^1+F$12/(1+$A$41)^2+G$12/(1+$A$41)^3+H$12/(1+$A$41)^4+I$12/(1+$A$41)^5+I$8*29/(1+$A$41)^5+$C$29)/$C$32</f>
        <v/>
      </c>
    </row>
    <row r="42">
      <c r="A42" s="21" t="n">
        <v>0.0905</v>
      </c>
      <c r="C42" s="22">
        <f>(E$12/(1+$A$42)^1+F$12/(1+$A$42)^2+G$12/(1+$A$42)^3+H$12/(1+$A$42)^4+I$12/(1+$A$42)^5+I$8*21/(1+$A$42)^5+$C$29)/$C$32</f>
        <v/>
      </c>
      <c r="D42" s="22">
        <f>(E$12/(1+$A$42)^1+F$12/(1+$A$42)^2+G$12/(1+$A$42)^3+H$12/(1+$A$42)^4+I$12/(1+$A$42)^5+I$8*23/(1+$A$42)^5+$C$29)/$C$32</f>
        <v/>
      </c>
      <c r="E42" s="23">
        <f>(E$12/(1+$A$42)^1+F$12/(1+$A$42)^2+G$12/(1+$A$42)^3+H$12/(1+$A$42)^4+I$12/(1+$A$42)^5+I$8*25/(1+$A$42)^5+$C$29)/$C$32</f>
        <v/>
      </c>
      <c r="F42" s="22">
        <f>(E$12/(1+$A$42)^1+F$12/(1+$A$42)^2+G$12/(1+$A$42)^3+H$12/(1+$A$42)^4+I$12/(1+$A$42)^5+I$8*27/(1+$A$42)^5+$C$29)/$C$32</f>
        <v/>
      </c>
      <c r="G42" s="22">
        <f>(E$12/(1+$A$42)^1+F$12/(1+$A$42)^2+G$12/(1+$A$42)^3+H$12/(1+$A$42)^4+I$12/(1+$A$42)^5+I$8*29/(1+$A$42)^5+$C$29)/$C$32</f>
        <v/>
      </c>
    </row>
    <row r="43">
      <c r="A43" s="21" t="n">
        <v>0.1005</v>
      </c>
      <c r="C43" s="22">
        <f>(E$12/(1+$A$43)^1+F$12/(1+$A$43)^2+G$12/(1+$A$43)^3+H$12/(1+$A$43)^4+I$12/(1+$A$43)^5+I$8*21/(1+$A$43)^5+$C$29)/$C$32</f>
        <v/>
      </c>
      <c r="D43" s="22">
        <f>(E$12/(1+$A$43)^1+F$12/(1+$A$43)^2+G$12/(1+$A$43)^3+H$12/(1+$A$43)^4+I$12/(1+$A$43)^5+I$8*23/(1+$A$43)^5+$C$29)/$C$32</f>
        <v/>
      </c>
      <c r="E43" s="22">
        <f>(E$12/(1+$A$43)^1+F$12/(1+$A$43)^2+G$12/(1+$A$43)^3+H$12/(1+$A$43)^4+I$12/(1+$A$43)^5+I$8*25/(1+$A$43)^5+$C$29)/$C$32</f>
        <v/>
      </c>
      <c r="F43" s="22">
        <f>(E$12/(1+$A$43)^1+F$12/(1+$A$43)^2+G$12/(1+$A$43)^3+H$12/(1+$A$43)^4+I$12/(1+$A$43)^5+I$8*27/(1+$A$43)^5+$C$29)/$C$32</f>
        <v/>
      </c>
      <c r="G43" s="22">
        <f>(E$12/(1+$A$43)^1+F$12/(1+$A$43)^2+G$12/(1+$A$43)^3+H$12/(1+$A$43)^4+I$12/(1+$A$43)^5+I$8*29/(1+$A$43)^5+$C$29)/$C$32</f>
        <v/>
      </c>
    </row>
    <row r="44">
      <c r="A44" s="21" t="n">
        <v>0.1105</v>
      </c>
      <c r="C44" s="22">
        <f>(E$12/(1+$A$44)^1+F$12/(1+$A$44)^2+G$12/(1+$A$44)^3+H$12/(1+$A$44)^4+I$12/(1+$A$44)^5+I$8*21/(1+$A$44)^5+$C$29)/$C$32</f>
        <v/>
      </c>
      <c r="D44" s="22">
        <f>(E$12/(1+$A$44)^1+F$12/(1+$A$44)^2+G$12/(1+$A$44)^3+H$12/(1+$A$44)^4+I$12/(1+$A$44)^5+I$8*23/(1+$A$44)^5+$C$29)/$C$32</f>
        <v/>
      </c>
      <c r="E44" s="22">
        <f>(E$12/(1+$A$44)^1+F$12/(1+$A$44)^2+G$12/(1+$A$44)^3+H$12/(1+$A$44)^4+I$12/(1+$A$44)^5+I$8*25/(1+$A$44)^5+$C$29)/$C$32</f>
        <v/>
      </c>
      <c r="F44" s="22">
        <f>(E$12/(1+$A$44)^1+F$12/(1+$A$44)^2+G$12/(1+$A$44)^3+H$12/(1+$A$44)^4+I$12/(1+$A$44)^5+I$8*27/(1+$A$44)^5+$C$29)/$C$32</f>
        <v/>
      </c>
      <c r="G44" s="22">
        <f>(E$12/(1+$A$44)^1+F$12/(1+$A$44)^2+G$12/(1+$A$44)^3+H$12/(1+$A$44)^4+I$12/(1+$A$44)^5+I$8*29/(1+$A$44)^5+$C$29)/$C$32</f>
        <v/>
      </c>
    </row>
    <row r="45">
      <c r="A45" s="21" t="n">
        <v>0.1205</v>
      </c>
      <c r="C45" s="22">
        <f>(E$12/(1+$A$45)^1+F$12/(1+$A$45)^2+G$12/(1+$A$45)^3+H$12/(1+$A$45)^4+I$12/(1+$A$45)^5+I$8*21/(1+$A$45)^5+$C$29)/$C$32</f>
        <v/>
      </c>
      <c r="D45" s="22">
        <f>(E$12/(1+$A$45)^1+F$12/(1+$A$45)^2+G$12/(1+$A$45)^3+H$12/(1+$A$45)^4+I$12/(1+$A$45)^5+I$8*23/(1+$A$45)^5+$C$29)/$C$32</f>
        <v/>
      </c>
      <c r="E45" s="22">
        <f>(E$12/(1+$A$45)^1+F$12/(1+$A$45)^2+G$12/(1+$A$45)^3+H$12/(1+$A$45)^4+I$12/(1+$A$45)^5+I$8*25/(1+$A$45)^5+$C$29)/$C$32</f>
        <v/>
      </c>
      <c r="F45" s="22">
        <f>(E$12/(1+$A$45)^1+F$12/(1+$A$45)^2+G$12/(1+$A$45)^3+H$12/(1+$A$45)^4+I$12/(1+$A$45)^5+I$8*27/(1+$A$45)^5+$C$29)/$C$32</f>
        <v/>
      </c>
      <c r="G45" s="22">
        <f>(E$12/(1+$A$45)^1+F$12/(1+$A$45)^2+G$12/(1+$A$45)^3+H$12/(1+$A$45)^4+I$12/(1+$A$45)^5+I$8*29/(1+$A$45)^5+$C$29)/$C$32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2026-03-29T00:40:47Z</dcterms:created>
  <dcterms:modified xmlns:dcterms="http://purl.org/dc/terms/" xmlns:xsi="http://www.w3.org/2001/XMLSchema-instance" xsi:type="dcterms:W3CDTF">2026-03-29T00:40:47Z</dcterms:modified>
</cp:coreProperties>
</file>