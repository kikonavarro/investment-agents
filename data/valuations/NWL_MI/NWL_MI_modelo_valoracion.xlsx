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NewPrinces S.p.A. (NWL.MI)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6">
      <c r="A6" s="1" t="inlineStr">
        <is>
          <t>Packaged Foods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555.864</v>
      </c>
      <c r="D7" s="5" t="n">
        <v>741.095</v>
      </c>
      <c r="E7" s="5" t="n">
        <v>793.3390000000001</v>
      </c>
      <c r="F7" s="5" t="n">
        <v>1641.109</v>
      </c>
    </row>
    <row r="8">
      <c r="A8" s="4" t="inlineStr">
        <is>
          <t xml:space="preserve">  Revenue Growth - Base</t>
        </is>
      </c>
      <c r="G8" s="6" t="n">
        <v>0.07049568543843909</v>
      </c>
      <c r="H8" s="6" t="n">
        <v>0.06344611689459519</v>
      </c>
      <c r="I8" s="6" t="n">
        <v>0.05639654835075128</v>
      </c>
      <c r="J8" s="6" t="n">
        <v>0.04934697980690736</v>
      </c>
      <c r="K8" s="6" t="n">
        <v>0.04229741126306345</v>
      </c>
    </row>
    <row r="9">
      <c r="A9" s="4" t="inlineStr">
        <is>
          <t xml:space="preserve">  Revenue Growth - Bull</t>
        </is>
      </c>
      <c r="G9" s="6" t="n">
        <v>0.08549568543843909</v>
      </c>
      <c r="H9" s="6" t="n">
        <v>0.07694611689459518</v>
      </c>
      <c r="I9" s="6" t="n">
        <v>0.06839654835075128</v>
      </c>
      <c r="J9" s="6" t="n">
        <v>0.05984697980690736</v>
      </c>
      <c r="K9" s="6" t="n">
        <v>0.05129741126306345</v>
      </c>
    </row>
    <row r="10">
      <c r="A10" s="4" t="inlineStr">
        <is>
          <t xml:space="preserve">  Revenue Growth - Bear</t>
        </is>
      </c>
      <c r="G10" s="6" t="n">
        <v>0.05549568543843909</v>
      </c>
      <c r="H10" s="6" t="n">
        <v>0.04994611689459519</v>
      </c>
      <c r="I10" s="6" t="n">
        <v>0.04439654835075128</v>
      </c>
      <c r="J10" s="6" t="n">
        <v>0.03884697980690736</v>
      </c>
      <c r="K10" s="6" t="n">
        <v>0.03329741126306345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0.1814893511346247</v>
      </c>
      <c r="H15" s="6" t="n">
        <v>0.1814893511346247</v>
      </c>
      <c r="I15" s="6" t="n">
        <v>0.1814893511346247</v>
      </c>
      <c r="J15" s="6" t="n">
        <v>0.1814893511346247</v>
      </c>
      <c r="K15" s="6" t="n">
        <v>0.1814893511346247</v>
      </c>
    </row>
    <row r="16">
      <c r="A16" s="4" t="inlineStr">
        <is>
          <t>Gross Margin - Bull</t>
        </is>
      </c>
      <c r="G16" s="6" t="n">
        <v>0.1914893511346247</v>
      </c>
      <c r="H16" s="6" t="n">
        <v>0.1914893511346247</v>
      </c>
      <c r="I16" s="6" t="n">
        <v>0.1914893511346247</v>
      </c>
      <c r="J16" s="6" t="n">
        <v>0.1914893511346247</v>
      </c>
      <c r="K16" s="6" t="n">
        <v>0.1914893511346247</v>
      </c>
    </row>
    <row r="17">
      <c r="A17" s="4" t="inlineStr">
        <is>
          <t>Gross Margin - Bear</t>
        </is>
      </c>
      <c r="G17" s="6" t="n">
        <v>0.1714893511346247</v>
      </c>
      <c r="H17" s="6" t="n">
        <v>0.1714893511346247</v>
      </c>
      <c r="I17" s="6" t="n">
        <v>0.1714893511346247</v>
      </c>
      <c r="J17" s="6" t="n">
        <v>0.1714893511346247</v>
      </c>
      <c r="K17" s="6" t="n">
        <v>0.1714893511346247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0.02202888872780098</v>
      </c>
      <c r="H20" s="6" t="n">
        <v>0.02202888872780098</v>
      </c>
      <c r="I20" s="6" t="n">
        <v>0.02202888872780098</v>
      </c>
      <c r="J20" s="6" t="n">
        <v>0.02202888872780098</v>
      </c>
      <c r="K20" s="6" t="n">
        <v>0.02202888872780098</v>
      </c>
    </row>
    <row r="21">
      <c r="A21" s="4" t="inlineStr">
        <is>
          <t>SG&amp;A % Revenue - Bull</t>
        </is>
      </c>
      <c r="G21" s="6" t="n">
        <v>0.01702888872780098</v>
      </c>
      <c r="H21" s="6" t="n">
        <v>0.01702888872780098</v>
      </c>
      <c r="I21" s="6" t="n">
        <v>0.01702888872780098</v>
      </c>
      <c r="J21" s="6" t="n">
        <v>0.01702888872780098</v>
      </c>
      <c r="K21" s="6" t="n">
        <v>0.01702888872780098</v>
      </c>
    </row>
    <row r="22">
      <c r="A22" s="4" t="inlineStr">
        <is>
          <t>SG&amp;A % Revenue - Bear</t>
        </is>
      </c>
      <c r="G22" s="6" t="n">
        <v>0.02702888872780099</v>
      </c>
      <c r="H22" s="6" t="n">
        <v>0.02702888872780099</v>
      </c>
      <c r="I22" s="6" t="n">
        <v>0.02702888872780099</v>
      </c>
      <c r="J22" s="6" t="n">
        <v>0.02702888872780099</v>
      </c>
      <c r="K22" s="6" t="n">
        <v>0.02702888872780099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0.04882135223409662</v>
      </c>
      <c r="H30" s="6" t="n">
        <v>0.04882135223409662</v>
      </c>
      <c r="I30" s="6" t="n">
        <v>0.04882135223409662</v>
      </c>
      <c r="J30" s="6" t="n">
        <v>0.04882135223409662</v>
      </c>
      <c r="K30" s="6" t="n">
        <v>0.04882135223409662</v>
      </c>
    </row>
    <row r="31">
      <c r="A31" s="4" t="inlineStr">
        <is>
          <t>CapEx % Revenue</t>
        </is>
      </c>
      <c r="G31" s="6" t="n">
        <v>0.02240556285170727</v>
      </c>
      <c r="H31" s="6" t="n">
        <v>0.02240556285170727</v>
      </c>
      <c r="I31" s="6" t="n">
        <v>0.02240556285170727</v>
      </c>
      <c r="J31" s="6" t="n">
        <v>0.02240556285170727</v>
      </c>
      <c r="K31" s="6" t="n">
        <v>0.02240556285170727</v>
      </c>
    </row>
    <row r="32">
      <c r="A32" s="4" t="inlineStr">
        <is>
          <t>Tax Rate</t>
        </is>
      </c>
      <c r="G32" s="6" t="n">
        <v>0.1645453014811051</v>
      </c>
      <c r="H32" s="6" t="n">
        <v>0.1645453014811051</v>
      </c>
      <c r="I32" s="6" t="n">
        <v>0.1645453014811051</v>
      </c>
      <c r="J32" s="6" t="n">
        <v>0.1645453014811051</v>
      </c>
      <c r="K32" s="6" t="n">
        <v>0.1645453014811051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0.0523</v>
      </c>
    </row>
    <row r="36">
      <c r="A36" s="4" t="inlineStr">
        <is>
          <t>WACC - Bull</t>
        </is>
      </c>
      <c r="C36" s="6" t="n">
        <v>0.0423</v>
      </c>
    </row>
    <row r="37">
      <c r="A37" s="4" t="inlineStr">
        <is>
          <t>WACC - Bear</t>
        </is>
      </c>
      <c r="C37" s="6" t="n">
        <v>0.0623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NewPrinces S.p.A. (NWL.MI)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FY2021</t>
        </is>
      </c>
      <c r="D3" s="1" t="inlineStr">
        <is>
          <t>FY2022</t>
        </is>
      </c>
      <c r="E3" s="1" t="inlineStr">
        <is>
          <t>FY2023</t>
        </is>
      </c>
      <c r="F3" s="1" t="inlineStr">
        <is>
          <t>FY2024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555.864</v>
      </c>
      <c r="D6" s="5" t="n">
        <v>741.095</v>
      </c>
      <c r="E6" s="5" t="n">
        <v>793.3390000000001</v>
      </c>
      <c r="F6" s="5" t="n">
        <v>1641.109</v>
      </c>
    </row>
    <row r="7">
      <c r="A7" s="4" t="inlineStr">
        <is>
          <t>Cost of Revenue</t>
        </is>
      </c>
      <c r="C7" s="5" t="n">
        <v>440.414</v>
      </c>
      <c r="D7" s="5" t="n">
        <v>607.693</v>
      </c>
      <c r="E7" s="5" t="n">
        <v>656.1849999999999</v>
      </c>
      <c r="F7" s="5" t="n">
        <v>1369.712</v>
      </c>
    </row>
    <row r="8">
      <c r="A8" s="2" t="inlineStr">
        <is>
          <t>Gross Profit</t>
        </is>
      </c>
      <c r="C8" s="5" t="n">
        <v>115.45</v>
      </c>
      <c r="D8" s="5" t="n">
        <v>133.402</v>
      </c>
      <c r="E8" s="5" t="n">
        <v>137.154</v>
      </c>
      <c r="F8" s="5" t="n">
        <v>271.397</v>
      </c>
    </row>
    <row r="9">
      <c r="A9" s="4" t="inlineStr">
        <is>
          <t xml:space="preserve">  Gross Margin</t>
        </is>
      </c>
      <c r="C9" s="11" t="n">
        <v>0.2076946879092728</v>
      </c>
      <c r="D9" s="11" t="n">
        <v>0.1800066118378885</v>
      </c>
      <c r="E9" s="11" t="n">
        <v>0.1728819584061795</v>
      </c>
      <c r="F9" s="11" t="n">
        <v>0.1653741463851578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96.59699999999999</v>
      </c>
      <c r="D12" s="5" t="n">
        <v>111.255</v>
      </c>
      <c r="E12" s="5" t="n">
        <v>113.713</v>
      </c>
      <c r="F12" s="5" t="n">
        <v>228.677</v>
      </c>
    </row>
    <row r="13">
      <c r="A13" s="2" t="inlineStr">
        <is>
          <t>Operating Income (EBIT)</t>
        </is>
      </c>
      <c r="C13" s="5" t="n">
        <v>18.196</v>
      </c>
      <c r="D13" s="5" t="n">
        <v>21.34</v>
      </c>
      <c r="E13" s="5" t="n">
        <v>27.835</v>
      </c>
      <c r="F13" s="5" t="n">
        <v>42.572</v>
      </c>
    </row>
    <row r="14">
      <c r="A14" s="4" t="inlineStr">
        <is>
          <t xml:space="preserve">  EBIT Margin</t>
        </is>
      </c>
      <c r="C14" s="11" t="n">
        <v>0.03273462573579149</v>
      </c>
      <c r="D14" s="11" t="n">
        <v>0.02879522868188289</v>
      </c>
      <c r="E14" s="11" t="n">
        <v>0.03508588384032551</v>
      </c>
      <c r="F14" s="11" t="n">
        <v>0.02594099477853086</v>
      </c>
    </row>
    <row r="16">
      <c r="A16" s="4" t="inlineStr">
        <is>
          <t>Interest Expense</t>
        </is>
      </c>
      <c r="C16" s="5" t="n">
        <v>7.348</v>
      </c>
      <c r="D16" s="5" t="n">
        <v>8.166</v>
      </c>
      <c r="E16" s="5" t="n">
        <v>14.568</v>
      </c>
      <c r="F16" s="5" t="n">
        <v>31.32</v>
      </c>
    </row>
    <row r="17">
      <c r="A17" s="4" t="inlineStr">
        <is>
          <t>Tax Provision</t>
        </is>
      </c>
      <c r="C17" s="5" t="n">
        <v>3.317</v>
      </c>
      <c r="D17" s="5" t="n">
        <v>3.304</v>
      </c>
      <c r="E17" s="5" t="n">
        <v>4.203</v>
      </c>
      <c r="F17" s="5" t="n">
        <v>7.24</v>
      </c>
    </row>
    <row r="18">
      <c r="A18" s="2" t="inlineStr">
        <is>
          <t>Net Income</t>
        </is>
      </c>
      <c r="C18" s="5" t="n">
        <v>5.134</v>
      </c>
      <c r="D18" s="5" t="n">
        <v>6.223</v>
      </c>
      <c r="E18" s="5" t="n">
        <v>14.325</v>
      </c>
      <c r="F18" s="5" t="n">
        <v>157.933</v>
      </c>
    </row>
    <row r="19">
      <c r="A19" s="4" t="inlineStr">
        <is>
          <t xml:space="preserve">  Net Margin</t>
        </is>
      </c>
      <c r="C19" s="11" t="n">
        <v>0.009236072132751896</v>
      </c>
      <c r="D19" s="11" t="n">
        <v>0.00839703411843286</v>
      </c>
      <c r="E19" s="11" t="n">
        <v>0.01805659371340625</v>
      </c>
      <c r="F19" s="11" t="n">
        <v>0.09623553341063878</v>
      </c>
    </row>
    <row r="21">
      <c r="A21" s="2" t="inlineStr">
        <is>
          <t>EBITDA</t>
        </is>
      </c>
      <c r="C21" s="5" t="n">
        <v>47.746</v>
      </c>
      <c r="D21" s="5" t="n">
        <v>54.35</v>
      </c>
      <c r="E21" s="5" t="n">
        <v>75.94799999999999</v>
      </c>
      <c r="F21" s="5" t="n">
        <v>261.692</v>
      </c>
    </row>
    <row r="22">
      <c r="A22" s="4" t="inlineStr">
        <is>
          <t xml:space="preserve">  EBITDA Margin</t>
        </is>
      </c>
      <c r="C22" s="11" t="n">
        <v>0.08589511103435372</v>
      </c>
      <c r="D22" s="11" t="n">
        <v>0.07333742637583576</v>
      </c>
      <c r="E22" s="11" t="n">
        <v>0.09573208930860577</v>
      </c>
      <c r="F22" s="11" t="n">
        <v>0.1594604624068237</v>
      </c>
    </row>
    <row r="23">
      <c r="A23" s="4" t="inlineStr">
        <is>
          <t>Diluted EPS</t>
        </is>
      </c>
      <c r="C23" s="12" t="n">
        <v>0.12</v>
      </c>
      <c r="D23" s="12" t="n">
        <v>0.16</v>
      </c>
      <c r="E23" s="12" t="n">
        <v>0.34</v>
      </c>
      <c r="F23" s="12" t="n">
        <v>3.6</v>
      </c>
    </row>
    <row r="24">
      <c r="A24" s="4" t="inlineStr">
        <is>
          <t>D&amp;A</t>
        </is>
      </c>
      <c r="C24" s="5" t="n">
        <v>30.843</v>
      </c>
      <c r="D24" s="5" t="n">
        <v>36.283</v>
      </c>
      <c r="E24" s="5" t="n">
        <v>41.665</v>
      </c>
      <c r="F24" s="5" t="n">
        <v>62.89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384.888</v>
      </c>
      <c r="D28" s="5" t="n">
        <v>287.82</v>
      </c>
      <c r="E28" s="5" t="n">
        <v>312.459</v>
      </c>
      <c r="F28" s="5" t="n">
        <v>455.135</v>
      </c>
    </row>
    <row r="29">
      <c r="A29" s="4" t="inlineStr">
        <is>
          <t>Current Assets</t>
        </is>
      </c>
      <c r="C29" s="5" t="n">
        <v>530.574</v>
      </c>
      <c r="D29" s="5" t="n">
        <v>505.573</v>
      </c>
      <c r="E29" s="5" t="n">
        <v>508.212</v>
      </c>
      <c r="F29" s="5" t="n">
        <v>1526.493</v>
      </c>
    </row>
    <row r="30">
      <c r="A30" s="4" t="inlineStr">
        <is>
          <t>Net PP&amp;E</t>
        </is>
      </c>
      <c r="C30" s="5" t="n">
        <v>195.987</v>
      </c>
      <c r="D30" s="5" t="n">
        <v>200.613</v>
      </c>
      <c r="E30" s="5" t="n">
        <v>208.505</v>
      </c>
      <c r="F30" s="5" t="n">
        <v>676.904</v>
      </c>
    </row>
    <row r="31">
      <c r="A31" s="4" t="inlineStr">
        <is>
          <t>Goodwill</t>
        </is>
      </c>
      <c r="C31" s="5" t="n">
        <v>13.701</v>
      </c>
      <c r="D31" s="5" t="n">
        <v>13.07</v>
      </c>
      <c r="E31" s="5" t="n">
        <v>13.29</v>
      </c>
      <c r="F31" s="5" t="n">
        <v>13.071</v>
      </c>
    </row>
    <row r="32">
      <c r="A32" s="2" t="inlineStr">
        <is>
          <t>Total Assets</t>
        </is>
      </c>
      <c r="C32" s="5" t="n">
        <v>834.9</v>
      </c>
      <c r="D32" s="5" t="n">
        <v>809.095</v>
      </c>
      <c r="E32" s="5" t="n">
        <v>817.604</v>
      </c>
      <c r="F32" s="5" t="n">
        <v>2353.726</v>
      </c>
    </row>
    <row r="34">
      <c r="A34" s="4" t="inlineStr">
        <is>
          <t>Current Liabilities</t>
        </is>
      </c>
      <c r="C34" s="5" t="n">
        <v>336.643</v>
      </c>
      <c r="D34" s="5" t="n">
        <v>292.466</v>
      </c>
      <c r="E34" s="5" t="n">
        <v>279.162</v>
      </c>
      <c r="F34" s="5" t="n">
        <v>1025.416</v>
      </c>
    </row>
    <row r="35">
      <c r="A35" s="4" t="inlineStr">
        <is>
          <t>Total Debt</t>
        </is>
      </c>
      <c r="C35" s="5" t="n">
        <v>39.062</v>
      </c>
      <c r="D35" s="5" t="n">
        <v>46.74</v>
      </c>
      <c r="E35" s="5" t="n">
        <v>399.973</v>
      </c>
      <c r="F35" s="5" t="n">
        <v>1272.803</v>
      </c>
    </row>
    <row r="36">
      <c r="A36" s="2" t="inlineStr">
        <is>
          <t>Total Liabilities</t>
        </is>
      </c>
      <c r="C36" s="5" t="n">
        <v>690.385</v>
      </c>
      <c r="D36" s="5" t="n">
        <v>669.79</v>
      </c>
      <c r="E36" s="5" t="n">
        <v>642.946</v>
      </c>
      <c r="F36" s="5" t="n">
        <v>1957.784</v>
      </c>
    </row>
    <row r="38">
      <c r="A38" s="2" t="inlineStr">
        <is>
          <t>Total Equity</t>
        </is>
      </c>
      <c r="C38" s="5" t="n">
        <v>144.515</v>
      </c>
      <c r="D38" s="5" t="n">
        <v>139.305</v>
      </c>
      <c r="E38" s="5" t="n">
        <v>174.658</v>
      </c>
      <c r="F38" s="5" t="n">
        <v>395.942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61.236</v>
      </c>
      <c r="D42" s="5" t="n">
        <v>17.784</v>
      </c>
      <c r="E42" s="5" t="n">
        <v>62.391</v>
      </c>
      <c r="F42" s="5" t="n">
        <v>279.498</v>
      </c>
    </row>
    <row r="43">
      <c r="A43" s="4" t="inlineStr">
        <is>
          <t>Capital Expenditure</t>
        </is>
      </c>
      <c r="C43" s="5" t="n">
        <v>-13.316</v>
      </c>
      <c r="D43" s="5" t="n">
        <v>-15.456</v>
      </c>
      <c r="E43" s="5" t="n">
        <v>-24.939</v>
      </c>
      <c r="F43" s="5" t="n">
        <v>-26.489</v>
      </c>
    </row>
    <row r="44">
      <c r="A44" s="2" t="inlineStr">
        <is>
          <t>Free Cash Flow</t>
        </is>
      </c>
      <c r="C44" s="5" t="n">
        <v>47.92</v>
      </c>
      <c r="D44" s="5" t="n">
        <v>2.328</v>
      </c>
      <c r="E44" s="5" t="n">
        <v>37.452</v>
      </c>
      <c r="F44" s="5" t="n">
        <v>253.009</v>
      </c>
    </row>
    <row r="46">
      <c r="A46" s="4" t="inlineStr">
        <is>
          <t>D&amp;A</t>
        </is>
      </c>
      <c r="C46" s="5" t="n">
        <v>30.843</v>
      </c>
      <c r="D46" s="5" t="n">
        <v>36.283</v>
      </c>
      <c r="E46" s="5" t="n">
        <v>41.665</v>
      </c>
      <c r="F46" s="5" t="n">
        <v>62.89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17.878</v>
      </c>
      <c r="D48" s="5" t="n">
        <v>-37.796</v>
      </c>
      <c r="E48" s="5" t="n">
        <v>-1.156</v>
      </c>
      <c r="F48" s="5" t="n">
        <v>177.411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NewPrinces S.p.A. (NWL.MI)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FY2021</t>
        </is>
      </c>
      <c r="D4" s="1" t="inlineStr">
        <is>
          <t>FY2022</t>
        </is>
      </c>
      <c r="E4" s="1" t="inlineStr">
        <is>
          <t>FY2023</t>
        </is>
      </c>
      <c r="F4" s="1" t="inlineStr">
        <is>
          <t>FY2024</t>
        </is>
      </c>
      <c r="G4" s="1" t="inlineStr">
        <is>
          <t>FY2025</t>
        </is>
      </c>
      <c r="H4" s="1" t="inlineStr">
        <is>
          <t>FY2026</t>
        </is>
      </c>
      <c r="I4" s="1" t="inlineStr">
        <is>
          <t>FY2027</t>
        </is>
      </c>
      <c r="J4" s="1" t="inlineStr">
        <is>
          <t>FY2028</t>
        </is>
      </c>
      <c r="K4" s="1" t="inlineStr">
        <is>
          <t>FY2029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Packaged Foods</t>
        </is>
      </c>
      <c r="C8" s="5" t="n">
        <v>555.864</v>
      </c>
      <c r="D8" s="5" t="n">
        <v>741.095</v>
      </c>
      <c r="E8" s="5" t="n">
        <v>793.3390000000001</v>
      </c>
      <c r="F8" s="5" t="n">
        <v>1641.109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440.414</v>
      </c>
      <c r="D16" s="5" t="n">
        <v>607.693</v>
      </c>
      <c r="E16" s="5" t="n">
        <v>656.1849999999999</v>
      </c>
      <c r="F16" s="5" t="n">
        <v>1369.712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96.59699999999999</v>
      </c>
      <c r="D20" s="5" t="n">
        <v>111.255</v>
      </c>
      <c r="E20" s="5" t="n">
        <v>113.713</v>
      </c>
      <c r="F20" s="5" t="n">
        <v>228.677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30.843</v>
      </c>
      <c r="D22" s="5" t="n">
        <v>36.283</v>
      </c>
      <c r="E22" s="5" t="n">
        <v>41.665</v>
      </c>
      <c r="F22" s="5" t="n">
        <v>62.89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7.348</v>
      </c>
      <c r="D29" s="5" t="n">
        <v>8.166</v>
      </c>
      <c r="E29" s="5" t="n">
        <v>14.568</v>
      </c>
      <c r="F29" s="5" t="n">
        <v>31.32</v>
      </c>
      <c r="G29" s="5" t="n">
        <v>31.32</v>
      </c>
      <c r="H29" s="5" t="n">
        <v>31.32</v>
      </c>
      <c r="I29" s="5" t="n">
        <v>31.32</v>
      </c>
      <c r="J29" s="5" t="n">
        <v>31.32</v>
      </c>
      <c r="K29" s="5" t="n">
        <v>31.32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3.317</v>
      </c>
      <c r="D31" s="5" t="n">
        <v>3.304</v>
      </c>
      <c r="E31" s="5" t="n">
        <v>4.203</v>
      </c>
      <c r="F31" s="5" t="n">
        <v>7.24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17.878</v>
      </c>
      <c r="D39" s="5" t="n">
        <v>-37.796</v>
      </c>
      <c r="E39" s="5" t="n">
        <v>-1.156</v>
      </c>
      <c r="F39" s="5" t="n">
        <v>177.411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-13.316</v>
      </c>
      <c r="D42" s="5" t="n">
        <v>-15.456</v>
      </c>
      <c r="E42" s="5" t="n">
        <v>-24.939</v>
      </c>
      <c r="F42" s="5" t="n">
        <v>-26.489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NewPrinces S.p.A. (NWL.MI)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18.6</v>
      </c>
    </row>
    <row r="4">
      <c r="A4" s="4" t="inlineStr">
        <is>
          <t>Year</t>
        </is>
      </c>
      <c r="G4" s="1" t="n">
        <v>2025</v>
      </c>
      <c r="H4" s="1" t="n">
        <v>2026</v>
      </c>
      <c r="I4" s="1" t="n">
        <v>2027</v>
      </c>
      <c r="J4" s="1" t="n">
        <v>2028</v>
      </c>
      <c r="K4" s="1" t="n">
        <v>2029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-817.668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42.222079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C33/18.6-1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0.0223</v>
      </c>
      <c r="C39" s="22">
        <f>(G$12/(1+$A$39)^1+H$12/(1+$A$39)^2+I$12/(1+$A$39)^3+J$12/(1+$A$39)^4+K$12/(1+$A$39)^5+K$8*8/(1+$A$39)^5+$C$29)/$C$32</f>
        <v/>
      </c>
      <c r="D39" s="22">
        <f>(G$12/(1+$A$39)^1+H$12/(1+$A$39)^2+I$12/(1+$A$39)^3+J$12/(1+$A$39)^4+K$12/(1+$A$39)^5+K$8*10/(1+$A$39)^5+$C$29)/$C$32</f>
        <v/>
      </c>
      <c r="E39" s="22">
        <f>(G$12/(1+$A$39)^1+H$12/(1+$A$39)^2+I$12/(1+$A$39)^3+J$12/(1+$A$39)^4+K$12/(1+$A$39)^5+K$8*12/(1+$A$39)^5+$C$29)/$C$32</f>
        <v/>
      </c>
      <c r="F39" s="22">
        <f>(G$12/(1+$A$39)^1+H$12/(1+$A$39)^2+I$12/(1+$A$39)^3+J$12/(1+$A$39)^4+K$12/(1+$A$39)^5+K$8*14/(1+$A$39)^5+$C$29)/$C$32</f>
        <v/>
      </c>
      <c r="G39" s="22">
        <f>(G$12/(1+$A$39)^1+H$12/(1+$A$39)^2+I$12/(1+$A$39)^3+J$12/(1+$A$39)^4+K$12/(1+$A$39)^5+K$8*16/(1+$A$39)^5+$C$29)/$C$32</f>
        <v/>
      </c>
    </row>
    <row r="40">
      <c r="A40" s="21" t="n">
        <v>0.0323</v>
      </c>
      <c r="C40" s="22">
        <f>(G$12/(1+$A$40)^1+H$12/(1+$A$40)^2+I$12/(1+$A$40)^3+J$12/(1+$A$40)^4+K$12/(1+$A$40)^5+K$8*8/(1+$A$40)^5+$C$29)/$C$32</f>
        <v/>
      </c>
      <c r="D40" s="22">
        <f>(G$12/(1+$A$40)^1+H$12/(1+$A$40)^2+I$12/(1+$A$40)^3+J$12/(1+$A$40)^4+K$12/(1+$A$40)^5+K$8*10/(1+$A$40)^5+$C$29)/$C$32</f>
        <v/>
      </c>
      <c r="E40" s="22">
        <f>(G$12/(1+$A$40)^1+H$12/(1+$A$40)^2+I$12/(1+$A$40)^3+J$12/(1+$A$40)^4+K$12/(1+$A$40)^5+K$8*12/(1+$A$40)^5+$C$29)/$C$32</f>
        <v/>
      </c>
      <c r="F40" s="22">
        <f>(G$12/(1+$A$40)^1+H$12/(1+$A$40)^2+I$12/(1+$A$40)^3+J$12/(1+$A$40)^4+K$12/(1+$A$40)^5+K$8*14/(1+$A$40)^5+$C$29)/$C$32</f>
        <v/>
      </c>
      <c r="G40" s="22">
        <f>(G$12/(1+$A$40)^1+H$12/(1+$A$40)^2+I$12/(1+$A$40)^3+J$12/(1+$A$40)^4+K$12/(1+$A$40)^5+K$8*16/(1+$A$40)^5+$C$29)/$C$32</f>
        <v/>
      </c>
    </row>
    <row r="41">
      <c r="A41" s="21" t="n">
        <v>0.0423</v>
      </c>
      <c r="C41" s="22">
        <f>(G$12/(1+$A$41)^1+H$12/(1+$A$41)^2+I$12/(1+$A$41)^3+J$12/(1+$A$41)^4+K$12/(1+$A$41)^5+K$8*8/(1+$A$41)^5+$C$29)/$C$32</f>
        <v/>
      </c>
      <c r="D41" s="22">
        <f>(G$12/(1+$A$41)^1+H$12/(1+$A$41)^2+I$12/(1+$A$41)^3+J$12/(1+$A$41)^4+K$12/(1+$A$41)^5+K$8*10/(1+$A$41)^5+$C$29)/$C$32</f>
        <v/>
      </c>
      <c r="E41" s="22">
        <f>(G$12/(1+$A$41)^1+H$12/(1+$A$41)^2+I$12/(1+$A$41)^3+J$12/(1+$A$41)^4+K$12/(1+$A$41)^5+K$8*12/(1+$A$41)^5+$C$29)/$C$32</f>
        <v/>
      </c>
      <c r="F41" s="22">
        <f>(G$12/(1+$A$41)^1+H$12/(1+$A$41)^2+I$12/(1+$A$41)^3+J$12/(1+$A$41)^4+K$12/(1+$A$41)^5+K$8*14/(1+$A$41)^5+$C$29)/$C$32</f>
        <v/>
      </c>
      <c r="G41" s="22">
        <f>(G$12/(1+$A$41)^1+H$12/(1+$A$41)^2+I$12/(1+$A$41)^3+J$12/(1+$A$41)^4+K$12/(1+$A$41)^5+K$8*16/(1+$A$41)^5+$C$29)/$C$32</f>
        <v/>
      </c>
    </row>
    <row r="42">
      <c r="A42" s="21" t="n">
        <v>0.0523</v>
      </c>
      <c r="C42" s="22">
        <f>(G$12/(1+$A$42)^1+H$12/(1+$A$42)^2+I$12/(1+$A$42)^3+J$12/(1+$A$42)^4+K$12/(1+$A$42)^5+K$8*8/(1+$A$42)^5+$C$29)/$C$32</f>
        <v/>
      </c>
      <c r="D42" s="22">
        <f>(G$12/(1+$A$42)^1+H$12/(1+$A$42)^2+I$12/(1+$A$42)^3+J$12/(1+$A$42)^4+K$12/(1+$A$42)^5+K$8*10/(1+$A$42)^5+$C$29)/$C$32</f>
        <v/>
      </c>
      <c r="E42" s="23">
        <f>(G$12/(1+$A$42)^1+H$12/(1+$A$42)^2+I$12/(1+$A$42)^3+J$12/(1+$A$42)^4+K$12/(1+$A$42)^5+K$8*12/(1+$A$42)^5+$C$29)/$C$32</f>
        <v/>
      </c>
      <c r="F42" s="22">
        <f>(G$12/(1+$A$42)^1+H$12/(1+$A$42)^2+I$12/(1+$A$42)^3+J$12/(1+$A$42)^4+K$12/(1+$A$42)^5+K$8*14/(1+$A$42)^5+$C$29)/$C$32</f>
        <v/>
      </c>
      <c r="G42" s="22">
        <f>(G$12/(1+$A$42)^1+H$12/(1+$A$42)^2+I$12/(1+$A$42)^3+J$12/(1+$A$42)^4+K$12/(1+$A$42)^5+K$8*16/(1+$A$42)^5+$C$29)/$C$32</f>
        <v/>
      </c>
    </row>
    <row r="43">
      <c r="A43" s="21" t="n">
        <v>0.0623</v>
      </c>
      <c r="C43" s="22">
        <f>(G$12/(1+$A$43)^1+H$12/(1+$A$43)^2+I$12/(1+$A$43)^3+J$12/(1+$A$43)^4+K$12/(1+$A$43)^5+K$8*8/(1+$A$43)^5+$C$29)/$C$32</f>
        <v/>
      </c>
      <c r="D43" s="22">
        <f>(G$12/(1+$A$43)^1+H$12/(1+$A$43)^2+I$12/(1+$A$43)^3+J$12/(1+$A$43)^4+K$12/(1+$A$43)^5+K$8*10/(1+$A$43)^5+$C$29)/$C$32</f>
        <v/>
      </c>
      <c r="E43" s="22">
        <f>(G$12/(1+$A$43)^1+H$12/(1+$A$43)^2+I$12/(1+$A$43)^3+J$12/(1+$A$43)^4+K$12/(1+$A$43)^5+K$8*12/(1+$A$43)^5+$C$29)/$C$32</f>
        <v/>
      </c>
      <c r="F43" s="22">
        <f>(G$12/(1+$A$43)^1+H$12/(1+$A$43)^2+I$12/(1+$A$43)^3+J$12/(1+$A$43)^4+K$12/(1+$A$43)^5+K$8*14/(1+$A$43)^5+$C$29)/$C$32</f>
        <v/>
      </c>
      <c r="G43" s="22">
        <f>(G$12/(1+$A$43)^1+H$12/(1+$A$43)^2+I$12/(1+$A$43)^3+J$12/(1+$A$43)^4+K$12/(1+$A$43)^5+K$8*16/(1+$A$43)^5+$C$29)/$C$32</f>
        <v/>
      </c>
    </row>
    <row r="44">
      <c r="A44" s="21" t="n">
        <v>0.0723</v>
      </c>
      <c r="C44" s="22">
        <f>(G$12/(1+$A$44)^1+H$12/(1+$A$44)^2+I$12/(1+$A$44)^3+J$12/(1+$A$44)^4+K$12/(1+$A$44)^5+K$8*8/(1+$A$44)^5+$C$29)/$C$32</f>
        <v/>
      </c>
      <c r="D44" s="22">
        <f>(G$12/(1+$A$44)^1+H$12/(1+$A$44)^2+I$12/(1+$A$44)^3+J$12/(1+$A$44)^4+K$12/(1+$A$44)^5+K$8*10/(1+$A$44)^5+$C$29)/$C$32</f>
        <v/>
      </c>
      <c r="E44" s="22">
        <f>(G$12/(1+$A$44)^1+H$12/(1+$A$44)^2+I$12/(1+$A$44)^3+J$12/(1+$A$44)^4+K$12/(1+$A$44)^5+K$8*12/(1+$A$44)^5+$C$29)/$C$32</f>
        <v/>
      </c>
      <c r="F44" s="22">
        <f>(G$12/(1+$A$44)^1+H$12/(1+$A$44)^2+I$12/(1+$A$44)^3+J$12/(1+$A$44)^4+K$12/(1+$A$44)^5+K$8*14/(1+$A$44)^5+$C$29)/$C$32</f>
        <v/>
      </c>
      <c r="G44" s="22">
        <f>(G$12/(1+$A$44)^1+H$12/(1+$A$44)^2+I$12/(1+$A$44)^3+J$12/(1+$A$44)^4+K$12/(1+$A$44)^5+K$8*16/(1+$A$44)^5+$C$29)/$C$32</f>
        <v/>
      </c>
    </row>
    <row r="45">
      <c r="A45" s="21" t="n">
        <v>0.0823</v>
      </c>
      <c r="C45" s="22">
        <f>(G$12/(1+$A$45)^1+H$12/(1+$A$45)^2+I$12/(1+$A$45)^3+J$12/(1+$A$45)^4+K$12/(1+$A$45)^5+K$8*8/(1+$A$45)^5+$C$29)/$C$32</f>
        <v/>
      </c>
      <c r="D45" s="22">
        <f>(G$12/(1+$A$45)^1+H$12/(1+$A$45)^2+I$12/(1+$A$45)^3+J$12/(1+$A$45)^4+K$12/(1+$A$45)^5+K$8*10/(1+$A$45)^5+$C$29)/$C$32</f>
        <v/>
      </c>
      <c r="E45" s="22">
        <f>(G$12/(1+$A$45)^1+H$12/(1+$A$45)^2+I$12/(1+$A$45)^3+J$12/(1+$A$45)^4+K$12/(1+$A$45)^5+K$8*12/(1+$A$45)^5+$C$29)/$C$32</f>
        <v/>
      </c>
      <c r="F45" s="22">
        <f>(G$12/(1+$A$45)^1+H$12/(1+$A$45)^2+I$12/(1+$A$45)^3+J$12/(1+$A$45)^4+K$12/(1+$A$45)^5+K$8*14/(1+$A$45)^5+$C$29)/$C$32</f>
        <v/>
      </c>
      <c r="G45" s="22">
        <f>(G$12/(1+$A$45)^1+H$12/(1+$A$45)^2+I$12/(1+$A$45)^3+J$12/(1+$A$45)^4+K$12/(1+$A$45)^5+K$8*16/(1+$A$45)^5+$C$29)/$C$32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2026-03-28T17:31:05Z</dcterms:created>
  <dcterms:modified xmlns:dcterms="http://purl.org/dc/terms/" xmlns:xsi="http://www.w3.org/2001/XMLSchema-instance" xsi:type="dcterms:W3CDTF">2026-03-28T17:31:05Z</dcterms:modified>
</cp:coreProperties>
</file>