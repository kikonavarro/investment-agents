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International Business Machines Corporation (IBM)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Information Technology Services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60530</v>
      </c>
      <c r="D7" s="5" t="n">
        <v>61860</v>
      </c>
      <c r="E7" s="5" t="n">
        <v>62753</v>
      </c>
      <c r="F7" s="5" t="n">
        <v>67536</v>
      </c>
    </row>
    <row r="8">
      <c r="A8" s="4" t="inlineStr">
        <is>
          <t xml:space="preserve">  Revenue Growth - Base</t>
        </is>
      </c>
      <c r="G8" s="6" t="n">
        <v>0.05</v>
      </c>
      <c r="H8" s="6" t="n">
        <v>0.055</v>
      </c>
      <c r="I8" s="6" t="n">
        <v>0.055</v>
      </c>
      <c r="J8" s="6" t="n">
        <v>0.05</v>
      </c>
      <c r="K8" s="6" t="n">
        <v>0.045</v>
      </c>
    </row>
    <row r="9">
      <c r="A9" s="4" t="inlineStr">
        <is>
          <t xml:space="preserve">  Revenue Growth - Bull</t>
        </is>
      </c>
      <c r="G9" s="6" t="n">
        <v>0.07000000000000001</v>
      </c>
      <c r="H9" s="6" t="n">
        <v>0.08</v>
      </c>
      <c r="I9" s="6" t="n">
        <v>0.08</v>
      </c>
      <c r="J9" s="6" t="n">
        <v>0.07000000000000001</v>
      </c>
      <c r="K9" s="6" t="n">
        <v>0.06</v>
      </c>
    </row>
    <row r="10">
      <c r="A10" s="4" t="inlineStr">
        <is>
          <t xml:space="preserve">  Revenue Growth - Bear</t>
        </is>
      </c>
      <c r="G10" s="6" t="n">
        <v>0.02</v>
      </c>
      <c r="H10" s="6" t="n">
        <v>0.025</v>
      </c>
      <c r="I10" s="6" t="n">
        <v>0.03</v>
      </c>
      <c r="J10" s="6" t="n">
        <v>0.03</v>
      </c>
      <c r="K10" s="6" t="n">
        <v>0.03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0.57</v>
      </c>
      <c r="H15" s="6" t="n">
        <v>0.57</v>
      </c>
      <c r="I15" s="6" t="n">
        <v>0.57</v>
      </c>
      <c r="J15" s="6" t="n">
        <v>0.57</v>
      </c>
      <c r="K15" s="6" t="n">
        <v>0.57</v>
      </c>
    </row>
    <row r="16">
      <c r="A16" s="4" t="inlineStr">
        <is>
          <t>Gross Margin - Bull</t>
        </is>
      </c>
      <c r="G16" s="6" t="n">
        <v>0.58</v>
      </c>
      <c r="H16" s="6" t="n">
        <v>0.58</v>
      </c>
      <c r="I16" s="6" t="n">
        <v>0.58</v>
      </c>
      <c r="J16" s="6" t="n">
        <v>0.58</v>
      </c>
      <c r="K16" s="6" t="n">
        <v>0.58</v>
      </c>
    </row>
    <row r="17">
      <c r="A17" s="4" t="inlineStr">
        <is>
          <t>Gross Margin - Bear</t>
        </is>
      </c>
      <c r="G17" s="6" t="n">
        <v>0.5600000000000001</v>
      </c>
      <c r="H17" s="6" t="n">
        <v>0.5600000000000001</v>
      </c>
      <c r="I17" s="6" t="n">
        <v>0.5600000000000001</v>
      </c>
      <c r="J17" s="6" t="n">
        <v>0.5600000000000001</v>
      </c>
      <c r="K17" s="6" t="n">
        <v>0.5600000000000001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0.29</v>
      </c>
      <c r="H20" s="6" t="n">
        <v>0.29</v>
      </c>
      <c r="I20" s="6" t="n">
        <v>0.29</v>
      </c>
      <c r="J20" s="6" t="n">
        <v>0.29</v>
      </c>
      <c r="K20" s="6" t="n">
        <v>0.29</v>
      </c>
    </row>
    <row r="21">
      <c r="A21" s="4" t="inlineStr">
        <is>
          <t>SG&amp;A % Revenue - Bull</t>
        </is>
      </c>
      <c r="G21" s="6" t="n">
        <v>0.27</v>
      </c>
      <c r="H21" s="6" t="n">
        <v>0.27</v>
      </c>
      <c r="I21" s="6" t="n">
        <v>0.27</v>
      </c>
      <c r="J21" s="6" t="n">
        <v>0.27</v>
      </c>
      <c r="K21" s="6" t="n">
        <v>0.27</v>
      </c>
    </row>
    <row r="22">
      <c r="A22" s="4" t="inlineStr">
        <is>
          <t>SG&amp;A % Revenue - Bear</t>
        </is>
      </c>
      <c r="G22" s="6" t="n">
        <v>0.3</v>
      </c>
      <c r="H22" s="6" t="n">
        <v>0.3</v>
      </c>
      <c r="I22" s="6" t="n">
        <v>0.3</v>
      </c>
      <c r="J22" s="6" t="n">
        <v>0.3</v>
      </c>
      <c r="K22" s="6" t="n">
        <v>0.3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0.115</v>
      </c>
      <c r="H25" s="6" t="n">
        <v>0.115</v>
      </c>
      <c r="I25" s="6" t="n">
        <v>0.115</v>
      </c>
      <c r="J25" s="6" t="n">
        <v>0.115</v>
      </c>
      <c r="K25" s="6" t="n">
        <v>0.115</v>
      </c>
    </row>
    <row r="26">
      <c r="A26" s="4" t="inlineStr">
        <is>
          <t>R&amp;D % Revenue - Bull</t>
        </is>
      </c>
      <c r="G26" s="6" t="n">
        <v>0.11</v>
      </c>
      <c r="H26" s="6" t="n">
        <v>0.11</v>
      </c>
      <c r="I26" s="6" t="n">
        <v>0.11</v>
      </c>
      <c r="J26" s="6" t="n">
        <v>0.11</v>
      </c>
      <c r="K26" s="6" t="n">
        <v>0.11</v>
      </c>
    </row>
    <row r="27">
      <c r="A27" s="4" t="inlineStr">
        <is>
          <t>R&amp;D % Revenue - Bear</t>
        </is>
      </c>
      <c r="G27" s="6" t="n">
        <v>0.115</v>
      </c>
      <c r="H27" s="6" t="n">
        <v>0.115</v>
      </c>
      <c r="I27" s="6" t="n">
        <v>0.115</v>
      </c>
      <c r="J27" s="6" t="n">
        <v>0.115</v>
      </c>
      <c r="K27" s="6" t="n">
        <v>0.115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0.07000000000000001</v>
      </c>
      <c r="H30" s="6" t="n">
        <v>0.07000000000000001</v>
      </c>
      <c r="I30" s="6" t="n">
        <v>0.07000000000000001</v>
      </c>
      <c r="J30" s="6" t="n">
        <v>0.07000000000000001</v>
      </c>
      <c r="K30" s="6" t="n">
        <v>0.07000000000000001</v>
      </c>
    </row>
    <row r="31">
      <c r="A31" s="4" t="inlineStr">
        <is>
          <t>CapEx % Revenue</t>
        </is>
      </c>
      <c r="G31" s="6" t="n">
        <v>0.028</v>
      </c>
      <c r="H31" s="6" t="n">
        <v>0.028</v>
      </c>
      <c r="I31" s="6" t="n">
        <v>0.028</v>
      </c>
      <c r="J31" s="6" t="n">
        <v>0.028</v>
      </c>
      <c r="K31" s="6" t="n">
        <v>0.028</v>
      </c>
    </row>
    <row r="32">
      <c r="A32" s="4" t="inlineStr">
        <is>
          <t>Tax Rate</t>
        </is>
      </c>
      <c r="G32" s="6" t="n">
        <v>0.16</v>
      </c>
      <c r="H32" s="6" t="n">
        <v>0.16</v>
      </c>
      <c r="I32" s="6" t="n">
        <v>0.16</v>
      </c>
      <c r="J32" s="6" t="n">
        <v>0.16</v>
      </c>
      <c r="K32" s="6" t="n">
        <v>0.16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0.08</v>
      </c>
    </row>
    <row r="36">
      <c r="A36" s="4" t="inlineStr">
        <is>
          <t>WACC - Bull</t>
        </is>
      </c>
      <c r="C36" s="6" t="n">
        <v>0.075</v>
      </c>
    </row>
    <row r="37">
      <c r="A37" s="4" t="inlineStr">
        <is>
          <t>WACC - Bear</t>
        </is>
      </c>
      <c r="C37" s="6" t="n">
        <v>0.09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13</v>
      </c>
    </row>
    <row r="41">
      <c r="A41" s="4" t="inlineStr">
        <is>
          <t>Terminal Value Multiple - Bull</t>
        </is>
      </c>
      <c r="C41" s="9" t="n">
        <v>15.5</v>
      </c>
    </row>
    <row r="42">
      <c r="A42" s="4" t="inlineStr">
        <is>
          <t>Terminal Value Multiple - Bear</t>
        </is>
      </c>
      <c r="C42" s="9" t="n">
        <v>11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International Business Machines Corporation (IBM)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60530</v>
      </c>
      <c r="D6" s="5" t="n">
        <v>61860</v>
      </c>
      <c r="E6" s="5" t="n">
        <v>62753</v>
      </c>
      <c r="F6" s="5" t="n">
        <v>67536</v>
      </c>
    </row>
    <row r="7">
      <c r="A7" s="4" t="inlineStr">
        <is>
          <t>Cost of Revenue</t>
        </is>
      </c>
      <c r="C7" s="5" t="n">
        <v>27842</v>
      </c>
      <c r="D7" s="5" t="n">
        <v>27560</v>
      </c>
      <c r="E7" s="5" t="n">
        <v>27201</v>
      </c>
      <c r="F7" s="5" t="n">
        <v>28239</v>
      </c>
    </row>
    <row r="8">
      <c r="A8" s="2" t="inlineStr">
        <is>
          <t>Gross Profit</t>
        </is>
      </c>
      <c r="C8" s="5" t="n">
        <v>32687</v>
      </c>
      <c r="D8" s="5" t="n">
        <v>34300</v>
      </c>
      <c r="E8" s="5" t="n">
        <v>35551</v>
      </c>
      <c r="F8" s="5" t="n">
        <v>39297</v>
      </c>
    </row>
    <row r="9">
      <c r="A9" s="4" t="inlineStr">
        <is>
          <t xml:space="preserve">  Gross Margin</t>
        </is>
      </c>
      <c r="C9" s="11" t="n">
        <v>0.5400132165868164</v>
      </c>
      <c r="D9" s="11" t="n">
        <v>0.5544778532169414</v>
      </c>
      <c r="E9" s="11" t="n">
        <v>0.566522716045448</v>
      </c>
      <c r="F9" s="11" t="n">
        <v>0.5818674484719261</v>
      </c>
    </row>
    <row r="11">
      <c r="A11" s="4" t="inlineStr">
        <is>
          <t>R&amp;D Expense</t>
        </is>
      </c>
      <c r="C11" s="5" t="n">
        <v>6567</v>
      </c>
      <c r="D11" s="5" t="n">
        <v>6775</v>
      </c>
      <c r="E11" s="5" t="n">
        <v>7479</v>
      </c>
      <c r="F11" s="5" t="n">
        <v>8316</v>
      </c>
    </row>
    <row r="12">
      <c r="A12" s="4" t="inlineStr">
        <is>
          <t>SG&amp;A Expense</t>
        </is>
      </c>
      <c r="C12" s="5" t="n">
        <v>18609</v>
      </c>
      <c r="D12" s="5" t="n">
        <v>19003</v>
      </c>
      <c r="E12" s="5" t="n">
        <v>17910</v>
      </c>
      <c r="F12" s="5" t="n">
        <v>18141</v>
      </c>
    </row>
    <row r="13">
      <c r="A13" s="2" t="inlineStr">
        <is>
          <t>Operating Income (EBIT)</t>
        </is>
      </c>
      <c r="C13" s="5" t="n">
        <v>8174</v>
      </c>
      <c r="D13" s="5" t="n">
        <v>9382</v>
      </c>
      <c r="E13" s="5" t="n">
        <v>10074</v>
      </c>
      <c r="F13" s="5" t="n">
        <v>12492</v>
      </c>
    </row>
    <row r="14">
      <c r="A14" s="4" t="inlineStr">
        <is>
          <t xml:space="preserve">  EBIT Margin</t>
        </is>
      </c>
      <c r="C14" s="11" t="n">
        <v>0.1350404757971254</v>
      </c>
      <c r="D14" s="11" t="n">
        <v>0.1516650501131588</v>
      </c>
      <c r="E14" s="11" t="n">
        <v>0.1605341577295109</v>
      </c>
      <c r="F14" s="11" t="n">
        <v>0.1849680170575693</v>
      </c>
    </row>
    <row r="16">
      <c r="A16" s="4" t="inlineStr">
        <is>
          <t>Interest Expense</t>
        </is>
      </c>
      <c r="C16" s="5" t="n">
        <v>1216</v>
      </c>
      <c r="D16" s="5" t="n">
        <v>1607</v>
      </c>
      <c r="E16" s="5" t="n">
        <v>1712</v>
      </c>
      <c r="F16" s="5" t="n">
        <v>1935</v>
      </c>
    </row>
    <row r="17">
      <c r="A17" s="4" t="inlineStr">
        <is>
          <t>Tax Provision</t>
        </is>
      </c>
      <c r="C17" s="5" t="n">
        <v>-626</v>
      </c>
      <c r="D17" s="5" t="n">
        <v>1176</v>
      </c>
      <c r="E17" s="5" t="n">
        <v>-218</v>
      </c>
      <c r="F17" s="5" t="n">
        <v>-242</v>
      </c>
    </row>
    <row r="18">
      <c r="A18" s="2" t="inlineStr">
        <is>
          <t>Net Income</t>
        </is>
      </c>
      <c r="C18" s="5" t="n">
        <v>1640</v>
      </c>
      <c r="D18" s="5" t="n">
        <v>7502</v>
      </c>
      <c r="E18" s="5" t="n">
        <v>6023</v>
      </c>
      <c r="F18" s="5" t="n">
        <v>10593</v>
      </c>
    </row>
    <row r="19">
      <c r="A19" s="4" t="inlineStr">
        <is>
          <t xml:space="preserve">  Net Margin</t>
        </is>
      </c>
      <c r="C19" s="11" t="n">
        <v>0.02709400297373203</v>
      </c>
      <c r="D19" s="11" t="n">
        <v>0.1212738441642418</v>
      </c>
      <c r="E19" s="11" t="n">
        <v>0.09597947508485651</v>
      </c>
      <c r="F19" s="11" t="n">
        <v>0.1568496801705757</v>
      </c>
    </row>
    <row r="21">
      <c r="A21" s="2" t="inlineStr">
        <is>
          <t>EBITDA</t>
        </is>
      </c>
      <c r="C21" s="5" t="n">
        <v>7174</v>
      </c>
      <c r="D21" s="5" t="n">
        <v>14693</v>
      </c>
      <c r="E21" s="5" t="n">
        <v>12176</v>
      </c>
      <c r="F21" s="5" t="n">
        <v>17284</v>
      </c>
    </row>
    <row r="22">
      <c r="A22" s="4" t="inlineStr">
        <is>
          <t xml:space="preserve">  EBITDA Margin</t>
        </is>
      </c>
      <c r="C22" s="11" t="n">
        <v>0.1185197422765571</v>
      </c>
      <c r="D22" s="11" t="n">
        <v>0.237520206918849</v>
      </c>
      <c r="E22" s="11" t="n">
        <v>0.1940305642758115</v>
      </c>
      <c r="F22" s="11" t="n">
        <v>0.255922767116797</v>
      </c>
    </row>
    <row r="23">
      <c r="A23" s="4" t="inlineStr">
        <is>
          <t>Diluted EPS</t>
        </is>
      </c>
      <c r="C23" s="12" t="n">
        <v>1.8</v>
      </c>
      <c r="D23" s="12" t="n">
        <v>8.140000000000001</v>
      </c>
      <c r="E23" s="12" t="n">
        <v>6.43</v>
      </c>
      <c r="F23" s="12" t="n">
        <v>11.17</v>
      </c>
    </row>
    <row r="24">
      <c r="A24" s="4" t="inlineStr">
        <is>
          <t>D&amp;A</t>
        </is>
      </c>
      <c r="C24" s="5" t="n">
        <v>4802</v>
      </c>
      <c r="D24" s="5" t="n">
        <v>4396</v>
      </c>
      <c r="E24" s="5" t="n">
        <v>4667</v>
      </c>
      <c r="F24" s="5" t="n">
        <v>5021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7886</v>
      </c>
      <c r="D28" s="5" t="n">
        <v>13068</v>
      </c>
      <c r="E28" s="5" t="n">
        <v>13947</v>
      </c>
      <c r="F28" s="5" t="n">
        <v>13587</v>
      </c>
    </row>
    <row r="29">
      <c r="A29" s="4" t="inlineStr">
        <is>
          <t>Current Assets</t>
        </is>
      </c>
      <c r="C29" s="5" t="n">
        <v>29118</v>
      </c>
      <c r="D29" s="5" t="n">
        <v>32908</v>
      </c>
      <c r="E29" s="5" t="n">
        <v>34482</v>
      </c>
      <c r="F29" s="5" t="n">
        <v>36944</v>
      </c>
    </row>
    <row r="30">
      <c r="A30" s="4" t="inlineStr">
        <is>
          <t>Net PP&amp;E</t>
        </is>
      </c>
      <c r="C30" s="5" t="n">
        <v>8212</v>
      </c>
      <c r="D30" s="5" t="n">
        <v>8722</v>
      </c>
      <c r="E30" s="5" t="n">
        <v>8929</v>
      </c>
      <c r="F30" s="5" t="n">
        <v>9028</v>
      </c>
    </row>
    <row r="31">
      <c r="A31" s="4" t="inlineStr">
        <is>
          <t>Goodwill</t>
        </is>
      </c>
      <c r="C31" s="5" t="n">
        <v>55949</v>
      </c>
      <c r="D31" s="5" t="n">
        <v>60178</v>
      </c>
      <c r="E31" s="5" t="n">
        <v>60706</v>
      </c>
      <c r="F31" s="5" t="n">
        <v>67717</v>
      </c>
    </row>
    <row r="32">
      <c r="A32" s="2" t="inlineStr">
        <is>
          <t>Total Assets</t>
        </is>
      </c>
      <c r="C32" s="5" t="n">
        <v>127243</v>
      </c>
      <c r="D32" s="5" t="n">
        <v>135241</v>
      </c>
      <c r="E32" s="5" t="n">
        <v>137175</v>
      </c>
      <c r="F32" s="5" t="n">
        <v>151880</v>
      </c>
    </row>
    <row r="34">
      <c r="A34" s="4" t="inlineStr">
        <is>
          <t>Current Liabilities</t>
        </is>
      </c>
      <c r="C34" s="5" t="n">
        <v>31505</v>
      </c>
      <c r="D34" s="5" t="n">
        <v>34122</v>
      </c>
      <c r="E34" s="5" t="n">
        <v>33142</v>
      </c>
      <c r="F34" s="5" t="n">
        <v>38658</v>
      </c>
    </row>
    <row r="35">
      <c r="A35" s="4" t="inlineStr">
        <is>
          <t>Total Debt</t>
        </is>
      </c>
      <c r="C35" s="5" t="n">
        <v>54013</v>
      </c>
      <c r="D35" s="5" t="n">
        <v>59935</v>
      </c>
      <c r="E35" s="5" t="n">
        <v>58396</v>
      </c>
      <c r="F35" s="5" t="n">
        <v>64607</v>
      </c>
    </row>
    <row r="36">
      <c r="A36" s="2" t="inlineStr">
        <is>
          <t>Total Liabilities</t>
        </is>
      </c>
      <c r="C36" s="5" t="n">
        <v>105222</v>
      </c>
      <c r="D36" s="5" t="n">
        <v>112628</v>
      </c>
      <c r="E36" s="5" t="n">
        <v>109782</v>
      </c>
      <c r="F36" s="5" t="n">
        <v>119139</v>
      </c>
    </row>
    <row r="38">
      <c r="A38" s="2" t="inlineStr">
        <is>
          <t>Total Equity</t>
        </is>
      </c>
      <c r="C38" s="5" t="n">
        <v>22021</v>
      </c>
      <c r="D38" s="5" t="n">
        <v>22613</v>
      </c>
      <c r="E38" s="5" t="n">
        <v>27393</v>
      </c>
      <c r="F38" s="5" t="n">
        <v>32741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10435</v>
      </c>
      <c r="D42" s="5" t="n">
        <v>13931</v>
      </c>
      <c r="E42" s="5" t="n">
        <v>13445</v>
      </c>
      <c r="F42" s="5" t="n">
        <v>13193</v>
      </c>
    </row>
    <row r="43">
      <c r="A43" s="4" t="inlineStr">
        <is>
          <t>Capital Expenditure</t>
        </is>
      </c>
      <c r="C43" s="5" t="n">
        <v>-1972</v>
      </c>
      <c r="D43" s="5" t="n">
        <v>-1810</v>
      </c>
      <c r="E43" s="5" t="n">
        <v>-1685</v>
      </c>
      <c r="F43" s="5" t="n">
        <v>-1738</v>
      </c>
    </row>
    <row r="44">
      <c r="A44" s="2" t="inlineStr">
        <is>
          <t>Free Cash Flow</t>
        </is>
      </c>
      <c r="C44" s="5" t="n">
        <v>8463</v>
      </c>
      <c r="D44" s="5" t="n">
        <v>12121</v>
      </c>
      <c r="E44" s="5" t="n">
        <v>11760</v>
      </c>
      <c r="F44" s="5" t="n">
        <v>11455</v>
      </c>
    </row>
    <row r="46">
      <c r="A46" s="4" t="inlineStr">
        <is>
          <t>D&amp;A</t>
        </is>
      </c>
      <c r="C46" s="5" t="n">
        <v>4802</v>
      </c>
      <c r="D46" s="5" t="n">
        <v>4396</v>
      </c>
      <c r="E46" s="5" t="n">
        <v>4667</v>
      </c>
      <c r="F46" s="5" t="n">
        <v>5021</v>
      </c>
    </row>
    <row r="47">
      <c r="A47" s="4" t="inlineStr">
        <is>
          <t>Stock-Based Compensation</t>
        </is>
      </c>
      <c r="C47" s="5" t="n">
        <v>987</v>
      </c>
      <c r="D47" s="5" t="n">
        <v>1133</v>
      </c>
      <c r="E47" s="5" t="n">
        <v>1311</v>
      </c>
      <c r="F47" s="5" t="n">
        <v>1715</v>
      </c>
    </row>
    <row r="48">
      <c r="A48" s="4" t="inlineStr">
        <is>
          <t>Change in Working Capital</t>
        </is>
      </c>
      <c r="C48" s="5" t="n">
        <v>202</v>
      </c>
      <c r="D48" s="5" t="n">
        <v>2184</v>
      </c>
      <c r="E48" s="5" t="n">
        <v>1313</v>
      </c>
      <c r="F48" s="5" t="n">
        <v>-3139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International Business Machines Corporation (IBM)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Information Technology Services</t>
        </is>
      </c>
      <c r="C8" s="5" t="n">
        <v>60530</v>
      </c>
      <c r="D8" s="5" t="n">
        <v>61860</v>
      </c>
      <c r="E8" s="5" t="n">
        <v>62753</v>
      </c>
      <c r="F8" s="5" t="n">
        <v>67536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27842</v>
      </c>
      <c r="D16" s="5" t="n">
        <v>27560</v>
      </c>
      <c r="E16" s="5" t="n">
        <v>27201</v>
      </c>
      <c r="F16" s="5" t="n">
        <v>28239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18609</v>
      </c>
      <c r="D20" s="5" t="n">
        <v>19003</v>
      </c>
      <c r="E20" s="5" t="n">
        <v>17910</v>
      </c>
      <c r="F20" s="5" t="n">
        <v>18141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6567</v>
      </c>
      <c r="D21" s="5" t="n">
        <v>6775</v>
      </c>
      <c r="E21" s="5" t="n">
        <v>7479</v>
      </c>
      <c r="F21" s="5" t="n">
        <v>8316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4802</v>
      </c>
      <c r="D22" s="5" t="n">
        <v>4396</v>
      </c>
      <c r="E22" s="5" t="n">
        <v>4667</v>
      </c>
      <c r="F22" s="5" t="n">
        <v>5021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1216</v>
      </c>
      <c r="D29" s="5" t="n">
        <v>1607</v>
      </c>
      <c r="E29" s="5" t="n">
        <v>1712</v>
      </c>
      <c r="F29" s="5" t="n">
        <v>1935</v>
      </c>
      <c r="G29" s="5" t="n">
        <v>1935</v>
      </c>
      <c r="H29" s="5" t="n">
        <v>1935</v>
      </c>
      <c r="I29" s="5" t="n">
        <v>1935</v>
      </c>
      <c r="J29" s="5" t="n">
        <v>1935</v>
      </c>
      <c r="K29" s="5" t="n">
        <v>1935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-626</v>
      </c>
      <c r="D31" s="5" t="n">
        <v>1176</v>
      </c>
      <c r="E31" s="5" t="n">
        <v>-218</v>
      </c>
      <c r="F31" s="5" t="n">
        <v>-242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202</v>
      </c>
      <c r="D39" s="5" t="n">
        <v>2184</v>
      </c>
      <c r="E39" s="5" t="n">
        <v>1313</v>
      </c>
      <c r="F39" s="5" t="n">
        <v>-3139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-1972</v>
      </c>
      <c r="D42" s="5" t="n">
        <v>-1810</v>
      </c>
      <c r="E42" s="5" t="n">
        <v>-1685</v>
      </c>
      <c r="F42" s="5" t="n">
        <v>-1738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International Business Machines Corporation (IBM)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252.97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-51020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939.88528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C33/252.97-1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9x</t>
        </is>
      </c>
      <c r="D38" s="1" t="inlineStr">
        <is>
          <t>11x</t>
        </is>
      </c>
      <c r="E38" s="1" t="inlineStr">
        <is>
          <t>13x</t>
        </is>
      </c>
      <c r="F38" s="1" t="inlineStr">
        <is>
          <t>15x</t>
        </is>
      </c>
      <c r="G38" s="1" t="inlineStr">
        <is>
          <t>17x</t>
        </is>
      </c>
    </row>
    <row r="39">
      <c r="A39" s="21" t="n">
        <v>0.05</v>
      </c>
      <c r="C39" s="22">
        <f>(G$12/(1+$A$39)^1+H$12/(1+$A$39)^2+I$12/(1+$A$39)^3+J$12/(1+$A$39)^4+K$12/(1+$A$39)^5+K$8*9/(1+$A$39)^5+$C$29)/$C$32</f>
        <v/>
      </c>
      <c r="D39" s="22">
        <f>(G$12/(1+$A$39)^1+H$12/(1+$A$39)^2+I$12/(1+$A$39)^3+J$12/(1+$A$39)^4+K$12/(1+$A$39)^5+K$8*11/(1+$A$39)^5+$C$29)/$C$32</f>
        <v/>
      </c>
      <c r="E39" s="22">
        <f>(G$12/(1+$A$39)^1+H$12/(1+$A$39)^2+I$12/(1+$A$39)^3+J$12/(1+$A$39)^4+K$12/(1+$A$39)^5+K$8*13/(1+$A$39)^5+$C$29)/$C$32</f>
        <v/>
      </c>
      <c r="F39" s="22">
        <f>(G$12/(1+$A$39)^1+H$12/(1+$A$39)^2+I$12/(1+$A$39)^3+J$12/(1+$A$39)^4+K$12/(1+$A$39)^5+K$8*15/(1+$A$39)^5+$C$29)/$C$32</f>
        <v/>
      </c>
      <c r="G39" s="22">
        <f>(G$12/(1+$A$39)^1+H$12/(1+$A$39)^2+I$12/(1+$A$39)^3+J$12/(1+$A$39)^4+K$12/(1+$A$39)^5+K$8*17/(1+$A$39)^5+$C$29)/$C$32</f>
        <v/>
      </c>
    </row>
    <row r="40">
      <c r="A40" s="21" t="n">
        <v>0.06</v>
      </c>
      <c r="C40" s="22">
        <f>(G$12/(1+$A$40)^1+H$12/(1+$A$40)^2+I$12/(1+$A$40)^3+J$12/(1+$A$40)^4+K$12/(1+$A$40)^5+K$8*9/(1+$A$40)^5+$C$29)/$C$32</f>
        <v/>
      </c>
      <c r="D40" s="22">
        <f>(G$12/(1+$A$40)^1+H$12/(1+$A$40)^2+I$12/(1+$A$40)^3+J$12/(1+$A$40)^4+K$12/(1+$A$40)^5+K$8*11/(1+$A$40)^5+$C$29)/$C$32</f>
        <v/>
      </c>
      <c r="E40" s="22">
        <f>(G$12/(1+$A$40)^1+H$12/(1+$A$40)^2+I$12/(1+$A$40)^3+J$12/(1+$A$40)^4+K$12/(1+$A$40)^5+K$8*13/(1+$A$40)^5+$C$29)/$C$32</f>
        <v/>
      </c>
      <c r="F40" s="22">
        <f>(G$12/(1+$A$40)^1+H$12/(1+$A$40)^2+I$12/(1+$A$40)^3+J$12/(1+$A$40)^4+K$12/(1+$A$40)^5+K$8*15/(1+$A$40)^5+$C$29)/$C$32</f>
        <v/>
      </c>
      <c r="G40" s="22">
        <f>(G$12/(1+$A$40)^1+H$12/(1+$A$40)^2+I$12/(1+$A$40)^3+J$12/(1+$A$40)^4+K$12/(1+$A$40)^5+K$8*17/(1+$A$40)^5+$C$29)/$C$32</f>
        <v/>
      </c>
    </row>
    <row r="41">
      <c r="A41" s="21" t="n">
        <v>0.07000000000000001</v>
      </c>
      <c r="C41" s="22">
        <f>(G$12/(1+$A$41)^1+H$12/(1+$A$41)^2+I$12/(1+$A$41)^3+J$12/(1+$A$41)^4+K$12/(1+$A$41)^5+K$8*9/(1+$A$41)^5+$C$29)/$C$32</f>
        <v/>
      </c>
      <c r="D41" s="22">
        <f>(G$12/(1+$A$41)^1+H$12/(1+$A$41)^2+I$12/(1+$A$41)^3+J$12/(1+$A$41)^4+K$12/(1+$A$41)^5+K$8*11/(1+$A$41)^5+$C$29)/$C$32</f>
        <v/>
      </c>
      <c r="E41" s="22">
        <f>(G$12/(1+$A$41)^1+H$12/(1+$A$41)^2+I$12/(1+$A$41)^3+J$12/(1+$A$41)^4+K$12/(1+$A$41)^5+K$8*13/(1+$A$41)^5+$C$29)/$C$32</f>
        <v/>
      </c>
      <c r="F41" s="22">
        <f>(G$12/(1+$A$41)^1+H$12/(1+$A$41)^2+I$12/(1+$A$41)^3+J$12/(1+$A$41)^4+K$12/(1+$A$41)^5+K$8*15/(1+$A$41)^5+$C$29)/$C$32</f>
        <v/>
      </c>
      <c r="G41" s="22">
        <f>(G$12/(1+$A$41)^1+H$12/(1+$A$41)^2+I$12/(1+$A$41)^3+J$12/(1+$A$41)^4+K$12/(1+$A$41)^5+K$8*17/(1+$A$41)^5+$C$29)/$C$32</f>
        <v/>
      </c>
    </row>
    <row r="42">
      <c r="A42" s="21" t="n">
        <v>0.08</v>
      </c>
      <c r="C42" s="22">
        <f>(G$12/(1+$A$42)^1+H$12/(1+$A$42)^2+I$12/(1+$A$42)^3+J$12/(1+$A$42)^4+K$12/(1+$A$42)^5+K$8*9/(1+$A$42)^5+$C$29)/$C$32</f>
        <v/>
      </c>
      <c r="D42" s="22">
        <f>(G$12/(1+$A$42)^1+H$12/(1+$A$42)^2+I$12/(1+$A$42)^3+J$12/(1+$A$42)^4+K$12/(1+$A$42)^5+K$8*11/(1+$A$42)^5+$C$29)/$C$32</f>
        <v/>
      </c>
      <c r="E42" s="23">
        <f>(G$12/(1+$A$42)^1+H$12/(1+$A$42)^2+I$12/(1+$A$42)^3+J$12/(1+$A$42)^4+K$12/(1+$A$42)^5+K$8*13/(1+$A$42)^5+$C$29)/$C$32</f>
        <v/>
      </c>
      <c r="F42" s="22">
        <f>(G$12/(1+$A$42)^1+H$12/(1+$A$42)^2+I$12/(1+$A$42)^3+J$12/(1+$A$42)^4+K$12/(1+$A$42)^5+K$8*15/(1+$A$42)^5+$C$29)/$C$32</f>
        <v/>
      </c>
      <c r="G42" s="22">
        <f>(G$12/(1+$A$42)^1+H$12/(1+$A$42)^2+I$12/(1+$A$42)^3+J$12/(1+$A$42)^4+K$12/(1+$A$42)^5+K$8*17/(1+$A$42)^5+$C$29)/$C$32</f>
        <v/>
      </c>
    </row>
    <row r="43">
      <c r="A43" s="21" t="n">
        <v>0.09</v>
      </c>
      <c r="C43" s="22">
        <f>(G$12/(1+$A$43)^1+H$12/(1+$A$43)^2+I$12/(1+$A$43)^3+J$12/(1+$A$43)^4+K$12/(1+$A$43)^5+K$8*9/(1+$A$43)^5+$C$29)/$C$32</f>
        <v/>
      </c>
      <c r="D43" s="22">
        <f>(G$12/(1+$A$43)^1+H$12/(1+$A$43)^2+I$12/(1+$A$43)^3+J$12/(1+$A$43)^4+K$12/(1+$A$43)^5+K$8*11/(1+$A$43)^5+$C$29)/$C$32</f>
        <v/>
      </c>
      <c r="E43" s="22">
        <f>(G$12/(1+$A$43)^1+H$12/(1+$A$43)^2+I$12/(1+$A$43)^3+J$12/(1+$A$43)^4+K$12/(1+$A$43)^5+K$8*13/(1+$A$43)^5+$C$29)/$C$32</f>
        <v/>
      </c>
      <c r="F43" s="22">
        <f>(G$12/(1+$A$43)^1+H$12/(1+$A$43)^2+I$12/(1+$A$43)^3+J$12/(1+$A$43)^4+K$12/(1+$A$43)^5+K$8*15/(1+$A$43)^5+$C$29)/$C$32</f>
        <v/>
      </c>
      <c r="G43" s="22">
        <f>(G$12/(1+$A$43)^1+H$12/(1+$A$43)^2+I$12/(1+$A$43)^3+J$12/(1+$A$43)^4+K$12/(1+$A$43)^5+K$8*17/(1+$A$43)^5+$C$29)/$C$32</f>
        <v/>
      </c>
    </row>
    <row r="44">
      <c r="A44" s="21" t="n">
        <v>0.1</v>
      </c>
      <c r="C44" s="22">
        <f>(G$12/(1+$A$44)^1+H$12/(1+$A$44)^2+I$12/(1+$A$44)^3+J$12/(1+$A$44)^4+K$12/(1+$A$44)^5+K$8*9/(1+$A$44)^5+$C$29)/$C$32</f>
        <v/>
      </c>
      <c r="D44" s="22">
        <f>(G$12/(1+$A$44)^1+H$12/(1+$A$44)^2+I$12/(1+$A$44)^3+J$12/(1+$A$44)^4+K$12/(1+$A$44)^5+K$8*11/(1+$A$44)^5+$C$29)/$C$32</f>
        <v/>
      </c>
      <c r="E44" s="22">
        <f>(G$12/(1+$A$44)^1+H$12/(1+$A$44)^2+I$12/(1+$A$44)^3+J$12/(1+$A$44)^4+K$12/(1+$A$44)^5+K$8*13/(1+$A$44)^5+$C$29)/$C$32</f>
        <v/>
      </c>
      <c r="F44" s="22">
        <f>(G$12/(1+$A$44)^1+H$12/(1+$A$44)^2+I$12/(1+$A$44)^3+J$12/(1+$A$44)^4+K$12/(1+$A$44)^5+K$8*15/(1+$A$44)^5+$C$29)/$C$32</f>
        <v/>
      </c>
      <c r="G44" s="22">
        <f>(G$12/(1+$A$44)^1+H$12/(1+$A$44)^2+I$12/(1+$A$44)^3+J$12/(1+$A$44)^4+K$12/(1+$A$44)^5+K$8*17/(1+$A$44)^5+$C$29)/$C$32</f>
        <v/>
      </c>
    </row>
    <row r="45">
      <c r="A45" s="21" t="n">
        <v>0.11</v>
      </c>
      <c r="C45" s="22">
        <f>(G$12/(1+$A$45)^1+H$12/(1+$A$45)^2+I$12/(1+$A$45)^3+J$12/(1+$A$45)^4+K$12/(1+$A$45)^5+K$8*9/(1+$A$45)^5+$C$29)/$C$32</f>
        <v/>
      </c>
      <c r="D45" s="22">
        <f>(G$12/(1+$A$45)^1+H$12/(1+$A$45)^2+I$12/(1+$A$45)^3+J$12/(1+$A$45)^4+K$12/(1+$A$45)^5+K$8*11/(1+$A$45)^5+$C$29)/$C$32</f>
        <v/>
      </c>
      <c r="E45" s="22">
        <f>(G$12/(1+$A$45)^1+H$12/(1+$A$45)^2+I$12/(1+$A$45)^3+J$12/(1+$A$45)^4+K$12/(1+$A$45)^5+K$8*13/(1+$A$45)^5+$C$29)/$C$32</f>
        <v/>
      </c>
      <c r="F45" s="22">
        <f>(G$12/(1+$A$45)^1+H$12/(1+$A$45)^2+I$12/(1+$A$45)^3+J$12/(1+$A$45)^4+K$12/(1+$A$45)^5+K$8*15/(1+$A$45)^5+$C$29)/$C$32</f>
        <v/>
      </c>
      <c r="G45" s="22">
        <f>(G$12/(1+$A$45)^1+H$12/(1+$A$45)^2+I$12/(1+$A$45)^3+J$12/(1+$A$45)^4+K$12/(1+$A$45)^5+K$8*17/(1+$A$45)^5+$C$29)/$C$32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2026-05-22T09:16:48Z</dcterms:created>
  <dcterms:modified xmlns:dcterms="http://purl.org/dc/terms/" xmlns:xsi="http://www.w3.org/2001/XMLSchema-instance" xsi:type="dcterms:W3CDTF">2026-05-22T09:16:48Z</dcterms:modified>
</cp:coreProperties>
</file>