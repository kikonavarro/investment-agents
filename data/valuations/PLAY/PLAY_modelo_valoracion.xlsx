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Dave &amp; Buster's Entertainment, Inc. (PLAY)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Entertainment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1304</v>
      </c>
      <c r="D7" s="5" t="n">
        <v>1964.4</v>
      </c>
      <c r="E7" s="5" t="n">
        <v>2205.3</v>
      </c>
      <c r="F7" s="5" t="n">
        <v>2132.7</v>
      </c>
    </row>
    <row r="8">
      <c r="A8" s="4" t="inlineStr">
        <is>
          <t xml:space="preserve">  Revenue Growth - Base</t>
        </is>
      </c>
      <c r="G8" s="6" t="n">
        <v>0.009000000000000001</v>
      </c>
      <c r="H8" s="6" t="n">
        <v>0.029</v>
      </c>
      <c r="I8" s="6" t="n">
        <v>0.049</v>
      </c>
      <c r="J8" s="6" t="n">
        <v>0.05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0.004</v>
      </c>
      <c r="H9" s="6" t="n">
        <v>0.0036</v>
      </c>
      <c r="I9" s="6" t="n">
        <v>0.0032</v>
      </c>
      <c r="J9" s="6" t="n">
        <v>0.0028</v>
      </c>
      <c r="K9" s="6" t="n">
        <v>0.0024</v>
      </c>
    </row>
    <row r="10">
      <c r="A10" s="4" t="inlineStr">
        <is>
          <t xml:space="preserve">  Revenue Growth - Bear</t>
        </is>
      </c>
      <c r="G10" s="6" t="n">
        <v>-0.005999999999999998</v>
      </c>
      <c r="H10" s="6" t="n">
        <v>0.014</v>
      </c>
      <c r="I10" s="6" t="n">
        <v>0.034</v>
      </c>
      <c r="J10" s="6" t="n">
        <v>0.05</v>
      </c>
      <c r="K10" s="6" t="n">
        <v>0.05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0.8427129497765707</v>
      </c>
      <c r="H15" s="6" t="n">
        <v>0.8427129497765707</v>
      </c>
      <c r="I15" s="6" t="n">
        <v>0.8427129497765707</v>
      </c>
      <c r="J15" s="6" t="n">
        <v>0.8427129497765707</v>
      </c>
      <c r="K15" s="6" t="n">
        <v>0.8427129497765707</v>
      </c>
    </row>
    <row r="16">
      <c r="A16" s="4" t="inlineStr">
        <is>
          <t>Gross Margin - Bull</t>
        </is>
      </c>
      <c r="G16" s="6" t="n">
        <v>0.8527129497765707</v>
      </c>
      <c r="H16" s="6" t="n">
        <v>0.8527129497765707</v>
      </c>
      <c r="I16" s="6" t="n">
        <v>0.8527129497765707</v>
      </c>
      <c r="J16" s="6" t="n">
        <v>0.8527129497765707</v>
      </c>
      <c r="K16" s="6" t="n">
        <v>0.8527129497765707</v>
      </c>
    </row>
    <row r="17">
      <c r="A17" s="4" t="inlineStr">
        <is>
          <t>Gross Margin - Bear</t>
        </is>
      </c>
      <c r="G17" s="6" t="n">
        <v>0.8327129497765707</v>
      </c>
      <c r="H17" s="6" t="n">
        <v>0.8327129497765707</v>
      </c>
      <c r="I17" s="6" t="n">
        <v>0.8327129497765707</v>
      </c>
      <c r="J17" s="6" t="n">
        <v>0.8327129497765707</v>
      </c>
      <c r="K17" s="6" t="n">
        <v>0.8327129497765707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0.6395901476947027</v>
      </c>
      <c r="H20" s="6" t="n">
        <v>0.6395901476947027</v>
      </c>
      <c r="I20" s="6" t="n">
        <v>0.6395901476947027</v>
      </c>
      <c r="J20" s="6" t="n">
        <v>0.6395901476947027</v>
      </c>
      <c r="K20" s="6" t="n">
        <v>0.6395901476947027</v>
      </c>
    </row>
    <row r="21">
      <c r="A21" s="4" t="inlineStr">
        <is>
          <t>SG&amp;A % Revenue - Bull</t>
        </is>
      </c>
      <c r="G21" s="6" t="n">
        <v>0.6345901476947027</v>
      </c>
      <c r="H21" s="6" t="n">
        <v>0.6345901476947027</v>
      </c>
      <c r="I21" s="6" t="n">
        <v>0.6345901476947027</v>
      </c>
      <c r="J21" s="6" t="n">
        <v>0.6345901476947027</v>
      </c>
      <c r="K21" s="6" t="n">
        <v>0.6345901476947027</v>
      </c>
    </row>
    <row r="22">
      <c r="A22" s="4" t="inlineStr">
        <is>
          <t>SG&amp;A % Revenue - Bear</t>
        </is>
      </c>
      <c r="G22" s="6" t="n">
        <v>0.6445901476947027</v>
      </c>
      <c r="H22" s="6" t="n">
        <v>0.6445901476947027</v>
      </c>
      <c r="I22" s="6" t="n">
        <v>0.6445901476947027</v>
      </c>
      <c r="J22" s="6" t="n">
        <v>0.6445901476947027</v>
      </c>
      <c r="K22" s="6" t="n">
        <v>0.6445901476947027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0.09961918160843779</v>
      </c>
      <c r="H30" s="6" t="n">
        <v>0.09961918160843779</v>
      </c>
      <c r="I30" s="6" t="n">
        <v>0.09961918160843779</v>
      </c>
      <c r="J30" s="6" t="n">
        <v>0.09961918160843779</v>
      </c>
      <c r="K30" s="6" t="n">
        <v>0.09961918160843779</v>
      </c>
    </row>
    <row r="31">
      <c r="A31" s="4" t="inlineStr">
        <is>
          <t>CapEx % Revenue</t>
        </is>
      </c>
      <c r="G31" s="6" t="n">
        <v>0.1344761748928229</v>
      </c>
      <c r="H31" s="6" t="n">
        <v>0.1344761748928229</v>
      </c>
      <c r="I31" s="6" t="n">
        <v>0.1344761748928229</v>
      </c>
      <c r="J31" s="6" t="n">
        <v>0.1344761748928229</v>
      </c>
      <c r="K31" s="6" t="n">
        <v>0.1344761748928229</v>
      </c>
    </row>
    <row r="32">
      <c r="A32" s="4" t="inlineStr">
        <is>
          <t>Tax Rate</t>
        </is>
      </c>
      <c r="G32" s="6" t="n">
        <v>0.09722687687472092</v>
      </c>
      <c r="H32" s="6" t="n">
        <v>0.09722687687472092</v>
      </c>
      <c r="I32" s="6" t="n">
        <v>0.09722687687472092</v>
      </c>
      <c r="J32" s="6" t="n">
        <v>0.09722687687472092</v>
      </c>
      <c r="K32" s="6" t="n">
        <v>0.09722687687472092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0.0592</v>
      </c>
    </row>
    <row r="36">
      <c r="A36" s="4" t="inlineStr">
        <is>
          <t>WACC - Bull</t>
        </is>
      </c>
      <c r="C36" s="6" t="n">
        <v>0.0492</v>
      </c>
    </row>
    <row r="37">
      <c r="A37" s="4" t="inlineStr">
        <is>
          <t>WACC - Bear</t>
        </is>
      </c>
      <c r="C37" s="6" t="n">
        <v>0.0692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14</v>
      </c>
    </row>
    <row r="41">
      <c r="A41" s="4" t="inlineStr">
        <is>
          <t>Terminal Value Multiple - Bull</t>
        </is>
      </c>
      <c r="C41" s="9" t="n">
        <v>16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Dave &amp; Buster's Entertainment, Inc. (PLAY)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1304</v>
      </c>
      <c r="D6" s="5" t="n">
        <v>1964.4</v>
      </c>
      <c r="E6" s="5" t="n">
        <v>2205.3</v>
      </c>
      <c r="F6" s="5" t="n">
        <v>2132.7</v>
      </c>
    </row>
    <row r="7">
      <c r="A7" s="4" t="inlineStr">
        <is>
          <t>Cost of Revenue</t>
        </is>
      </c>
      <c r="C7" s="5" t="n">
        <v>204.9</v>
      </c>
      <c r="D7" s="5" t="n">
        <v>323.2</v>
      </c>
      <c r="E7" s="5" t="n">
        <v>353</v>
      </c>
      <c r="F7" s="5" t="n">
        <v>314.4</v>
      </c>
    </row>
    <row r="8">
      <c r="A8" s="2" t="inlineStr">
        <is>
          <t>Gross Profit</t>
        </is>
      </c>
      <c r="C8" s="5" t="n">
        <v>1099.1</v>
      </c>
      <c r="D8" s="5" t="n">
        <v>1641.2</v>
      </c>
      <c r="E8" s="5" t="n">
        <v>1852.3</v>
      </c>
      <c r="F8" s="5" t="n">
        <v>1818.3</v>
      </c>
    </row>
    <row r="9">
      <c r="A9" s="4" t="inlineStr">
        <is>
          <t xml:space="preserve">  Gross Margin</t>
        </is>
      </c>
      <c r="C9" s="11" t="n">
        <v>0.8428680981595092</v>
      </c>
      <c r="D9" s="11" t="n">
        <v>0.835471390755447</v>
      </c>
      <c r="E9" s="11" t="n">
        <v>0.8399310751371696</v>
      </c>
      <c r="F9" s="11" t="n">
        <v>0.8525812350541567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362.8</v>
      </c>
      <c r="D12" s="5" t="n">
        <v>607.4</v>
      </c>
      <c r="E12" s="5" t="n">
        <v>639.7</v>
      </c>
      <c r="F12" s="5" t="n">
        <v>623</v>
      </c>
    </row>
    <row r="13">
      <c r="A13" s="2" t="inlineStr">
        <is>
          <t>Operating Income (EBIT)</t>
        </is>
      </c>
      <c r="C13" s="5" t="n">
        <v>195.3</v>
      </c>
      <c r="D13" s="5" t="n">
        <v>277.1</v>
      </c>
      <c r="E13" s="5" t="n">
        <v>325</v>
      </c>
      <c r="F13" s="5" t="n">
        <v>239.1</v>
      </c>
    </row>
    <row r="14">
      <c r="A14" s="4" t="inlineStr">
        <is>
          <t xml:space="preserve">  EBIT Margin</t>
        </is>
      </c>
      <c r="C14" s="11" t="n">
        <v>0.1497699386503067</v>
      </c>
      <c r="D14" s="11" t="n">
        <v>0.1410608837304011</v>
      </c>
      <c r="E14" s="11" t="n">
        <v>0.147372239604589</v>
      </c>
      <c r="F14" s="11" t="n">
        <v>0.112111408074272</v>
      </c>
    </row>
    <row r="16">
      <c r="A16" s="4" t="inlineStr">
        <is>
          <t>Interest Expense</t>
        </is>
      </c>
      <c r="C16" s="5" t="n">
        <v>49.7</v>
      </c>
      <c r="D16" s="5" t="n">
        <v>79.5</v>
      </c>
      <c r="E16" s="5" t="n">
        <v>120.3</v>
      </c>
      <c r="F16" s="5" t="n">
        <v>125.1</v>
      </c>
    </row>
    <row r="17">
      <c r="A17" s="4" t="inlineStr">
        <is>
          <t>Tax Provision</t>
        </is>
      </c>
      <c r="C17" s="5" t="n">
        <v>19</v>
      </c>
      <c r="D17" s="5" t="n">
        <v>36.5</v>
      </c>
      <c r="E17" s="5" t="n">
        <v>36.2</v>
      </c>
      <c r="F17" s="5" t="n">
        <v>11.6</v>
      </c>
    </row>
    <row r="18">
      <c r="A18" s="2" t="inlineStr">
        <is>
          <t>Net Income</t>
        </is>
      </c>
      <c r="C18" s="5" t="n">
        <v>108.7</v>
      </c>
      <c r="D18" s="5" t="n">
        <v>137.1</v>
      </c>
      <c r="E18" s="5" t="n">
        <v>126.9</v>
      </c>
      <c r="F18" s="5" t="n">
        <v>58.3</v>
      </c>
    </row>
    <row r="19">
      <c r="A19" s="4" t="inlineStr">
        <is>
          <t xml:space="preserve">  Net Margin</t>
        </is>
      </c>
      <c r="C19" s="11" t="n">
        <v>0.08335889570552148</v>
      </c>
      <c r="D19" s="11" t="n">
        <v>0.06979230299328039</v>
      </c>
      <c r="E19" s="11" t="n">
        <v>0.05754319140253027</v>
      </c>
      <c r="F19" s="11" t="n">
        <v>0.02733624044638252</v>
      </c>
    </row>
    <row r="21">
      <c r="A21" s="2" t="inlineStr">
        <is>
          <t>EBITDA</t>
        </is>
      </c>
      <c r="C21" s="5" t="n">
        <v>315.7</v>
      </c>
      <c r="D21" s="5" t="n">
        <v>422.4</v>
      </c>
      <c r="E21" s="5" t="n">
        <v>491.9</v>
      </c>
      <c r="F21" s="5" t="n">
        <v>433.2</v>
      </c>
    </row>
    <row r="22">
      <c r="A22" s="4" t="inlineStr">
        <is>
          <t xml:space="preserve">  EBITDA Margin</t>
        </is>
      </c>
      <c r="C22" s="11" t="n">
        <v>0.242101226993865</v>
      </c>
      <c r="D22" s="11" t="n">
        <v>0.2150274893097129</v>
      </c>
      <c r="E22" s="11" t="n">
        <v>0.2230535528046071</v>
      </c>
      <c r="F22" s="11" t="n">
        <v>0.2031228020818681</v>
      </c>
    </row>
    <row r="23">
      <c r="A23" s="4" t="inlineStr">
        <is>
          <t>Diluted EPS</t>
        </is>
      </c>
      <c r="C23" s="12" t="n">
        <v>2.21</v>
      </c>
      <c r="D23" s="12" t="n">
        <v>2.79</v>
      </c>
      <c r="E23" s="12" t="n">
        <v>2.88</v>
      </c>
      <c r="F23" s="12" t="n">
        <v>1.46</v>
      </c>
    </row>
    <row r="24">
      <c r="A24" s="4" t="inlineStr">
        <is>
          <t>D&amp;A</t>
        </is>
      </c>
      <c r="C24" s="5" t="n">
        <v>138.3</v>
      </c>
      <c r="D24" s="5" t="n">
        <v>169.3</v>
      </c>
      <c r="E24" s="5" t="n">
        <v>208.5</v>
      </c>
      <c r="F24" s="5" t="n">
        <v>238.2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25.91</v>
      </c>
      <c r="D28" s="5" t="n">
        <v>181.6</v>
      </c>
      <c r="E28" s="5" t="n">
        <v>37.3</v>
      </c>
      <c r="F28" s="5" t="n">
        <v>6.9</v>
      </c>
    </row>
    <row r="29">
      <c r="A29" s="4" t="inlineStr">
        <is>
          <t>Current Assets</t>
        </is>
      </c>
      <c r="C29" s="5" t="n">
        <v>145.571</v>
      </c>
      <c r="D29" s="5" t="n">
        <v>293.7</v>
      </c>
      <c r="E29" s="5" t="n">
        <v>137.5</v>
      </c>
      <c r="F29" s="5" t="n">
        <v>94.40000000000001</v>
      </c>
    </row>
    <row r="30">
      <c r="A30" s="4" t="inlineStr">
        <is>
          <t>Net PP&amp;E</t>
        </is>
      </c>
      <c r="C30" s="5" t="n">
        <v>1815.794</v>
      </c>
      <c r="D30" s="5" t="n">
        <v>2513.8</v>
      </c>
      <c r="E30" s="5" t="n">
        <v>2656</v>
      </c>
      <c r="F30" s="5" t="n">
        <v>2953</v>
      </c>
    </row>
    <row r="31">
      <c r="A31" s="4" t="inlineStr">
        <is>
          <t>Goodwill</t>
        </is>
      </c>
      <c r="C31" s="5" t="n">
        <v>272.597</v>
      </c>
      <c r="D31" s="5" t="n">
        <v>744.5</v>
      </c>
      <c r="E31" s="5" t="n">
        <v>742.5</v>
      </c>
      <c r="F31" s="5" t="n">
        <v>742.6</v>
      </c>
    </row>
    <row r="32">
      <c r="A32" s="2" t="inlineStr">
        <is>
          <t>Total Assets</t>
        </is>
      </c>
      <c r="C32" s="5" t="n">
        <v>2345.79</v>
      </c>
      <c r="D32" s="5" t="n">
        <v>3761</v>
      </c>
      <c r="E32" s="5" t="n">
        <v>3754.4</v>
      </c>
      <c r="F32" s="5" t="n">
        <v>4015.8</v>
      </c>
    </row>
    <row r="34">
      <c r="A34" s="4" t="inlineStr">
        <is>
          <t>Current Liabilities</t>
        </is>
      </c>
      <c r="C34" s="5" t="n">
        <v>311.515</v>
      </c>
      <c r="D34" s="5" t="n">
        <v>438</v>
      </c>
      <c r="E34" s="5" t="n">
        <v>435.6</v>
      </c>
      <c r="F34" s="5" t="n">
        <v>433.9</v>
      </c>
    </row>
    <row r="35">
      <c r="A35" s="4" t="inlineStr">
        <is>
          <t>Total Debt</t>
        </is>
      </c>
      <c r="C35" s="5" t="n">
        <v>1754.379</v>
      </c>
      <c r="D35" s="5" t="n">
        <v>2863.1</v>
      </c>
      <c r="E35" s="5" t="n">
        <v>2914.6</v>
      </c>
      <c r="F35" s="5" t="n">
        <v>3139</v>
      </c>
    </row>
    <row r="36">
      <c r="A36" s="2" t="inlineStr">
        <is>
          <t>Total Liabilities</t>
        </is>
      </c>
      <c r="C36" s="5" t="n">
        <v>2070.33</v>
      </c>
      <c r="D36" s="5" t="n">
        <v>3350.5</v>
      </c>
      <c r="E36" s="5" t="n">
        <v>3503.2</v>
      </c>
      <c r="F36" s="5" t="n">
        <v>3870</v>
      </c>
    </row>
    <row r="38">
      <c r="A38" s="2" t="inlineStr">
        <is>
          <t>Total Equity</t>
        </is>
      </c>
      <c r="C38" s="5" t="n">
        <v>275.46</v>
      </c>
      <c r="D38" s="5" t="n">
        <v>410.5</v>
      </c>
      <c r="E38" s="5" t="n">
        <v>251.2</v>
      </c>
      <c r="F38" s="5" t="n">
        <v>145.8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283.2</v>
      </c>
      <c r="D42" s="5" t="n">
        <v>444.4</v>
      </c>
      <c r="E42" s="5" t="n">
        <v>364.2</v>
      </c>
      <c r="F42" s="5" t="n">
        <v>312.3</v>
      </c>
    </row>
    <row r="43">
      <c r="A43" s="4" t="inlineStr">
        <is>
          <t>Capital Expenditure</t>
        </is>
      </c>
      <c r="C43" s="5" t="n">
        <v>-92.2</v>
      </c>
      <c r="D43" s="5" t="n">
        <v>-234.2</v>
      </c>
      <c r="E43" s="5" t="n">
        <v>-330.2</v>
      </c>
      <c r="F43" s="5" t="n">
        <v>-530.2</v>
      </c>
    </row>
    <row r="44">
      <c r="A44" s="2" t="inlineStr">
        <is>
          <t>Free Cash Flow</t>
        </is>
      </c>
      <c r="C44" s="5" t="n">
        <v>191</v>
      </c>
      <c r="D44" s="5" t="n">
        <v>210.2</v>
      </c>
      <c r="E44" s="5" t="n">
        <v>34</v>
      </c>
      <c r="F44" s="5" t="n">
        <v>-217.9</v>
      </c>
    </row>
    <row r="46">
      <c r="A46" s="4" t="inlineStr">
        <is>
          <t>D&amp;A</t>
        </is>
      </c>
      <c r="C46" s="5" t="n">
        <v>138.3</v>
      </c>
      <c r="D46" s="5" t="n">
        <v>169.3</v>
      </c>
      <c r="E46" s="5" t="n">
        <v>208.5</v>
      </c>
      <c r="F46" s="5" t="n">
        <v>238.2</v>
      </c>
    </row>
    <row r="47">
      <c r="A47" s="4" t="inlineStr">
        <is>
          <t>Stock-Based Compensation</t>
        </is>
      </c>
      <c r="C47" s="5" t="n">
        <v>12.5</v>
      </c>
      <c r="D47" s="5" t="n">
        <v>20</v>
      </c>
      <c r="E47" s="5" t="n">
        <v>16</v>
      </c>
      <c r="F47" s="5" t="n">
        <v>4.6</v>
      </c>
    </row>
    <row r="48">
      <c r="A48" s="4" t="inlineStr">
        <is>
          <t>Change in Working Capital</t>
        </is>
      </c>
      <c r="C48" s="5" t="n">
        <v>11.8</v>
      </c>
      <c r="D48" s="5" t="n">
        <v>73.2</v>
      </c>
      <c r="E48" s="5" t="n">
        <v>-40.5</v>
      </c>
      <c r="F48" s="5" t="n">
        <v>-28.7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Dave &amp; Buster's Entertainment, Inc. (PLAY)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Entertainment</t>
        </is>
      </c>
      <c r="C8" s="5" t="n">
        <v>1304</v>
      </c>
      <c r="D8" s="5" t="n">
        <v>1964.4</v>
      </c>
      <c r="E8" s="5" t="n">
        <v>2205.3</v>
      </c>
      <c r="F8" s="5" t="n">
        <v>2132.7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204.9</v>
      </c>
      <c r="D16" s="5" t="n">
        <v>323.2</v>
      </c>
      <c r="E16" s="5" t="n">
        <v>353</v>
      </c>
      <c r="F16" s="5" t="n">
        <v>314.4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362.8</v>
      </c>
      <c r="D20" s="5" t="n">
        <v>607.4</v>
      </c>
      <c r="E20" s="5" t="n">
        <v>639.7</v>
      </c>
      <c r="F20" s="5" t="n">
        <v>623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138.3</v>
      </c>
      <c r="D22" s="5" t="n">
        <v>169.3</v>
      </c>
      <c r="E22" s="5" t="n">
        <v>208.5</v>
      </c>
      <c r="F22" s="5" t="n">
        <v>238.2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49.7</v>
      </c>
      <c r="D29" s="5" t="n">
        <v>79.5</v>
      </c>
      <c r="E29" s="5" t="n">
        <v>120.3</v>
      </c>
      <c r="F29" s="5" t="n">
        <v>125.1</v>
      </c>
      <c r="G29" s="5" t="n">
        <v>125.1</v>
      </c>
      <c r="H29" s="5" t="n">
        <v>125.1</v>
      </c>
      <c r="I29" s="5" t="n">
        <v>125.1</v>
      </c>
      <c r="J29" s="5" t="n">
        <v>125.1</v>
      </c>
      <c r="K29" s="5" t="n">
        <v>125.1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19</v>
      </c>
      <c r="D31" s="5" t="n">
        <v>36.5</v>
      </c>
      <c r="E31" s="5" t="n">
        <v>36.2</v>
      </c>
      <c r="F31" s="5" t="n">
        <v>11.6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11.8</v>
      </c>
      <c r="D39" s="5" t="n">
        <v>73.2</v>
      </c>
      <c r="E39" s="5" t="n">
        <v>-40.5</v>
      </c>
      <c r="F39" s="5" t="n">
        <v>-28.7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-92.2</v>
      </c>
      <c r="D42" s="5" t="n">
        <v>-234.2</v>
      </c>
      <c r="E42" s="5" t="n">
        <v>-330.2</v>
      </c>
      <c r="F42" s="5" t="n">
        <v>-530.2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Dave &amp; Buster's Entertainment, Inc. (PLAY)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9.81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-3132.1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34.680265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C33/9.81-1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10x</t>
        </is>
      </c>
      <c r="D38" s="1" t="inlineStr">
        <is>
          <t>12x</t>
        </is>
      </c>
      <c r="E38" s="1" t="inlineStr">
        <is>
          <t>14x</t>
        </is>
      </c>
      <c r="F38" s="1" t="inlineStr">
        <is>
          <t>16x</t>
        </is>
      </c>
      <c r="G38" s="1" t="inlineStr">
        <is>
          <t>18x</t>
        </is>
      </c>
    </row>
    <row r="39">
      <c r="A39" s="21" t="n">
        <v>0.0292</v>
      </c>
      <c r="C39" s="22">
        <f>(G$12/(1+$A$39)^1+H$12/(1+$A$39)^2+I$12/(1+$A$39)^3+J$12/(1+$A$39)^4+K$12/(1+$A$39)^5+K$8*10/(1+$A$39)^5+$C$29)/$C$32</f>
        <v/>
      </c>
      <c r="D39" s="22">
        <f>(G$12/(1+$A$39)^1+H$12/(1+$A$39)^2+I$12/(1+$A$39)^3+J$12/(1+$A$39)^4+K$12/(1+$A$39)^5+K$8*12/(1+$A$39)^5+$C$29)/$C$32</f>
        <v/>
      </c>
      <c r="E39" s="22">
        <f>(G$12/(1+$A$39)^1+H$12/(1+$A$39)^2+I$12/(1+$A$39)^3+J$12/(1+$A$39)^4+K$12/(1+$A$39)^5+K$8*14/(1+$A$39)^5+$C$29)/$C$32</f>
        <v/>
      </c>
      <c r="F39" s="22">
        <f>(G$12/(1+$A$39)^1+H$12/(1+$A$39)^2+I$12/(1+$A$39)^3+J$12/(1+$A$39)^4+K$12/(1+$A$39)^5+K$8*16/(1+$A$39)^5+$C$29)/$C$32</f>
        <v/>
      </c>
      <c r="G39" s="22">
        <f>(G$12/(1+$A$39)^1+H$12/(1+$A$39)^2+I$12/(1+$A$39)^3+J$12/(1+$A$39)^4+K$12/(1+$A$39)^5+K$8*18/(1+$A$39)^5+$C$29)/$C$32</f>
        <v/>
      </c>
    </row>
    <row r="40">
      <c r="A40" s="21" t="n">
        <v>0.0392</v>
      </c>
      <c r="C40" s="22">
        <f>(G$12/(1+$A$40)^1+H$12/(1+$A$40)^2+I$12/(1+$A$40)^3+J$12/(1+$A$40)^4+K$12/(1+$A$40)^5+K$8*10/(1+$A$40)^5+$C$29)/$C$32</f>
        <v/>
      </c>
      <c r="D40" s="22">
        <f>(G$12/(1+$A$40)^1+H$12/(1+$A$40)^2+I$12/(1+$A$40)^3+J$12/(1+$A$40)^4+K$12/(1+$A$40)^5+K$8*12/(1+$A$40)^5+$C$29)/$C$32</f>
        <v/>
      </c>
      <c r="E40" s="22">
        <f>(G$12/(1+$A$40)^1+H$12/(1+$A$40)^2+I$12/(1+$A$40)^3+J$12/(1+$A$40)^4+K$12/(1+$A$40)^5+K$8*14/(1+$A$40)^5+$C$29)/$C$32</f>
        <v/>
      </c>
      <c r="F40" s="22">
        <f>(G$12/(1+$A$40)^1+H$12/(1+$A$40)^2+I$12/(1+$A$40)^3+J$12/(1+$A$40)^4+K$12/(1+$A$40)^5+K$8*16/(1+$A$40)^5+$C$29)/$C$32</f>
        <v/>
      </c>
      <c r="G40" s="22">
        <f>(G$12/(1+$A$40)^1+H$12/(1+$A$40)^2+I$12/(1+$A$40)^3+J$12/(1+$A$40)^4+K$12/(1+$A$40)^5+K$8*18/(1+$A$40)^5+$C$29)/$C$32</f>
        <v/>
      </c>
    </row>
    <row r="41">
      <c r="A41" s="21" t="n">
        <v>0.0492</v>
      </c>
      <c r="C41" s="22">
        <f>(G$12/(1+$A$41)^1+H$12/(1+$A$41)^2+I$12/(1+$A$41)^3+J$12/(1+$A$41)^4+K$12/(1+$A$41)^5+K$8*10/(1+$A$41)^5+$C$29)/$C$32</f>
        <v/>
      </c>
      <c r="D41" s="22">
        <f>(G$12/(1+$A$41)^1+H$12/(1+$A$41)^2+I$12/(1+$A$41)^3+J$12/(1+$A$41)^4+K$12/(1+$A$41)^5+K$8*12/(1+$A$41)^5+$C$29)/$C$32</f>
        <v/>
      </c>
      <c r="E41" s="22">
        <f>(G$12/(1+$A$41)^1+H$12/(1+$A$41)^2+I$12/(1+$A$41)^3+J$12/(1+$A$41)^4+K$12/(1+$A$41)^5+K$8*14/(1+$A$41)^5+$C$29)/$C$32</f>
        <v/>
      </c>
      <c r="F41" s="22">
        <f>(G$12/(1+$A$41)^1+H$12/(1+$A$41)^2+I$12/(1+$A$41)^3+J$12/(1+$A$41)^4+K$12/(1+$A$41)^5+K$8*16/(1+$A$41)^5+$C$29)/$C$32</f>
        <v/>
      </c>
      <c r="G41" s="22">
        <f>(G$12/(1+$A$41)^1+H$12/(1+$A$41)^2+I$12/(1+$A$41)^3+J$12/(1+$A$41)^4+K$12/(1+$A$41)^5+K$8*18/(1+$A$41)^5+$C$29)/$C$32</f>
        <v/>
      </c>
    </row>
    <row r="42">
      <c r="A42" s="21" t="n">
        <v>0.0592</v>
      </c>
      <c r="C42" s="22">
        <f>(G$12/(1+$A$42)^1+H$12/(1+$A$42)^2+I$12/(1+$A$42)^3+J$12/(1+$A$42)^4+K$12/(1+$A$42)^5+K$8*10/(1+$A$42)^5+$C$29)/$C$32</f>
        <v/>
      </c>
      <c r="D42" s="22">
        <f>(G$12/(1+$A$42)^1+H$12/(1+$A$42)^2+I$12/(1+$A$42)^3+J$12/(1+$A$42)^4+K$12/(1+$A$42)^5+K$8*12/(1+$A$42)^5+$C$29)/$C$32</f>
        <v/>
      </c>
      <c r="E42" s="23">
        <f>(G$12/(1+$A$42)^1+H$12/(1+$A$42)^2+I$12/(1+$A$42)^3+J$12/(1+$A$42)^4+K$12/(1+$A$42)^5+K$8*14/(1+$A$42)^5+$C$29)/$C$32</f>
        <v/>
      </c>
      <c r="F42" s="22">
        <f>(G$12/(1+$A$42)^1+H$12/(1+$A$42)^2+I$12/(1+$A$42)^3+J$12/(1+$A$42)^4+K$12/(1+$A$42)^5+K$8*16/(1+$A$42)^5+$C$29)/$C$32</f>
        <v/>
      </c>
      <c r="G42" s="22">
        <f>(G$12/(1+$A$42)^1+H$12/(1+$A$42)^2+I$12/(1+$A$42)^3+J$12/(1+$A$42)^4+K$12/(1+$A$42)^5+K$8*18/(1+$A$42)^5+$C$29)/$C$32</f>
        <v/>
      </c>
    </row>
    <row r="43">
      <c r="A43" s="21" t="n">
        <v>0.0692</v>
      </c>
      <c r="C43" s="22">
        <f>(G$12/(1+$A$43)^1+H$12/(1+$A$43)^2+I$12/(1+$A$43)^3+J$12/(1+$A$43)^4+K$12/(1+$A$43)^5+K$8*10/(1+$A$43)^5+$C$29)/$C$32</f>
        <v/>
      </c>
      <c r="D43" s="22">
        <f>(G$12/(1+$A$43)^1+H$12/(1+$A$43)^2+I$12/(1+$A$43)^3+J$12/(1+$A$43)^4+K$12/(1+$A$43)^5+K$8*12/(1+$A$43)^5+$C$29)/$C$32</f>
        <v/>
      </c>
      <c r="E43" s="22">
        <f>(G$12/(1+$A$43)^1+H$12/(1+$A$43)^2+I$12/(1+$A$43)^3+J$12/(1+$A$43)^4+K$12/(1+$A$43)^5+K$8*14/(1+$A$43)^5+$C$29)/$C$32</f>
        <v/>
      </c>
      <c r="F43" s="22">
        <f>(G$12/(1+$A$43)^1+H$12/(1+$A$43)^2+I$12/(1+$A$43)^3+J$12/(1+$A$43)^4+K$12/(1+$A$43)^5+K$8*16/(1+$A$43)^5+$C$29)/$C$32</f>
        <v/>
      </c>
      <c r="G43" s="22">
        <f>(G$12/(1+$A$43)^1+H$12/(1+$A$43)^2+I$12/(1+$A$43)^3+J$12/(1+$A$43)^4+K$12/(1+$A$43)^5+K$8*18/(1+$A$43)^5+$C$29)/$C$32</f>
        <v/>
      </c>
    </row>
    <row r="44">
      <c r="A44" s="21" t="n">
        <v>0.07920000000000001</v>
      </c>
      <c r="C44" s="22">
        <f>(G$12/(1+$A$44)^1+H$12/(1+$A$44)^2+I$12/(1+$A$44)^3+J$12/(1+$A$44)^4+K$12/(1+$A$44)^5+K$8*10/(1+$A$44)^5+$C$29)/$C$32</f>
        <v/>
      </c>
      <c r="D44" s="22">
        <f>(G$12/(1+$A$44)^1+H$12/(1+$A$44)^2+I$12/(1+$A$44)^3+J$12/(1+$A$44)^4+K$12/(1+$A$44)^5+K$8*12/(1+$A$44)^5+$C$29)/$C$32</f>
        <v/>
      </c>
      <c r="E44" s="22">
        <f>(G$12/(1+$A$44)^1+H$12/(1+$A$44)^2+I$12/(1+$A$44)^3+J$12/(1+$A$44)^4+K$12/(1+$A$44)^5+K$8*14/(1+$A$44)^5+$C$29)/$C$32</f>
        <v/>
      </c>
      <c r="F44" s="22">
        <f>(G$12/(1+$A$44)^1+H$12/(1+$A$44)^2+I$12/(1+$A$44)^3+J$12/(1+$A$44)^4+K$12/(1+$A$44)^5+K$8*16/(1+$A$44)^5+$C$29)/$C$32</f>
        <v/>
      </c>
      <c r="G44" s="22">
        <f>(G$12/(1+$A$44)^1+H$12/(1+$A$44)^2+I$12/(1+$A$44)^3+J$12/(1+$A$44)^4+K$12/(1+$A$44)^5+K$8*18/(1+$A$44)^5+$C$29)/$C$32</f>
        <v/>
      </c>
    </row>
    <row r="45">
      <c r="A45" s="21" t="n">
        <v>0.0892</v>
      </c>
      <c r="C45" s="22">
        <f>(G$12/(1+$A$45)^1+H$12/(1+$A$45)^2+I$12/(1+$A$45)^3+J$12/(1+$A$45)^4+K$12/(1+$A$45)^5+K$8*10/(1+$A$45)^5+$C$29)/$C$32</f>
        <v/>
      </c>
      <c r="D45" s="22">
        <f>(G$12/(1+$A$45)^1+H$12/(1+$A$45)^2+I$12/(1+$A$45)^3+J$12/(1+$A$45)^4+K$12/(1+$A$45)^5+K$8*12/(1+$A$45)^5+$C$29)/$C$32</f>
        <v/>
      </c>
      <c r="E45" s="22">
        <f>(G$12/(1+$A$45)^1+H$12/(1+$A$45)^2+I$12/(1+$A$45)^3+J$12/(1+$A$45)^4+K$12/(1+$A$45)^5+K$8*14/(1+$A$45)^5+$C$29)/$C$32</f>
        <v/>
      </c>
      <c r="F45" s="22">
        <f>(G$12/(1+$A$45)^1+H$12/(1+$A$45)^2+I$12/(1+$A$45)^3+J$12/(1+$A$45)^4+K$12/(1+$A$45)^5+K$8*16/(1+$A$45)^5+$C$29)/$C$32</f>
        <v/>
      </c>
      <c r="G45" s="22">
        <f>(G$12/(1+$A$45)^1+H$12/(1+$A$45)^2+I$12/(1+$A$45)^3+J$12/(1+$A$45)^4+K$12/(1+$A$45)^5+K$8*18/(1+$A$45)^5+$C$29)/$C$32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2026-03-28T17:35:33Z</dcterms:created>
  <dcterms:modified xmlns:dcterms="http://purl.org/dc/terms/" xmlns:xsi="http://www.w3.org/2001/XMLSchema-instance" xsi:type="dcterms:W3CDTF">2026-03-28T17:35:33Z</dcterms:modified>
</cp:coreProperties>
</file>