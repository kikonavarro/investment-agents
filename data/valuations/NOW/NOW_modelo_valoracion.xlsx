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ServiceNow, Inc. (NOW)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Software - Application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7245</v>
      </c>
      <c r="D7" s="5" t="n">
        <v>8971</v>
      </c>
      <c r="E7" s="5" t="n">
        <v>10984</v>
      </c>
      <c r="F7" s="5" t="n">
        <v>13278</v>
      </c>
    </row>
    <row r="8">
      <c r="A8" s="4" t="inlineStr">
        <is>
          <t xml:space="preserve">  Revenue Growth - Base</t>
        </is>
      </c>
      <c r="G8" s="6" t="n">
        <v>0.2</v>
      </c>
      <c r="H8" s="6" t="n">
        <v>0.18</v>
      </c>
      <c r="I8" s="6" t="n">
        <v>0.16</v>
      </c>
      <c r="J8" s="6" t="n">
        <v>0.14</v>
      </c>
      <c r="K8" s="6" t="n">
        <v>0.12</v>
      </c>
    </row>
    <row r="9">
      <c r="A9" s="4" t="inlineStr">
        <is>
          <t xml:space="preserve">  Revenue Growth - Bull</t>
        </is>
      </c>
      <c r="G9" s="6" t="n">
        <v>0.22</v>
      </c>
      <c r="H9" s="6" t="n">
        <v>0.22</v>
      </c>
      <c r="I9" s="6" t="n">
        <v>0.2</v>
      </c>
      <c r="J9" s="6" t="n">
        <v>0.17</v>
      </c>
      <c r="K9" s="6" t="n">
        <v>0.14</v>
      </c>
    </row>
    <row r="10">
      <c r="A10" s="4" t="inlineStr">
        <is>
          <t xml:space="preserve">  Revenue Growth - Bear</t>
        </is>
      </c>
      <c r="G10" s="6" t="n">
        <v>0.14</v>
      </c>
      <c r="H10" s="6" t="n">
        <v>0.12</v>
      </c>
      <c r="I10" s="6" t="n">
        <v>0.11</v>
      </c>
      <c r="J10" s="6" t="n">
        <v>0.1</v>
      </c>
      <c r="K10" s="6" t="n">
        <v>0.09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0.78</v>
      </c>
      <c r="H15" s="6" t="n">
        <v>0.78</v>
      </c>
      <c r="I15" s="6" t="n">
        <v>0.78</v>
      </c>
      <c r="J15" s="6" t="n">
        <v>0.78</v>
      </c>
      <c r="K15" s="6" t="n">
        <v>0.78</v>
      </c>
    </row>
    <row r="16">
      <c r="A16" s="4" t="inlineStr">
        <is>
          <t>Gross Margin - Bull</t>
        </is>
      </c>
      <c r="G16" s="6" t="n">
        <v>0.79</v>
      </c>
      <c r="H16" s="6" t="n">
        <v>0.79</v>
      </c>
      <c r="I16" s="6" t="n">
        <v>0.79</v>
      </c>
      <c r="J16" s="6" t="n">
        <v>0.79</v>
      </c>
      <c r="K16" s="6" t="n">
        <v>0.79</v>
      </c>
    </row>
    <row r="17">
      <c r="A17" s="4" t="inlineStr">
        <is>
          <t>Gross Margin - Bear</t>
        </is>
      </c>
      <c r="G17" s="6" t="n">
        <v>0.75</v>
      </c>
      <c r="H17" s="6" t="n">
        <v>0.75</v>
      </c>
      <c r="I17" s="6" t="n">
        <v>0.75</v>
      </c>
      <c r="J17" s="6" t="n">
        <v>0.75</v>
      </c>
      <c r="K17" s="6" t="n">
        <v>0.75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0.44</v>
      </c>
      <c r="H20" s="6" t="n">
        <v>0.44</v>
      </c>
      <c r="I20" s="6" t="n">
        <v>0.44</v>
      </c>
      <c r="J20" s="6" t="n">
        <v>0.44</v>
      </c>
      <c r="K20" s="6" t="n">
        <v>0.44</v>
      </c>
    </row>
    <row r="21">
      <c r="A21" s="4" t="inlineStr">
        <is>
          <t>SG&amp;A % Revenue - Bull</t>
        </is>
      </c>
      <c r="G21" s="6" t="n">
        <v>0.42</v>
      </c>
      <c r="H21" s="6" t="n">
        <v>0.42</v>
      </c>
      <c r="I21" s="6" t="n">
        <v>0.42</v>
      </c>
      <c r="J21" s="6" t="n">
        <v>0.42</v>
      </c>
      <c r="K21" s="6" t="n">
        <v>0.42</v>
      </c>
    </row>
    <row r="22">
      <c r="A22" s="4" t="inlineStr">
        <is>
          <t>SG&amp;A % Revenue - Bear</t>
        </is>
      </c>
      <c r="G22" s="6" t="n">
        <v>0.47</v>
      </c>
      <c r="H22" s="6" t="n">
        <v>0.47</v>
      </c>
      <c r="I22" s="6" t="n">
        <v>0.47</v>
      </c>
      <c r="J22" s="6" t="n">
        <v>0.47</v>
      </c>
      <c r="K22" s="6" t="n">
        <v>0.47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0.23</v>
      </c>
      <c r="H25" s="6" t="n">
        <v>0.23</v>
      </c>
      <c r="I25" s="6" t="n">
        <v>0.23</v>
      </c>
      <c r="J25" s="6" t="n">
        <v>0.23</v>
      </c>
      <c r="K25" s="6" t="n">
        <v>0.23</v>
      </c>
    </row>
    <row r="26">
      <c r="A26" s="4" t="inlineStr">
        <is>
          <t>R&amp;D % Revenue - Bull</t>
        </is>
      </c>
      <c r="G26" s="6" t="n">
        <v>0.22</v>
      </c>
      <c r="H26" s="6" t="n">
        <v>0.22</v>
      </c>
      <c r="I26" s="6" t="n">
        <v>0.22</v>
      </c>
      <c r="J26" s="6" t="n">
        <v>0.22</v>
      </c>
      <c r="K26" s="6" t="n">
        <v>0.22</v>
      </c>
    </row>
    <row r="27">
      <c r="A27" s="4" t="inlineStr">
        <is>
          <t>R&amp;D % Revenue - Bear</t>
        </is>
      </c>
      <c r="G27" s="6" t="n">
        <v>0.24</v>
      </c>
      <c r="H27" s="6" t="n">
        <v>0.24</v>
      </c>
      <c r="I27" s="6" t="n">
        <v>0.24</v>
      </c>
      <c r="J27" s="6" t="n">
        <v>0.24</v>
      </c>
      <c r="K27" s="6" t="n">
        <v>0.24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0.06</v>
      </c>
      <c r="H30" s="6" t="n">
        <v>0.06</v>
      </c>
      <c r="I30" s="6" t="n">
        <v>0.06</v>
      </c>
      <c r="J30" s="6" t="n">
        <v>0.06</v>
      </c>
      <c r="K30" s="6" t="n">
        <v>0.06</v>
      </c>
    </row>
    <row r="31">
      <c r="A31" s="4" t="inlineStr">
        <is>
          <t>CapEx % Revenue</t>
        </is>
      </c>
      <c r="G31" s="6" t="n">
        <v>0.075</v>
      </c>
      <c r="H31" s="6" t="n">
        <v>0.075</v>
      </c>
      <c r="I31" s="6" t="n">
        <v>0.075</v>
      </c>
      <c r="J31" s="6" t="n">
        <v>0.075</v>
      </c>
      <c r="K31" s="6" t="n">
        <v>0.075</v>
      </c>
    </row>
    <row r="32">
      <c r="A32" s="4" t="inlineStr">
        <is>
          <t>Tax Rate</t>
        </is>
      </c>
      <c r="G32" s="6" t="n">
        <v>0.2</v>
      </c>
      <c r="H32" s="6" t="n">
        <v>0.2</v>
      </c>
      <c r="I32" s="6" t="n">
        <v>0.2</v>
      </c>
      <c r="J32" s="6" t="n">
        <v>0.2</v>
      </c>
      <c r="K32" s="6" t="n">
        <v>0.2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0.095</v>
      </c>
    </row>
    <row r="36">
      <c r="A36" s="4" t="inlineStr">
        <is>
          <t>WACC - Bull</t>
        </is>
      </c>
      <c r="C36" s="6" t="n">
        <v>0.09</v>
      </c>
    </row>
    <row r="37">
      <c r="A37" s="4" t="inlineStr">
        <is>
          <t>WACC - Bear</t>
        </is>
      </c>
      <c r="C37" s="6" t="n">
        <v>0.105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18</v>
      </c>
    </row>
    <row r="41">
      <c r="A41" s="4" t="inlineStr">
        <is>
          <t>Terminal Value Multiple - Bull</t>
        </is>
      </c>
      <c r="C41" s="9" t="n">
        <v>22</v>
      </c>
    </row>
    <row r="42">
      <c r="A42" s="4" t="inlineStr">
        <is>
          <t>Terminal Value Multiple - Bear</t>
        </is>
      </c>
      <c r="C42" s="9" t="n">
        <v>14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ServiceNow, Inc. (NOW)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7245</v>
      </c>
      <c r="D6" s="5" t="n">
        <v>8971</v>
      </c>
      <c r="E6" s="5" t="n">
        <v>10984</v>
      </c>
      <c r="F6" s="5" t="n">
        <v>13278</v>
      </c>
    </row>
    <row r="7">
      <c r="A7" s="4" t="inlineStr">
        <is>
          <t>Cost of Revenue</t>
        </is>
      </c>
      <c r="C7" s="5" t="n">
        <v>1573</v>
      </c>
      <c r="D7" s="5" t="n">
        <v>1921</v>
      </c>
      <c r="E7" s="5" t="n">
        <v>2287</v>
      </c>
      <c r="F7" s="5" t="n">
        <v>2983</v>
      </c>
    </row>
    <row r="8">
      <c r="A8" s="2" t="inlineStr">
        <is>
          <t>Gross Profit</t>
        </is>
      </c>
      <c r="C8" s="5" t="n">
        <v>5672</v>
      </c>
      <c r="D8" s="5" t="n">
        <v>7050</v>
      </c>
      <c r="E8" s="5" t="n">
        <v>8697</v>
      </c>
      <c r="F8" s="5" t="n">
        <v>10295</v>
      </c>
    </row>
    <row r="9">
      <c r="A9" s="4" t="inlineStr">
        <is>
          <t xml:space="preserve">  Gross Margin</t>
        </is>
      </c>
      <c r="C9" s="11" t="n">
        <v>0.7828847481021394</v>
      </c>
      <c r="D9" s="11" t="n">
        <v>0.7858655668264407</v>
      </c>
      <c r="E9" s="11" t="n">
        <v>0.791788055353241</v>
      </c>
      <c r="F9" s="11" t="n">
        <v>0.7753426720891701</v>
      </c>
    </row>
    <row r="11">
      <c r="A11" s="4" t="inlineStr">
        <is>
          <t>R&amp;D Expense</t>
        </is>
      </c>
      <c r="C11" s="5" t="n">
        <v>1768</v>
      </c>
      <c r="D11" s="5" t="n">
        <v>2124</v>
      </c>
      <c r="E11" s="5" t="n">
        <v>2543</v>
      </c>
      <c r="F11" s="5" t="n">
        <v>2960</v>
      </c>
    </row>
    <row r="12">
      <c r="A12" s="4" t="inlineStr">
        <is>
          <t>SG&amp;A Expense</t>
        </is>
      </c>
      <c r="C12" s="5" t="n">
        <v>3549</v>
      </c>
      <c r="D12" s="5" t="n">
        <v>4164</v>
      </c>
      <c r="E12" s="5" t="n">
        <v>4790</v>
      </c>
      <c r="F12" s="5" t="n">
        <v>5511</v>
      </c>
    </row>
    <row r="13">
      <c r="A13" s="2" t="inlineStr">
        <is>
          <t>Operating Income (EBIT)</t>
        </is>
      </c>
      <c r="C13" s="5" t="n">
        <v>355</v>
      </c>
      <c r="D13" s="5" t="n">
        <v>762</v>
      </c>
      <c r="E13" s="5" t="n">
        <v>1364</v>
      </c>
      <c r="F13" s="5" t="n">
        <v>1824</v>
      </c>
    </row>
    <row r="14">
      <c r="A14" s="4" t="inlineStr">
        <is>
          <t xml:space="preserve">  EBIT Margin</t>
        </is>
      </c>
      <c r="C14" s="11" t="n">
        <v>0.04899930986887509</v>
      </c>
      <c r="D14" s="11" t="n">
        <v>0.08494036339315572</v>
      </c>
      <c r="E14" s="11" t="n">
        <v>0.1241806263656227</v>
      </c>
      <c r="F14" s="11" t="n">
        <v>0.1373700858563037</v>
      </c>
    </row>
    <row r="16">
      <c r="A16" s="4" t="inlineStr">
        <is>
          <t>Interest Expense</t>
        </is>
      </c>
      <c r="C16" s="5" t="n">
        <v>27</v>
      </c>
      <c r="D16" s="5" t="n">
        <v>24</v>
      </c>
      <c r="E16" s="5" t="n">
        <v>23</v>
      </c>
      <c r="F16" s="5" t="n">
        <v>23</v>
      </c>
    </row>
    <row r="17">
      <c r="A17" s="4" t="inlineStr">
        <is>
          <t>Tax Provision</t>
        </is>
      </c>
      <c r="C17" s="5" t="n">
        <v>74</v>
      </c>
      <c r="D17" s="5" t="n">
        <v>-723</v>
      </c>
      <c r="E17" s="5" t="n">
        <v>313</v>
      </c>
      <c r="F17" s="5" t="n">
        <v>513</v>
      </c>
    </row>
    <row r="18">
      <c r="A18" s="2" t="inlineStr">
        <is>
          <t>Net Income</t>
        </is>
      </c>
      <c r="C18" s="5" t="n">
        <v>325</v>
      </c>
      <c r="D18" s="5" t="n">
        <v>1731</v>
      </c>
      <c r="E18" s="5" t="n">
        <v>1425</v>
      </c>
      <c r="F18" s="5" t="n">
        <v>1748</v>
      </c>
    </row>
    <row r="19">
      <c r="A19" s="4" t="inlineStr">
        <is>
          <t xml:space="preserve">  Net Margin</t>
        </is>
      </c>
      <c r="C19" s="11" t="n">
        <v>0.04485852311939269</v>
      </c>
      <c r="D19" s="11" t="n">
        <v>0.1929550774718538</v>
      </c>
      <c r="E19" s="11" t="n">
        <v>0.129734158776402</v>
      </c>
      <c r="F19" s="11" t="n">
        <v>0.1316463322789577</v>
      </c>
    </row>
    <row r="21">
      <c r="A21" s="2" t="inlineStr">
        <is>
          <t>EBITDA</t>
        </is>
      </c>
      <c r="C21" s="5" t="n">
        <v>788</v>
      </c>
      <c r="D21" s="5" t="n">
        <v>1324</v>
      </c>
      <c r="E21" s="5" t="n">
        <v>2325</v>
      </c>
      <c r="F21" s="5" t="n">
        <v>3022</v>
      </c>
    </row>
    <row r="22">
      <c r="A22" s="4" t="inlineStr">
        <is>
          <t xml:space="preserve">  EBITDA Margin</t>
        </is>
      </c>
      <c r="C22" s="11" t="n">
        <v>0.1087646652864044</v>
      </c>
      <c r="D22" s="11" t="n">
        <v>0.1475866681529373</v>
      </c>
      <c r="E22" s="11" t="n">
        <v>0.2116715222141296</v>
      </c>
      <c r="F22" s="11" t="n">
        <v>0.2275945172465733</v>
      </c>
    </row>
    <row r="23">
      <c r="A23" s="4" t="inlineStr">
        <is>
          <t>Diluted EPS</t>
        </is>
      </c>
      <c r="C23" s="12" t="n">
        <v>0.32</v>
      </c>
      <c r="D23" s="12" t="n">
        <v>1.684</v>
      </c>
      <c r="E23" s="12" t="n">
        <v>1.368</v>
      </c>
      <c r="F23" s="12" t="n">
        <v>1.67</v>
      </c>
    </row>
    <row r="24">
      <c r="A24" s="4" t="inlineStr">
        <is>
          <t>D&amp;A</t>
        </is>
      </c>
      <c r="C24" s="5" t="n">
        <v>433</v>
      </c>
      <c r="D24" s="5" t="n">
        <v>562</v>
      </c>
      <c r="E24" s="5" t="n">
        <v>564</v>
      </c>
      <c r="F24" s="5" t="n">
        <v>738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1470</v>
      </c>
      <c r="D28" s="5" t="n">
        <v>1897</v>
      </c>
      <c r="E28" s="5" t="n">
        <v>2304</v>
      </c>
      <c r="F28" s="5" t="n">
        <v>3726</v>
      </c>
    </row>
    <row r="29">
      <c r="A29" s="4" t="inlineStr">
        <is>
          <t>Current Assets</t>
        </is>
      </c>
      <c r="C29" s="5" t="n">
        <v>6654</v>
      </c>
      <c r="D29" s="5" t="n">
        <v>7777</v>
      </c>
      <c r="E29" s="5" t="n">
        <v>9187</v>
      </c>
      <c r="F29" s="5" t="n">
        <v>10471</v>
      </c>
    </row>
    <row r="30">
      <c r="A30" s="4" t="inlineStr">
        <is>
          <t>Net PP&amp;E</t>
        </is>
      </c>
      <c r="C30" s="5" t="n">
        <v>1735</v>
      </c>
      <c r="D30" s="5" t="n">
        <v>2073</v>
      </c>
      <c r="E30" s="5" t="n">
        <v>2456</v>
      </c>
      <c r="F30" s="5" t="n">
        <v>3095</v>
      </c>
    </row>
    <row r="31">
      <c r="A31" s="4" t="inlineStr">
        <is>
          <t>Goodwill</t>
        </is>
      </c>
      <c r="C31" s="5" t="n">
        <v>824</v>
      </c>
      <c r="D31" s="5" t="n">
        <v>1231</v>
      </c>
      <c r="E31" s="5" t="n">
        <v>1273</v>
      </c>
      <c r="F31" s="5" t="n">
        <v>3578</v>
      </c>
    </row>
    <row r="32">
      <c r="A32" s="2" t="inlineStr">
        <is>
          <t>Total Assets</t>
        </is>
      </c>
      <c r="C32" s="5" t="n">
        <v>13299</v>
      </c>
      <c r="D32" s="5" t="n">
        <v>17387</v>
      </c>
      <c r="E32" s="5" t="n">
        <v>20383</v>
      </c>
      <c r="F32" s="5" t="n">
        <v>26038</v>
      </c>
    </row>
    <row r="34">
      <c r="A34" s="4" t="inlineStr">
        <is>
          <t>Current Liabilities</t>
        </is>
      </c>
      <c r="C34" s="5" t="n">
        <v>6005</v>
      </c>
      <c r="D34" s="5" t="n">
        <v>7365</v>
      </c>
      <c r="E34" s="5" t="n">
        <v>8358</v>
      </c>
      <c r="F34" s="5" t="n">
        <v>10443</v>
      </c>
    </row>
    <row r="35">
      <c r="A35" s="4" t="inlineStr">
        <is>
          <t>Total Debt</t>
        </is>
      </c>
      <c r="C35" s="5" t="n">
        <v>2232</v>
      </c>
      <c r="D35" s="5" t="n">
        <v>2284</v>
      </c>
      <c r="E35" s="5" t="n">
        <v>2278</v>
      </c>
      <c r="F35" s="5" t="n">
        <v>2403</v>
      </c>
    </row>
    <row r="36">
      <c r="A36" s="2" t="inlineStr">
        <is>
          <t>Total Liabilities</t>
        </is>
      </c>
      <c r="C36" s="5" t="n">
        <v>8267</v>
      </c>
      <c r="D36" s="5" t="n">
        <v>9759</v>
      </c>
      <c r="E36" s="5" t="n">
        <v>10774</v>
      </c>
      <c r="F36" s="5" t="n">
        <v>13074</v>
      </c>
    </row>
    <row r="38">
      <c r="A38" s="2" t="inlineStr">
        <is>
          <t>Total Equity</t>
        </is>
      </c>
      <c r="C38" s="5" t="n">
        <v>5032</v>
      </c>
      <c r="D38" s="5" t="n">
        <v>7628</v>
      </c>
      <c r="E38" s="5" t="n">
        <v>9609</v>
      </c>
      <c r="F38" s="5" t="n">
        <v>12964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2723</v>
      </c>
      <c r="D42" s="5" t="n">
        <v>3398</v>
      </c>
      <c r="E42" s="5" t="n">
        <v>4267</v>
      </c>
      <c r="F42" s="5" t="n">
        <v>5444</v>
      </c>
    </row>
    <row r="43">
      <c r="A43" s="4" t="inlineStr">
        <is>
          <t>Capital Expenditure</t>
        </is>
      </c>
      <c r="C43" s="5" t="n">
        <v>-550</v>
      </c>
      <c r="D43" s="5" t="n">
        <v>-697</v>
      </c>
      <c r="E43" s="5" t="n">
        <v>-892</v>
      </c>
      <c r="F43" s="5" t="n">
        <v>-911</v>
      </c>
    </row>
    <row r="44">
      <c r="A44" s="2" t="inlineStr">
        <is>
          <t>Free Cash Flow</t>
        </is>
      </c>
      <c r="C44" s="5" t="n">
        <v>2173</v>
      </c>
      <c r="D44" s="5" t="n">
        <v>2701</v>
      </c>
      <c r="E44" s="5" t="n">
        <v>3375</v>
      </c>
      <c r="F44" s="5" t="n">
        <v>4533</v>
      </c>
    </row>
    <row r="46">
      <c r="A46" s="4" t="inlineStr">
        <is>
          <t>D&amp;A</t>
        </is>
      </c>
      <c r="C46" s="5" t="n">
        <v>433</v>
      </c>
      <c r="D46" s="5" t="n">
        <v>562</v>
      </c>
      <c r="E46" s="5" t="n">
        <v>564</v>
      </c>
      <c r="F46" s="5" t="n">
        <v>738</v>
      </c>
    </row>
    <row r="47">
      <c r="A47" s="4" t="inlineStr">
        <is>
          <t>Stock-Based Compensation</t>
        </is>
      </c>
      <c r="C47" s="5" t="n">
        <v>1401</v>
      </c>
      <c r="D47" s="5" t="n">
        <v>1604</v>
      </c>
      <c r="E47" s="5" t="n">
        <v>1746</v>
      </c>
      <c r="F47" s="5" t="n">
        <v>1955</v>
      </c>
    </row>
    <row r="48">
      <c r="A48" s="4" t="inlineStr">
        <is>
          <t>Change in Working Capital</t>
        </is>
      </c>
      <c r="C48" s="5" t="n">
        <v>174</v>
      </c>
      <c r="D48" s="5" t="n">
        <v>-101</v>
      </c>
      <c r="E48" s="5" t="n">
        <v>-65</v>
      </c>
      <c r="F48" s="5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ServiceNow, Inc. (NOW)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Software - Application</t>
        </is>
      </c>
      <c r="C8" s="5" t="n">
        <v>7245</v>
      </c>
      <c r="D8" s="5" t="n">
        <v>8971</v>
      </c>
      <c r="E8" s="5" t="n">
        <v>10984</v>
      </c>
      <c r="F8" s="5" t="n">
        <v>13278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1573</v>
      </c>
      <c r="D16" s="5" t="n">
        <v>1921</v>
      </c>
      <c r="E16" s="5" t="n">
        <v>2287</v>
      </c>
      <c r="F16" s="5" t="n">
        <v>2983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3549</v>
      </c>
      <c r="D20" s="5" t="n">
        <v>4164</v>
      </c>
      <c r="E20" s="5" t="n">
        <v>4790</v>
      </c>
      <c r="F20" s="5" t="n">
        <v>5511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1768</v>
      </c>
      <c r="D21" s="5" t="n">
        <v>2124</v>
      </c>
      <c r="E21" s="5" t="n">
        <v>2543</v>
      </c>
      <c r="F21" s="5" t="n">
        <v>2960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433</v>
      </c>
      <c r="D22" s="5" t="n">
        <v>562</v>
      </c>
      <c r="E22" s="5" t="n">
        <v>564</v>
      </c>
      <c r="F22" s="5" t="n">
        <v>738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27</v>
      </c>
      <c r="D29" s="5" t="n">
        <v>24</v>
      </c>
      <c r="E29" s="5" t="n">
        <v>23</v>
      </c>
      <c r="F29" s="5" t="n">
        <v>23</v>
      </c>
      <c r="G29" s="5" t="n">
        <v>23</v>
      </c>
      <c r="H29" s="5" t="n">
        <v>23</v>
      </c>
      <c r="I29" s="5" t="n">
        <v>23</v>
      </c>
      <c r="J29" s="5" t="n">
        <v>23</v>
      </c>
      <c r="K29" s="5" t="n">
        <v>23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74</v>
      </c>
      <c r="D31" s="5" t="n">
        <v>-723</v>
      </c>
      <c r="E31" s="5" t="n">
        <v>313</v>
      </c>
      <c r="F31" s="5" t="n">
        <v>513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174</v>
      </c>
      <c r="D39" s="5" t="n">
        <v>-101</v>
      </c>
      <c r="E39" s="5" t="n">
        <v>-65</v>
      </c>
      <c r="F39" s="5" t="n">
        <v>29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-550</v>
      </c>
      <c r="D42" s="5" t="n">
        <v>-697</v>
      </c>
      <c r="E42" s="5" t="n">
        <v>-892</v>
      </c>
      <c r="F42" s="5" t="n">
        <v>-911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ServiceNow, Inc. (NOW)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91.56999999999999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1323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1031.308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C33/91.57-1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14x</t>
        </is>
      </c>
      <c r="D38" s="1" t="inlineStr">
        <is>
          <t>16x</t>
        </is>
      </c>
      <c r="E38" s="1" t="inlineStr">
        <is>
          <t>18x</t>
        </is>
      </c>
      <c r="F38" s="1" t="inlineStr">
        <is>
          <t>20x</t>
        </is>
      </c>
      <c r="G38" s="1" t="inlineStr">
        <is>
          <t>22x</t>
        </is>
      </c>
    </row>
    <row r="39">
      <c r="A39" s="21" t="n">
        <v>0.065</v>
      </c>
      <c r="C39" s="22">
        <f>(G$12/(1+$A$39)^1+H$12/(1+$A$39)^2+I$12/(1+$A$39)^3+J$12/(1+$A$39)^4+K$12/(1+$A$39)^5+K$8*14/(1+$A$39)^5+$C$29)/$C$32</f>
        <v/>
      </c>
      <c r="D39" s="22">
        <f>(G$12/(1+$A$39)^1+H$12/(1+$A$39)^2+I$12/(1+$A$39)^3+J$12/(1+$A$39)^4+K$12/(1+$A$39)^5+K$8*16/(1+$A$39)^5+$C$29)/$C$32</f>
        <v/>
      </c>
      <c r="E39" s="22">
        <f>(G$12/(1+$A$39)^1+H$12/(1+$A$39)^2+I$12/(1+$A$39)^3+J$12/(1+$A$39)^4+K$12/(1+$A$39)^5+K$8*18/(1+$A$39)^5+$C$29)/$C$32</f>
        <v/>
      </c>
      <c r="F39" s="22">
        <f>(G$12/(1+$A$39)^1+H$12/(1+$A$39)^2+I$12/(1+$A$39)^3+J$12/(1+$A$39)^4+K$12/(1+$A$39)^5+K$8*20/(1+$A$39)^5+$C$29)/$C$32</f>
        <v/>
      </c>
      <c r="G39" s="22">
        <f>(G$12/(1+$A$39)^1+H$12/(1+$A$39)^2+I$12/(1+$A$39)^3+J$12/(1+$A$39)^4+K$12/(1+$A$39)^5+K$8*22/(1+$A$39)^5+$C$29)/$C$32</f>
        <v/>
      </c>
    </row>
    <row r="40">
      <c r="A40" s="21" t="n">
        <v>0.075</v>
      </c>
      <c r="C40" s="22">
        <f>(G$12/(1+$A$40)^1+H$12/(1+$A$40)^2+I$12/(1+$A$40)^3+J$12/(1+$A$40)^4+K$12/(1+$A$40)^5+K$8*14/(1+$A$40)^5+$C$29)/$C$32</f>
        <v/>
      </c>
      <c r="D40" s="22">
        <f>(G$12/(1+$A$40)^1+H$12/(1+$A$40)^2+I$12/(1+$A$40)^3+J$12/(1+$A$40)^4+K$12/(1+$A$40)^5+K$8*16/(1+$A$40)^5+$C$29)/$C$32</f>
        <v/>
      </c>
      <c r="E40" s="22">
        <f>(G$12/(1+$A$40)^1+H$12/(1+$A$40)^2+I$12/(1+$A$40)^3+J$12/(1+$A$40)^4+K$12/(1+$A$40)^5+K$8*18/(1+$A$40)^5+$C$29)/$C$32</f>
        <v/>
      </c>
      <c r="F40" s="22">
        <f>(G$12/(1+$A$40)^1+H$12/(1+$A$40)^2+I$12/(1+$A$40)^3+J$12/(1+$A$40)^4+K$12/(1+$A$40)^5+K$8*20/(1+$A$40)^5+$C$29)/$C$32</f>
        <v/>
      </c>
      <c r="G40" s="22">
        <f>(G$12/(1+$A$40)^1+H$12/(1+$A$40)^2+I$12/(1+$A$40)^3+J$12/(1+$A$40)^4+K$12/(1+$A$40)^5+K$8*22/(1+$A$40)^5+$C$29)/$C$32</f>
        <v/>
      </c>
    </row>
    <row r="41">
      <c r="A41" s="21" t="n">
        <v>0.08500000000000001</v>
      </c>
      <c r="C41" s="22">
        <f>(G$12/(1+$A$41)^1+H$12/(1+$A$41)^2+I$12/(1+$A$41)^3+J$12/(1+$A$41)^4+K$12/(1+$A$41)^5+K$8*14/(1+$A$41)^5+$C$29)/$C$32</f>
        <v/>
      </c>
      <c r="D41" s="22">
        <f>(G$12/(1+$A$41)^1+H$12/(1+$A$41)^2+I$12/(1+$A$41)^3+J$12/(1+$A$41)^4+K$12/(1+$A$41)^5+K$8*16/(1+$A$41)^5+$C$29)/$C$32</f>
        <v/>
      </c>
      <c r="E41" s="22">
        <f>(G$12/(1+$A$41)^1+H$12/(1+$A$41)^2+I$12/(1+$A$41)^3+J$12/(1+$A$41)^4+K$12/(1+$A$41)^5+K$8*18/(1+$A$41)^5+$C$29)/$C$32</f>
        <v/>
      </c>
      <c r="F41" s="22">
        <f>(G$12/(1+$A$41)^1+H$12/(1+$A$41)^2+I$12/(1+$A$41)^3+J$12/(1+$A$41)^4+K$12/(1+$A$41)^5+K$8*20/(1+$A$41)^5+$C$29)/$C$32</f>
        <v/>
      </c>
      <c r="G41" s="22">
        <f>(G$12/(1+$A$41)^1+H$12/(1+$A$41)^2+I$12/(1+$A$41)^3+J$12/(1+$A$41)^4+K$12/(1+$A$41)^5+K$8*22/(1+$A$41)^5+$C$29)/$C$32</f>
        <v/>
      </c>
    </row>
    <row r="42">
      <c r="A42" s="21" t="n">
        <v>0.095</v>
      </c>
      <c r="C42" s="22">
        <f>(G$12/(1+$A$42)^1+H$12/(1+$A$42)^2+I$12/(1+$A$42)^3+J$12/(1+$A$42)^4+K$12/(1+$A$42)^5+K$8*14/(1+$A$42)^5+$C$29)/$C$32</f>
        <v/>
      </c>
      <c r="D42" s="22">
        <f>(G$12/(1+$A$42)^1+H$12/(1+$A$42)^2+I$12/(1+$A$42)^3+J$12/(1+$A$42)^4+K$12/(1+$A$42)^5+K$8*16/(1+$A$42)^5+$C$29)/$C$32</f>
        <v/>
      </c>
      <c r="E42" s="23">
        <f>(G$12/(1+$A$42)^1+H$12/(1+$A$42)^2+I$12/(1+$A$42)^3+J$12/(1+$A$42)^4+K$12/(1+$A$42)^5+K$8*18/(1+$A$42)^5+$C$29)/$C$32</f>
        <v/>
      </c>
      <c r="F42" s="22">
        <f>(G$12/(1+$A$42)^1+H$12/(1+$A$42)^2+I$12/(1+$A$42)^3+J$12/(1+$A$42)^4+K$12/(1+$A$42)^5+K$8*20/(1+$A$42)^5+$C$29)/$C$32</f>
        <v/>
      </c>
      <c r="G42" s="22">
        <f>(G$12/(1+$A$42)^1+H$12/(1+$A$42)^2+I$12/(1+$A$42)^3+J$12/(1+$A$42)^4+K$12/(1+$A$42)^5+K$8*22/(1+$A$42)^5+$C$29)/$C$32</f>
        <v/>
      </c>
    </row>
    <row r="43">
      <c r="A43" s="21" t="n">
        <v>0.105</v>
      </c>
      <c r="C43" s="22">
        <f>(G$12/(1+$A$43)^1+H$12/(1+$A$43)^2+I$12/(1+$A$43)^3+J$12/(1+$A$43)^4+K$12/(1+$A$43)^5+K$8*14/(1+$A$43)^5+$C$29)/$C$32</f>
        <v/>
      </c>
      <c r="D43" s="22">
        <f>(G$12/(1+$A$43)^1+H$12/(1+$A$43)^2+I$12/(1+$A$43)^3+J$12/(1+$A$43)^4+K$12/(1+$A$43)^5+K$8*16/(1+$A$43)^5+$C$29)/$C$32</f>
        <v/>
      </c>
      <c r="E43" s="22">
        <f>(G$12/(1+$A$43)^1+H$12/(1+$A$43)^2+I$12/(1+$A$43)^3+J$12/(1+$A$43)^4+K$12/(1+$A$43)^5+K$8*18/(1+$A$43)^5+$C$29)/$C$32</f>
        <v/>
      </c>
      <c r="F43" s="22">
        <f>(G$12/(1+$A$43)^1+H$12/(1+$A$43)^2+I$12/(1+$A$43)^3+J$12/(1+$A$43)^4+K$12/(1+$A$43)^5+K$8*20/(1+$A$43)^5+$C$29)/$C$32</f>
        <v/>
      </c>
      <c r="G43" s="22">
        <f>(G$12/(1+$A$43)^1+H$12/(1+$A$43)^2+I$12/(1+$A$43)^3+J$12/(1+$A$43)^4+K$12/(1+$A$43)^5+K$8*22/(1+$A$43)^5+$C$29)/$C$32</f>
        <v/>
      </c>
    </row>
    <row r="44">
      <c r="A44" s="21" t="n">
        <v>0.115</v>
      </c>
      <c r="C44" s="22">
        <f>(G$12/(1+$A$44)^1+H$12/(1+$A$44)^2+I$12/(1+$A$44)^3+J$12/(1+$A$44)^4+K$12/(1+$A$44)^5+K$8*14/(1+$A$44)^5+$C$29)/$C$32</f>
        <v/>
      </c>
      <c r="D44" s="22">
        <f>(G$12/(1+$A$44)^1+H$12/(1+$A$44)^2+I$12/(1+$A$44)^3+J$12/(1+$A$44)^4+K$12/(1+$A$44)^5+K$8*16/(1+$A$44)^5+$C$29)/$C$32</f>
        <v/>
      </c>
      <c r="E44" s="22">
        <f>(G$12/(1+$A$44)^1+H$12/(1+$A$44)^2+I$12/(1+$A$44)^3+J$12/(1+$A$44)^4+K$12/(1+$A$44)^5+K$8*18/(1+$A$44)^5+$C$29)/$C$32</f>
        <v/>
      </c>
      <c r="F44" s="22">
        <f>(G$12/(1+$A$44)^1+H$12/(1+$A$44)^2+I$12/(1+$A$44)^3+J$12/(1+$A$44)^4+K$12/(1+$A$44)^5+K$8*20/(1+$A$44)^5+$C$29)/$C$32</f>
        <v/>
      </c>
      <c r="G44" s="22">
        <f>(G$12/(1+$A$44)^1+H$12/(1+$A$44)^2+I$12/(1+$A$44)^3+J$12/(1+$A$44)^4+K$12/(1+$A$44)^5+K$8*22/(1+$A$44)^5+$C$29)/$C$32</f>
        <v/>
      </c>
    </row>
    <row r="45">
      <c r="A45" s="21" t="n">
        <v>0.125</v>
      </c>
      <c r="C45" s="22">
        <f>(G$12/(1+$A$45)^1+H$12/(1+$A$45)^2+I$12/(1+$A$45)^3+J$12/(1+$A$45)^4+K$12/(1+$A$45)^5+K$8*14/(1+$A$45)^5+$C$29)/$C$32</f>
        <v/>
      </c>
      <c r="D45" s="22">
        <f>(G$12/(1+$A$45)^1+H$12/(1+$A$45)^2+I$12/(1+$A$45)^3+J$12/(1+$A$45)^4+K$12/(1+$A$45)^5+K$8*16/(1+$A$45)^5+$C$29)/$C$32</f>
        <v/>
      </c>
      <c r="E45" s="22">
        <f>(G$12/(1+$A$45)^1+H$12/(1+$A$45)^2+I$12/(1+$A$45)^3+J$12/(1+$A$45)^4+K$12/(1+$A$45)^5+K$8*18/(1+$A$45)^5+$C$29)/$C$32</f>
        <v/>
      </c>
      <c r="F45" s="22">
        <f>(G$12/(1+$A$45)^1+H$12/(1+$A$45)^2+I$12/(1+$A$45)^3+J$12/(1+$A$45)^4+K$12/(1+$A$45)^5+K$8*20/(1+$A$45)^5+$C$29)/$C$32</f>
        <v/>
      </c>
      <c r="G45" s="22">
        <f>(G$12/(1+$A$45)^1+H$12/(1+$A$45)^2+I$12/(1+$A$45)^3+J$12/(1+$A$45)^4+K$12/(1+$A$45)^5+K$8*22/(1+$A$45)^5+$C$29)/$C$32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2026-05-11T15:31:06Z</dcterms:created>
  <dcterms:modified xmlns:dcterms="http://purl.org/dc/terms/" xmlns:xsi="http://www.w3.org/2001/XMLSchema-instance" xsi:type="dcterms:W3CDTF">2026-05-11T15:31:06Z</dcterms:modified>
</cp:coreProperties>
</file>