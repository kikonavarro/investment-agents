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Duolingo, Inc. (DUOL)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Application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369.495</v>
      </c>
      <c r="D7" s="5" t="n">
        <v>531.109</v>
      </c>
      <c r="E7" s="5" t="n">
        <v>748.024</v>
      </c>
      <c r="F7" s="5" t="n">
        <v>1037.589</v>
      </c>
    </row>
    <row r="8">
      <c r="A8" s="4" t="inlineStr">
        <is>
          <t xml:space="preserve">  Revenue Growth - Base</t>
        </is>
      </c>
      <c r="G8" s="6" t="n">
        <v>0.16</v>
      </c>
      <c r="H8" s="6" t="n">
        <v>0.18</v>
      </c>
      <c r="I8" s="6" t="n">
        <v>0.17</v>
      </c>
      <c r="J8" s="6" t="n">
        <v>0.15</v>
      </c>
      <c r="K8" s="6" t="n">
        <v>0.13</v>
      </c>
    </row>
    <row r="9">
      <c r="A9" s="4" t="inlineStr">
        <is>
          <t xml:space="preserve">  Revenue Growth - Bull</t>
        </is>
      </c>
      <c r="G9" s="6" t="n">
        <v>0.2</v>
      </c>
      <c r="H9" s="6" t="n">
        <v>0.22</v>
      </c>
      <c r="I9" s="6" t="n">
        <v>0.2</v>
      </c>
      <c r="J9" s="6" t="n">
        <v>0.18</v>
      </c>
      <c r="K9" s="6" t="n">
        <v>0.15</v>
      </c>
    </row>
    <row r="10">
      <c r="A10" s="4" t="inlineStr">
        <is>
          <t xml:space="preserve">  Revenue Growth - Bear</t>
        </is>
      </c>
      <c r="G10" s="6" t="n">
        <v>0.12</v>
      </c>
      <c r="H10" s="6" t="n">
        <v>0.1</v>
      </c>
      <c r="I10" s="6" t="n">
        <v>0.09</v>
      </c>
      <c r="J10" s="6" t="n">
        <v>0.08</v>
      </c>
      <c r="K10" s="6" t="n">
        <v>0.07000000000000001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</v>
      </c>
      <c r="H15" s="6" t="n">
        <v>0.7</v>
      </c>
      <c r="I15" s="6" t="n">
        <v>0.7</v>
      </c>
      <c r="J15" s="6" t="n">
        <v>0.7</v>
      </c>
      <c r="K15" s="6" t="n">
        <v>0.7</v>
      </c>
    </row>
    <row r="16">
      <c r="A16" s="4" t="inlineStr">
        <is>
          <t>Gross Margin - Bull</t>
        </is>
      </c>
      <c r="G16" s="6" t="n">
        <v>0.72</v>
      </c>
      <c r="H16" s="6" t="n">
        <v>0.72</v>
      </c>
      <c r="I16" s="6" t="n">
        <v>0.72</v>
      </c>
      <c r="J16" s="6" t="n">
        <v>0.72</v>
      </c>
      <c r="K16" s="6" t="n">
        <v>0.72</v>
      </c>
    </row>
    <row r="17">
      <c r="A17" s="4" t="inlineStr">
        <is>
          <t>Gross Margin - Bear</t>
        </is>
      </c>
      <c r="G17" s="6" t="n">
        <v>0.68</v>
      </c>
      <c r="H17" s="6" t="n">
        <v>0.68</v>
      </c>
      <c r="I17" s="6" t="n">
        <v>0.68</v>
      </c>
      <c r="J17" s="6" t="n">
        <v>0.68</v>
      </c>
      <c r="K17" s="6" t="n">
        <v>0.68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0.38</v>
      </c>
      <c r="H20" s="6" t="n">
        <v>0.38</v>
      </c>
      <c r="I20" s="6" t="n">
        <v>0.38</v>
      </c>
      <c r="J20" s="6" t="n">
        <v>0.38</v>
      </c>
      <c r="K20" s="6" t="n">
        <v>0.38</v>
      </c>
    </row>
    <row r="21">
      <c r="A21" s="4" t="inlineStr">
        <is>
          <t>SG&amp;A % Revenue - Bull</t>
        </is>
      </c>
      <c r="G21" s="6" t="n">
        <v>0.35</v>
      </c>
      <c r="H21" s="6" t="n">
        <v>0.35</v>
      </c>
      <c r="I21" s="6" t="n">
        <v>0.35</v>
      </c>
      <c r="J21" s="6" t="n">
        <v>0.35</v>
      </c>
      <c r="K21" s="6" t="n">
        <v>0.35</v>
      </c>
    </row>
    <row r="22">
      <c r="A22" s="4" t="inlineStr">
        <is>
          <t>SG&amp;A % Revenue - Bear</t>
        </is>
      </c>
      <c r="G22" s="6" t="n">
        <v>0.4</v>
      </c>
      <c r="H22" s="6" t="n">
        <v>0.4</v>
      </c>
      <c r="I22" s="6" t="n">
        <v>0.4</v>
      </c>
      <c r="J22" s="6" t="n">
        <v>0.4</v>
      </c>
      <c r="K22" s="6" t="n">
        <v>0.4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0.33</v>
      </c>
      <c r="H25" s="6" t="n">
        <v>0.33</v>
      </c>
      <c r="I25" s="6" t="n">
        <v>0.33</v>
      </c>
      <c r="J25" s="6" t="n">
        <v>0.33</v>
      </c>
      <c r="K25" s="6" t="n">
        <v>0.33</v>
      </c>
    </row>
    <row r="26">
      <c r="A26" s="4" t="inlineStr">
        <is>
          <t>R&amp;D % Revenue - Bull</t>
        </is>
      </c>
      <c r="G26" s="6" t="n">
        <v>0.3</v>
      </c>
      <c r="H26" s="6" t="n">
        <v>0.3</v>
      </c>
      <c r="I26" s="6" t="n">
        <v>0.3</v>
      </c>
      <c r="J26" s="6" t="n">
        <v>0.3</v>
      </c>
      <c r="K26" s="6" t="n">
        <v>0.3</v>
      </c>
    </row>
    <row r="27">
      <c r="A27" s="4" t="inlineStr">
        <is>
          <t>R&amp;D % Revenue - Bear</t>
        </is>
      </c>
      <c r="G27" s="6" t="n">
        <v>0.35</v>
      </c>
      <c r="H27" s="6" t="n">
        <v>0.35</v>
      </c>
      <c r="I27" s="6" t="n">
        <v>0.35</v>
      </c>
      <c r="J27" s="6" t="n">
        <v>0.35</v>
      </c>
      <c r="K27" s="6" t="n">
        <v>0.35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0.015</v>
      </c>
      <c r="H30" s="6" t="n">
        <v>0.015</v>
      </c>
      <c r="I30" s="6" t="n">
        <v>0.015</v>
      </c>
      <c r="J30" s="6" t="n">
        <v>0.015</v>
      </c>
      <c r="K30" s="6" t="n">
        <v>0.015</v>
      </c>
    </row>
    <row r="31">
      <c r="A31" s="4" t="inlineStr">
        <is>
          <t>CapEx % Revenue</t>
        </is>
      </c>
      <c r="G31" s="6" t="n">
        <v>0.03</v>
      </c>
      <c r="H31" s="6" t="n">
        <v>0.03</v>
      </c>
      <c r="I31" s="6" t="n">
        <v>0.03</v>
      </c>
      <c r="J31" s="6" t="n">
        <v>0.03</v>
      </c>
      <c r="K31" s="6" t="n">
        <v>0.03</v>
      </c>
    </row>
    <row r="32">
      <c r="A32" s="4" t="inlineStr">
        <is>
          <t>Tax Rate</t>
        </is>
      </c>
      <c r="G32" s="6" t="n">
        <v>0.21</v>
      </c>
      <c r="H32" s="6" t="n">
        <v>0.21</v>
      </c>
      <c r="I32" s="6" t="n">
        <v>0.21</v>
      </c>
      <c r="J32" s="6" t="n">
        <v>0.21</v>
      </c>
      <c r="K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16</v>
      </c>
    </row>
    <row r="41">
      <c r="A41" s="4" t="inlineStr">
        <is>
          <t>Terminal Value Multiple - Bull</t>
        </is>
      </c>
      <c r="C41" s="9" t="n">
        <v>22</v>
      </c>
    </row>
    <row r="42">
      <c r="A42" s="4" t="inlineStr">
        <is>
          <t>Terminal Value Multiple - Bear</t>
        </is>
      </c>
      <c r="C42" s="9" t="n">
        <v>11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Duolingo, Inc. (DUOL)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369.495</v>
      </c>
      <c r="D6" s="5" t="n">
        <v>531.109</v>
      </c>
      <c r="E6" s="5" t="n">
        <v>748.024</v>
      </c>
      <c r="F6" s="5" t="n">
        <v>1037.589</v>
      </c>
    </row>
    <row r="7">
      <c r="A7" s="4" t="inlineStr">
        <is>
          <t>Cost of Revenue</t>
        </is>
      </c>
      <c r="C7" s="5" t="n">
        <v>99.431</v>
      </c>
      <c r="D7" s="5" t="n">
        <v>142.105</v>
      </c>
      <c r="E7" s="5" t="n">
        <v>203.645</v>
      </c>
      <c r="F7" s="5" t="n">
        <v>288.132</v>
      </c>
    </row>
    <row r="8">
      <c r="A8" s="2" t="inlineStr">
        <is>
          <t>Gross Profit</t>
        </is>
      </c>
      <c r="C8" s="5" t="n">
        <v>270.064</v>
      </c>
      <c r="D8" s="5" t="n">
        <v>389.004</v>
      </c>
      <c r="E8" s="5" t="n">
        <v>544.379</v>
      </c>
      <c r="F8" s="5" t="n">
        <v>749.457</v>
      </c>
    </row>
    <row r="9">
      <c r="A9" s="4" t="inlineStr">
        <is>
          <t xml:space="preserve">  Gross Margin</t>
        </is>
      </c>
      <c r="C9" s="11" t="n">
        <v>0.7309002828184414</v>
      </c>
      <c r="D9" s="11" t="n">
        <v>0.7324372209847696</v>
      </c>
      <c r="E9" s="11" t="n">
        <v>0.7277560613028459</v>
      </c>
      <c r="F9" s="11" t="n">
        <v>0.7223062310799363</v>
      </c>
    </row>
    <row r="11">
      <c r="A11" s="4" t="inlineStr">
        <is>
          <t>R&amp;D Expense</t>
        </is>
      </c>
      <c r="C11" s="5" t="n">
        <v>150.444</v>
      </c>
      <c r="D11" s="5" t="n">
        <v>194.352</v>
      </c>
      <c r="E11" s="5" t="n">
        <v>235.298</v>
      </c>
      <c r="F11" s="5" t="n">
        <v>306.323</v>
      </c>
    </row>
    <row r="12">
      <c r="A12" s="4" t="inlineStr">
        <is>
          <t>SG&amp;A Expense</t>
        </is>
      </c>
      <c r="C12" s="5" t="n">
        <v>184.815</v>
      </c>
      <c r="D12" s="5" t="n">
        <v>207.911</v>
      </c>
      <c r="E12" s="5" t="n">
        <v>246.486</v>
      </c>
      <c r="F12" s="5" t="n">
        <v>307.564</v>
      </c>
    </row>
    <row r="13">
      <c r="A13" s="2" t="inlineStr">
        <is>
          <t>Operating Income (EBIT)</t>
        </is>
      </c>
      <c r="C13" s="5" t="n">
        <v>-65.19499999999999</v>
      </c>
      <c r="D13" s="5" t="n">
        <v>-13.259</v>
      </c>
      <c r="E13" s="5" t="n">
        <v>62.595</v>
      </c>
      <c r="F13" s="5" t="n">
        <v>135.57</v>
      </c>
    </row>
    <row r="14">
      <c r="A14" s="4" t="inlineStr">
        <is>
          <t xml:space="preserve">  EBIT Margin</t>
        </is>
      </c>
      <c r="C14" s="11" t="n">
        <v>-0.1764435242696112</v>
      </c>
      <c r="D14" s="11" t="n">
        <v>-0.0249647435837088</v>
      </c>
      <c r="E14" s="11" t="n">
        <v>0.08368047014534293</v>
      </c>
      <c r="F14" s="11" t="n">
        <v>0.1306586712079638</v>
      </c>
    </row>
    <row r="16">
      <c r="A16" s="4" t="inlineStr">
        <is>
          <t>Interest Expense</t>
        </is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4" t="inlineStr">
        <is>
          <t>Tax Provision</t>
        </is>
      </c>
      <c r="C17" s="5" t="n">
        <v>0.9379999999999999</v>
      </c>
      <c r="D17" s="5" t="n">
        <v>1.71</v>
      </c>
      <c r="E17" s="5" t="n">
        <v>13.732</v>
      </c>
      <c r="F17" s="5" t="n">
        <v>-231.655</v>
      </c>
    </row>
    <row r="18">
      <c r="A18" s="2" t="inlineStr">
        <is>
          <t>Net Income</t>
        </is>
      </c>
      <c r="C18" s="5" t="n">
        <v>-59.574</v>
      </c>
      <c r="D18" s="5" t="n">
        <v>16.067</v>
      </c>
      <c r="E18" s="5" t="n">
        <v>88.574</v>
      </c>
      <c r="F18" s="5" t="n">
        <v>414.065</v>
      </c>
    </row>
    <row r="19">
      <c r="A19" s="4" t="inlineStr">
        <is>
          <t xml:space="preserve">  Net Margin</t>
        </is>
      </c>
      <c r="C19" s="11" t="n">
        <v>-0.1612308691592579</v>
      </c>
      <c r="D19" s="11" t="n">
        <v>0.03025179388788365</v>
      </c>
      <c r="E19" s="11" t="n">
        <v>0.1184106392308268</v>
      </c>
      <c r="F19" s="11" t="n">
        <v>0.399064562172498</v>
      </c>
    </row>
    <row r="21">
      <c r="A21" s="2" t="inlineStr">
        <is>
          <t>EBITDA</t>
        </is>
      </c>
      <c r="C21" s="5" t="n">
        <v>-60.325</v>
      </c>
      <c r="D21" s="5" t="n">
        <v>-6.164</v>
      </c>
      <c r="E21" s="5" t="n">
        <v>73.449</v>
      </c>
      <c r="F21" s="5" t="n">
        <v>149.961</v>
      </c>
    </row>
    <row r="22">
      <c r="A22" s="4" t="inlineStr">
        <is>
          <t xml:space="preserve">  EBITDA Margin</t>
        </is>
      </c>
      <c r="C22" s="11" t="n">
        <v>-0.163263372982043</v>
      </c>
      <c r="D22" s="11" t="n">
        <v>-0.01160590387283966</v>
      </c>
      <c r="E22" s="11" t="n">
        <v>0.09819069976364395</v>
      </c>
      <c r="F22" s="11" t="n">
        <v>0.1445283247991257</v>
      </c>
    </row>
    <row r="23">
      <c r="A23" s="4" t="inlineStr">
        <is>
          <t>Diluted EPS</t>
        </is>
      </c>
      <c r="C23" s="12" t="n">
        <v>-1.51</v>
      </c>
      <c r="D23" s="12" t="n">
        <v>0.35</v>
      </c>
      <c r="E23" s="12" t="n">
        <v>1.971114</v>
      </c>
      <c r="F23" s="12" t="n">
        <v>8.57</v>
      </c>
    </row>
    <row r="24">
      <c r="A24" s="4" t="inlineStr">
        <is>
          <t>D&amp;A</t>
        </is>
      </c>
      <c r="C24" s="5" t="n">
        <v>4.87</v>
      </c>
      <c r="D24" s="5" t="n">
        <v>7.095</v>
      </c>
      <c r="E24" s="5" t="n">
        <v>10.854</v>
      </c>
      <c r="F24" s="5" t="n">
        <v>14.391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608.1799999999999</v>
      </c>
      <c r="D28" s="5" t="n">
        <v>747.61</v>
      </c>
      <c r="E28" s="5" t="n">
        <v>785.7910000000001</v>
      </c>
      <c r="F28" s="5" t="n">
        <v>1036.389</v>
      </c>
    </row>
    <row r="29">
      <c r="A29" s="4" t="inlineStr">
        <is>
          <t>Current Assets</t>
        </is>
      </c>
      <c r="C29" s="5" t="n">
        <v>697.183</v>
      </c>
      <c r="D29" s="5" t="n">
        <v>897.798</v>
      </c>
      <c r="E29" s="5" t="n">
        <v>1101.588</v>
      </c>
      <c r="F29" s="5" t="n">
        <v>1436.606</v>
      </c>
    </row>
    <row r="30">
      <c r="A30" s="4" t="inlineStr">
        <is>
          <t>Net PP&amp;E</t>
        </is>
      </c>
      <c r="C30" s="5" t="n">
        <v>35.477</v>
      </c>
      <c r="D30" s="5" t="n">
        <v>30.895</v>
      </c>
      <c r="E30" s="5" t="n">
        <v>66.438</v>
      </c>
      <c r="F30" s="5" t="n">
        <v>116.677</v>
      </c>
    </row>
    <row r="31">
      <c r="A31" s="4" t="inlineStr">
        <is>
          <t>Goodwill</t>
        </is>
      </c>
      <c r="C31" s="5" t="n">
        <v>4.05</v>
      </c>
      <c r="D31" s="5" t="n">
        <v>4.05</v>
      </c>
      <c r="E31" s="5" t="n">
        <v>10.538</v>
      </c>
      <c r="F31" s="5" t="n">
        <v>35.335</v>
      </c>
    </row>
    <row r="32">
      <c r="A32" s="2" t="inlineStr">
        <is>
          <t>Total Assets</t>
        </is>
      </c>
      <c r="C32" s="5" t="n">
        <v>747.347</v>
      </c>
      <c r="D32" s="5" t="n">
        <v>953.957</v>
      </c>
      <c r="E32" s="5" t="n">
        <v>1301.728</v>
      </c>
      <c r="F32" s="5" t="n">
        <v>1992.182</v>
      </c>
    </row>
    <row r="34">
      <c r="A34" s="4" t="inlineStr">
        <is>
          <t>Current Liabilities</t>
        </is>
      </c>
      <c r="C34" s="5" t="n">
        <v>181.766</v>
      </c>
      <c r="D34" s="5" t="n">
        <v>277.362</v>
      </c>
      <c r="E34" s="5" t="n">
        <v>422.231</v>
      </c>
      <c r="F34" s="5" t="n">
        <v>551.148</v>
      </c>
    </row>
    <row r="35">
      <c r="A35" s="4" t="inlineStr">
        <is>
          <t>Total Debt</t>
        </is>
      </c>
      <c r="C35" s="5" t="n">
        <v>28.406</v>
      </c>
      <c r="D35" s="5" t="n">
        <v>21.094</v>
      </c>
      <c r="E35" s="5" t="n">
        <v>54.656</v>
      </c>
      <c r="F35" s="5" t="n">
        <v>93.779</v>
      </c>
    </row>
    <row r="36">
      <c r="A36" s="2" t="inlineStr">
        <is>
          <t>Total Liabilities</t>
        </is>
      </c>
      <c r="C36" s="5" t="n">
        <v>205.269</v>
      </c>
      <c r="D36" s="5" t="n">
        <v>298.456</v>
      </c>
      <c r="E36" s="5" t="n">
        <v>477.178</v>
      </c>
      <c r="F36" s="5" t="n">
        <v>645.176</v>
      </c>
    </row>
    <row r="38">
      <c r="A38" s="2" t="inlineStr">
        <is>
          <t>Total Equity</t>
        </is>
      </c>
      <c r="C38" s="5" t="n">
        <v>542.078</v>
      </c>
      <c r="D38" s="5" t="n">
        <v>655.501</v>
      </c>
      <c r="E38" s="5" t="n">
        <v>824.55</v>
      </c>
      <c r="F38" s="5" t="n">
        <v>1347.006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53.656</v>
      </c>
      <c r="D42" s="5" t="n">
        <v>153.614</v>
      </c>
      <c r="E42" s="5" t="n">
        <v>285.513</v>
      </c>
      <c r="F42" s="5" t="n">
        <v>387.823</v>
      </c>
    </row>
    <row r="43">
      <c r="A43" s="4" t="inlineStr">
        <is>
          <t>Capital Expenditure</t>
        </is>
      </c>
      <c r="C43" s="5" t="n">
        <v>-10.124</v>
      </c>
      <c r="D43" s="5" t="n">
        <v>-13.684</v>
      </c>
      <c r="E43" s="5" t="n">
        <v>-21.14</v>
      </c>
      <c r="F43" s="5" t="n">
        <v>-27.399</v>
      </c>
    </row>
    <row r="44">
      <c r="A44" s="2" t="inlineStr">
        <is>
          <t>Free Cash Flow</t>
        </is>
      </c>
      <c r="C44" s="5" t="n">
        <v>43.532</v>
      </c>
      <c r="D44" s="5" t="n">
        <v>139.93</v>
      </c>
      <c r="E44" s="5" t="n">
        <v>264.373</v>
      </c>
      <c r="F44" s="5" t="n">
        <v>360.424</v>
      </c>
    </row>
    <row r="46">
      <c r="A46" s="4" t="inlineStr">
        <is>
          <t>D&amp;A</t>
        </is>
      </c>
      <c r="C46" s="5" t="n">
        <v>4.87</v>
      </c>
      <c r="D46" s="5" t="n">
        <v>7.095</v>
      </c>
      <c r="E46" s="5" t="n">
        <v>10.854</v>
      </c>
      <c r="F46" s="5" t="n">
        <v>14.391</v>
      </c>
    </row>
    <row r="47">
      <c r="A47" s="4" t="inlineStr">
        <is>
          <t>Stock-Based Compensation</t>
        </is>
      </c>
      <c r="C47" s="5" t="n">
        <v>73.81999999999999</v>
      </c>
      <c r="D47" s="5" t="n">
        <v>95.221</v>
      </c>
      <c r="E47" s="5" t="n">
        <v>110.477</v>
      </c>
      <c r="F47" s="5" t="n">
        <v>137.437</v>
      </c>
    </row>
    <row r="48">
      <c r="A48" s="4" t="inlineStr">
        <is>
          <t>Change in Working Capital</t>
        </is>
      </c>
      <c r="C48" s="5" t="n">
        <v>34.54</v>
      </c>
      <c r="D48" s="5" t="n">
        <v>34.898</v>
      </c>
      <c r="E48" s="5" t="n">
        <v>75.92100000000001</v>
      </c>
      <c r="F48" s="5" t="n">
        <v>48.966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Duolingo, Inc. (DUOL)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Application</t>
        </is>
      </c>
      <c r="C8" s="5" t="n">
        <v>369.495</v>
      </c>
      <c r="D8" s="5" t="n">
        <v>531.109</v>
      </c>
      <c r="E8" s="5" t="n">
        <v>748.024</v>
      </c>
      <c r="F8" s="5" t="n">
        <v>1037.589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99.431</v>
      </c>
      <c r="D16" s="5" t="n">
        <v>142.105</v>
      </c>
      <c r="E16" s="5" t="n">
        <v>203.645</v>
      </c>
      <c r="F16" s="5" t="n">
        <v>288.132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184.815</v>
      </c>
      <c r="D20" s="5" t="n">
        <v>207.911</v>
      </c>
      <c r="E20" s="5" t="n">
        <v>246.486</v>
      </c>
      <c r="F20" s="5" t="n">
        <v>307.564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150.444</v>
      </c>
      <c r="D21" s="5" t="n">
        <v>194.352</v>
      </c>
      <c r="E21" s="5" t="n">
        <v>235.298</v>
      </c>
      <c r="F21" s="5" t="n">
        <v>306.323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4.87</v>
      </c>
      <c r="D22" s="5" t="n">
        <v>7.095</v>
      </c>
      <c r="E22" s="5" t="n">
        <v>10.854</v>
      </c>
      <c r="F22" s="5" t="n">
        <v>14.391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0.9379999999999999</v>
      </c>
      <c r="D31" s="5" t="n">
        <v>1.71</v>
      </c>
      <c r="E31" s="5" t="n">
        <v>13.732</v>
      </c>
      <c r="F31" s="5" t="n">
        <v>-231.655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34.54</v>
      </c>
      <c r="D39" s="5" t="n">
        <v>34.898</v>
      </c>
      <c r="E39" s="5" t="n">
        <v>75.92100000000001</v>
      </c>
      <c r="F39" s="5" t="n">
        <v>48.966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-10.124</v>
      </c>
      <c r="D42" s="5" t="n">
        <v>-13.684</v>
      </c>
      <c r="E42" s="5" t="n">
        <v>-21.14</v>
      </c>
      <c r="F42" s="5" t="n">
        <v>-27.399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Duolingo, Inc. (DUOL)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107.935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942.61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40.237065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C33/107.935-1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12x</t>
        </is>
      </c>
      <c r="D38" s="1" t="inlineStr">
        <is>
          <t>14x</t>
        </is>
      </c>
      <c r="E38" s="1" t="inlineStr">
        <is>
          <t>16x</t>
        </is>
      </c>
      <c r="F38" s="1" t="inlineStr">
        <is>
          <t>18x</t>
        </is>
      </c>
      <c r="G38" s="1" t="inlineStr">
        <is>
          <t>20x</t>
        </is>
      </c>
    </row>
    <row r="39">
      <c r="A39" s="21" t="n">
        <v>0.07000000000000001</v>
      </c>
      <c r="C39" s="22">
        <f>(G$12/(1+$A$39)^1+H$12/(1+$A$39)^2+I$12/(1+$A$39)^3+J$12/(1+$A$39)^4+K$12/(1+$A$39)^5+K$8*12/(1+$A$39)^5+$C$29)/$C$32</f>
        <v/>
      </c>
      <c r="D39" s="22">
        <f>(G$12/(1+$A$39)^1+H$12/(1+$A$39)^2+I$12/(1+$A$39)^3+J$12/(1+$A$39)^4+K$12/(1+$A$39)^5+K$8*14/(1+$A$39)^5+$C$29)/$C$32</f>
        <v/>
      </c>
      <c r="E39" s="22">
        <f>(G$12/(1+$A$39)^1+H$12/(1+$A$39)^2+I$12/(1+$A$39)^3+J$12/(1+$A$39)^4+K$12/(1+$A$39)^5+K$8*16/(1+$A$39)^5+$C$29)/$C$32</f>
        <v/>
      </c>
      <c r="F39" s="22">
        <f>(G$12/(1+$A$39)^1+H$12/(1+$A$39)^2+I$12/(1+$A$39)^3+J$12/(1+$A$39)^4+K$12/(1+$A$39)^5+K$8*18/(1+$A$39)^5+$C$29)/$C$32</f>
        <v/>
      </c>
      <c r="G39" s="22">
        <f>(G$12/(1+$A$39)^1+H$12/(1+$A$39)^2+I$12/(1+$A$39)^3+J$12/(1+$A$39)^4+K$12/(1+$A$39)^5+K$8*20/(1+$A$39)^5+$C$29)/$C$32</f>
        <v/>
      </c>
    </row>
    <row r="40">
      <c r="A40" s="21" t="n">
        <v>0.08</v>
      </c>
      <c r="C40" s="22">
        <f>(G$12/(1+$A$40)^1+H$12/(1+$A$40)^2+I$12/(1+$A$40)^3+J$12/(1+$A$40)^4+K$12/(1+$A$40)^5+K$8*12/(1+$A$40)^5+$C$29)/$C$32</f>
        <v/>
      </c>
      <c r="D40" s="22">
        <f>(G$12/(1+$A$40)^1+H$12/(1+$A$40)^2+I$12/(1+$A$40)^3+J$12/(1+$A$40)^4+K$12/(1+$A$40)^5+K$8*14/(1+$A$40)^5+$C$29)/$C$32</f>
        <v/>
      </c>
      <c r="E40" s="22">
        <f>(G$12/(1+$A$40)^1+H$12/(1+$A$40)^2+I$12/(1+$A$40)^3+J$12/(1+$A$40)^4+K$12/(1+$A$40)^5+K$8*16/(1+$A$40)^5+$C$29)/$C$32</f>
        <v/>
      </c>
      <c r="F40" s="22">
        <f>(G$12/(1+$A$40)^1+H$12/(1+$A$40)^2+I$12/(1+$A$40)^3+J$12/(1+$A$40)^4+K$12/(1+$A$40)^5+K$8*18/(1+$A$40)^5+$C$29)/$C$32</f>
        <v/>
      </c>
      <c r="G40" s="22">
        <f>(G$12/(1+$A$40)^1+H$12/(1+$A$40)^2+I$12/(1+$A$40)^3+J$12/(1+$A$40)^4+K$12/(1+$A$40)^5+K$8*20/(1+$A$40)^5+$C$29)/$C$32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(G$12/(1+$A$41)^1+H$12/(1+$A$41)^2+I$12/(1+$A$41)^3+J$12/(1+$A$41)^4+K$12/(1+$A$41)^5+K$8*12/(1+$A$41)^5+$C$29)/$C$32</f>
        <v/>
      </c>
      <c r="D41" s="22">
        <f>(G$12/(1+$A$41)^1+H$12/(1+$A$41)^2+I$12/(1+$A$41)^3+J$12/(1+$A$41)^4+K$12/(1+$A$41)^5+K$8*14/(1+$A$41)^5+$C$29)/$C$32</f>
        <v/>
      </c>
      <c r="E41" s="22">
        <f>(G$12/(1+$A$41)^1+H$12/(1+$A$41)^2+I$12/(1+$A$41)^3+J$12/(1+$A$41)^4+K$12/(1+$A$41)^5+K$8*16/(1+$A$41)^5+$C$29)/$C$32</f>
        <v/>
      </c>
      <c r="F41" s="22">
        <f>(G$12/(1+$A$41)^1+H$12/(1+$A$41)^2+I$12/(1+$A$41)^3+J$12/(1+$A$41)^4+K$12/(1+$A$41)^5+K$8*18/(1+$A$41)^5+$C$29)/$C$32</f>
        <v/>
      </c>
      <c r="G41" s="22">
        <f>(G$12/(1+$A$41)^1+H$12/(1+$A$41)^2+I$12/(1+$A$41)^3+J$12/(1+$A$41)^4+K$12/(1+$A$41)^5+K$8*20/(1+$A$41)^5+$C$29)/$C$32</f>
        <v/>
      </c>
    </row>
    <row r="42">
      <c r="A42" s="21" t="n">
        <v>0.1</v>
      </c>
      <c r="C42" s="22">
        <f>(G$12/(1+$A$42)^1+H$12/(1+$A$42)^2+I$12/(1+$A$42)^3+J$12/(1+$A$42)^4+K$12/(1+$A$42)^5+K$8*12/(1+$A$42)^5+$C$29)/$C$32</f>
        <v/>
      </c>
      <c r="D42" s="22">
        <f>(G$12/(1+$A$42)^1+H$12/(1+$A$42)^2+I$12/(1+$A$42)^3+J$12/(1+$A$42)^4+K$12/(1+$A$42)^5+K$8*14/(1+$A$42)^5+$C$29)/$C$32</f>
        <v/>
      </c>
      <c r="E42" s="23">
        <f>(G$12/(1+$A$42)^1+H$12/(1+$A$42)^2+I$12/(1+$A$42)^3+J$12/(1+$A$42)^4+K$12/(1+$A$42)^5+K$8*16/(1+$A$42)^5+$C$29)/$C$32</f>
        <v/>
      </c>
      <c r="F42" s="22">
        <f>(G$12/(1+$A$42)^1+H$12/(1+$A$42)^2+I$12/(1+$A$42)^3+J$12/(1+$A$42)^4+K$12/(1+$A$42)^5+K$8*18/(1+$A$42)^5+$C$29)/$C$32</f>
        <v/>
      </c>
      <c r="G42" s="22">
        <f>(G$12/(1+$A$42)^1+H$12/(1+$A$42)^2+I$12/(1+$A$42)^3+J$12/(1+$A$42)^4+K$12/(1+$A$42)^5+K$8*20/(1+$A$42)^5+$C$29)/$C$32</f>
        <v/>
      </c>
    </row>
    <row r="43">
      <c r="A43" s="21" t="n">
        <v>0.11</v>
      </c>
      <c r="C43" s="22">
        <f>(G$12/(1+$A$43)^1+H$12/(1+$A$43)^2+I$12/(1+$A$43)^3+J$12/(1+$A$43)^4+K$12/(1+$A$43)^5+K$8*12/(1+$A$43)^5+$C$29)/$C$32</f>
        <v/>
      </c>
      <c r="D43" s="22">
        <f>(G$12/(1+$A$43)^1+H$12/(1+$A$43)^2+I$12/(1+$A$43)^3+J$12/(1+$A$43)^4+K$12/(1+$A$43)^5+K$8*14/(1+$A$43)^5+$C$29)/$C$32</f>
        <v/>
      </c>
      <c r="E43" s="22">
        <f>(G$12/(1+$A$43)^1+H$12/(1+$A$43)^2+I$12/(1+$A$43)^3+J$12/(1+$A$43)^4+K$12/(1+$A$43)^5+K$8*16/(1+$A$43)^5+$C$29)/$C$32</f>
        <v/>
      </c>
      <c r="F43" s="22">
        <f>(G$12/(1+$A$43)^1+H$12/(1+$A$43)^2+I$12/(1+$A$43)^3+J$12/(1+$A$43)^4+K$12/(1+$A$43)^5+K$8*18/(1+$A$43)^5+$C$29)/$C$32</f>
        <v/>
      </c>
      <c r="G43" s="22">
        <f>(G$12/(1+$A$43)^1+H$12/(1+$A$43)^2+I$12/(1+$A$43)^3+J$12/(1+$A$43)^4+K$12/(1+$A$43)^5+K$8*20/(1+$A$43)^5+$C$29)/$C$32</f>
        <v/>
      </c>
    </row>
    <row r="44">
      <c r="A44" s="21" t="n">
        <v>0.12</v>
      </c>
      <c r="C44" s="22">
        <f>(G$12/(1+$A$44)^1+H$12/(1+$A$44)^2+I$12/(1+$A$44)^3+J$12/(1+$A$44)^4+K$12/(1+$A$44)^5+K$8*12/(1+$A$44)^5+$C$29)/$C$32</f>
        <v/>
      </c>
      <c r="D44" s="22">
        <f>(G$12/(1+$A$44)^1+H$12/(1+$A$44)^2+I$12/(1+$A$44)^3+J$12/(1+$A$44)^4+K$12/(1+$A$44)^5+K$8*14/(1+$A$44)^5+$C$29)/$C$32</f>
        <v/>
      </c>
      <c r="E44" s="22">
        <f>(G$12/(1+$A$44)^1+H$12/(1+$A$44)^2+I$12/(1+$A$44)^3+J$12/(1+$A$44)^4+K$12/(1+$A$44)^5+K$8*16/(1+$A$44)^5+$C$29)/$C$32</f>
        <v/>
      </c>
      <c r="F44" s="22">
        <f>(G$12/(1+$A$44)^1+H$12/(1+$A$44)^2+I$12/(1+$A$44)^3+J$12/(1+$A$44)^4+K$12/(1+$A$44)^5+K$8*18/(1+$A$44)^5+$C$29)/$C$32</f>
        <v/>
      </c>
      <c r="G44" s="22">
        <f>(G$12/(1+$A$44)^1+H$12/(1+$A$44)^2+I$12/(1+$A$44)^3+J$12/(1+$A$44)^4+K$12/(1+$A$44)^5+K$8*20/(1+$A$44)^5+$C$29)/$C$32</f>
        <v/>
      </c>
    </row>
    <row r="45">
      <c r="A45" s="21" t="n">
        <v>0.13</v>
      </c>
      <c r="C45" s="22">
        <f>(G$12/(1+$A$45)^1+H$12/(1+$A$45)^2+I$12/(1+$A$45)^3+J$12/(1+$A$45)^4+K$12/(1+$A$45)^5+K$8*12/(1+$A$45)^5+$C$29)/$C$32</f>
        <v/>
      </c>
      <c r="D45" s="22">
        <f>(G$12/(1+$A$45)^1+H$12/(1+$A$45)^2+I$12/(1+$A$45)^3+J$12/(1+$A$45)^4+K$12/(1+$A$45)^5+K$8*14/(1+$A$45)^5+$C$29)/$C$32</f>
        <v/>
      </c>
      <c r="E45" s="22">
        <f>(G$12/(1+$A$45)^1+H$12/(1+$A$45)^2+I$12/(1+$A$45)^3+J$12/(1+$A$45)^4+K$12/(1+$A$45)^5+K$8*16/(1+$A$45)^5+$C$29)/$C$32</f>
        <v/>
      </c>
      <c r="F45" s="22">
        <f>(G$12/(1+$A$45)^1+H$12/(1+$A$45)^2+I$12/(1+$A$45)^3+J$12/(1+$A$45)^4+K$12/(1+$A$45)^5+K$8*18/(1+$A$45)^5+$C$29)/$C$32</f>
        <v/>
      </c>
      <c r="G45" s="22">
        <f>(G$12/(1+$A$45)^1+H$12/(1+$A$45)^2+I$12/(1+$A$45)^3+J$12/(1+$A$45)^4+K$12/(1+$A$45)^5+K$8*20/(1+$A$45)^5+$C$29)/$C$32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2026-05-11T16:38:19Z</dcterms:created>
  <dcterms:modified xmlns:dcterms="http://purl.org/dc/terms/" xmlns:xsi="http://www.w3.org/2001/XMLSchema-instance" xsi:type="dcterms:W3CDTF">2026-05-11T16:38:19Z</dcterms:modified>
</cp:coreProperties>
</file>