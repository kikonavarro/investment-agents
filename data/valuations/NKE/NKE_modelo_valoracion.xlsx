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NIKE, Inc. (NKE)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Footwear &amp; Accessories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46710</v>
      </c>
      <c r="D7" s="5" t="n">
        <v>51217</v>
      </c>
      <c r="E7" s="5" t="n">
        <v>51362</v>
      </c>
      <c r="F7" s="5" t="n">
        <v>46309</v>
      </c>
    </row>
    <row r="8">
      <c r="A8" s="4" t="inlineStr">
        <is>
          <t xml:space="preserve">  Revenue Growth - Base</t>
        </is>
      </c>
      <c r="G8" s="6" t="n">
        <v>0.006</v>
      </c>
      <c r="H8" s="6" t="n">
        <v>0.0054</v>
      </c>
      <c r="I8" s="6" t="n">
        <v>0.0048</v>
      </c>
      <c r="J8" s="6" t="n">
        <v>0.0042</v>
      </c>
      <c r="K8" s="6" t="n">
        <v>0.0036</v>
      </c>
    </row>
    <row r="9">
      <c r="A9" s="4" t="inlineStr">
        <is>
          <t xml:space="preserve">  Revenue Growth - Bull</t>
        </is>
      </c>
      <c r="G9" s="6" t="n">
        <v>0.021</v>
      </c>
      <c r="H9" s="6" t="n">
        <v>0.0189</v>
      </c>
      <c r="I9" s="6" t="n">
        <v>0.0168</v>
      </c>
      <c r="J9" s="6" t="n">
        <v>0.0147</v>
      </c>
      <c r="K9" s="6" t="n">
        <v>0.0126</v>
      </c>
    </row>
    <row r="10">
      <c r="A10" s="4" t="inlineStr">
        <is>
          <t xml:space="preserve">  Revenue Growth - Bear</t>
        </is>
      </c>
      <c r="G10" s="6" t="n">
        <v>0.001000000000000001</v>
      </c>
      <c r="H10" s="6" t="n">
        <v>0.011</v>
      </c>
      <c r="I10" s="6" t="n">
        <v>0.021</v>
      </c>
      <c r="J10" s="6" t="n">
        <v>0.031</v>
      </c>
      <c r="K10" s="6" t="n">
        <v>0.041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0.4420079866175833</v>
      </c>
      <c r="H15" s="6" t="n">
        <v>0.4420079866175833</v>
      </c>
      <c r="I15" s="6" t="n">
        <v>0.4420079866175833</v>
      </c>
      <c r="J15" s="6" t="n">
        <v>0.4420079866175833</v>
      </c>
      <c r="K15" s="6" t="n">
        <v>0.4420079866175833</v>
      </c>
    </row>
    <row r="16">
      <c r="A16" s="4" t="inlineStr">
        <is>
          <t>Gross Margin - Bull</t>
        </is>
      </c>
      <c r="G16" s="6" t="n">
        <v>0.4520079866175833</v>
      </c>
      <c r="H16" s="6" t="n">
        <v>0.4520079866175833</v>
      </c>
      <c r="I16" s="6" t="n">
        <v>0.4520079866175833</v>
      </c>
      <c r="J16" s="6" t="n">
        <v>0.4520079866175833</v>
      </c>
      <c r="K16" s="6" t="n">
        <v>0.4520079866175833</v>
      </c>
    </row>
    <row r="17">
      <c r="A17" s="4" t="inlineStr">
        <is>
          <t>Gross Margin - Bear</t>
        </is>
      </c>
      <c r="G17" s="6" t="n">
        <v>0.4320079866175833</v>
      </c>
      <c r="H17" s="6" t="n">
        <v>0.4320079866175833</v>
      </c>
      <c r="I17" s="6" t="n">
        <v>0.4320079866175833</v>
      </c>
      <c r="J17" s="6" t="n">
        <v>0.4320079866175833</v>
      </c>
      <c r="K17" s="6" t="n">
        <v>0.4320079866175833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0.3267064312122738</v>
      </c>
      <c r="H20" s="6" t="n">
        <v>0.3267064312122738</v>
      </c>
      <c r="I20" s="6" t="n">
        <v>0.3267064312122738</v>
      </c>
      <c r="J20" s="6" t="n">
        <v>0.3267064312122738</v>
      </c>
      <c r="K20" s="6" t="n">
        <v>0.3267064312122738</v>
      </c>
    </row>
    <row r="21">
      <c r="A21" s="4" t="inlineStr">
        <is>
          <t>SG&amp;A % Revenue - Bull</t>
        </is>
      </c>
      <c r="G21" s="6" t="n">
        <v>0.3217064312122738</v>
      </c>
      <c r="H21" s="6" t="n">
        <v>0.3217064312122738</v>
      </c>
      <c r="I21" s="6" t="n">
        <v>0.3217064312122738</v>
      </c>
      <c r="J21" s="6" t="n">
        <v>0.3217064312122738</v>
      </c>
      <c r="K21" s="6" t="n">
        <v>0.3217064312122738</v>
      </c>
    </row>
    <row r="22">
      <c r="A22" s="4" t="inlineStr">
        <is>
          <t>SG&amp;A % Revenue - Bear</t>
        </is>
      </c>
      <c r="G22" s="6" t="n">
        <v>0.3317064312122738</v>
      </c>
      <c r="H22" s="6" t="n">
        <v>0.3317064312122738</v>
      </c>
      <c r="I22" s="6" t="n">
        <v>0.3317064312122738</v>
      </c>
      <c r="J22" s="6" t="n">
        <v>0.3317064312122738</v>
      </c>
      <c r="K22" s="6" t="n">
        <v>0.3317064312122738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0.05</v>
      </c>
      <c r="H25" s="6" t="n">
        <v>0.05</v>
      </c>
      <c r="I25" s="6" t="n">
        <v>0.05</v>
      </c>
      <c r="J25" s="6" t="n">
        <v>0.05</v>
      </c>
      <c r="K25" s="6" t="n">
        <v>0.05</v>
      </c>
    </row>
    <row r="26">
      <c r="A26" s="4" t="inlineStr">
        <is>
          <t>R&amp;D % Revenue - Bull</t>
        </is>
      </c>
      <c r="G26" s="6" t="n">
        <v>0.05</v>
      </c>
      <c r="H26" s="6" t="n">
        <v>0.05</v>
      </c>
      <c r="I26" s="6" t="n">
        <v>0.05</v>
      </c>
      <c r="J26" s="6" t="n">
        <v>0.05</v>
      </c>
      <c r="K26" s="6" t="n">
        <v>0.05</v>
      </c>
    </row>
    <row r="27">
      <c r="A27" s="4" t="inlineStr">
        <is>
          <t>R&amp;D % Revenue - Bear</t>
        </is>
      </c>
      <c r="G27" s="6" t="n">
        <v>0.05</v>
      </c>
      <c r="H27" s="6" t="n">
        <v>0.05</v>
      </c>
      <c r="I27" s="6" t="n">
        <v>0.05</v>
      </c>
      <c r="J27" s="6" t="n">
        <v>0.05</v>
      </c>
      <c r="K27" s="6" t="n">
        <v>0.05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0.01715886759972625</v>
      </c>
      <c r="H30" s="6" t="n">
        <v>0.01715886759972625</v>
      </c>
      <c r="I30" s="6" t="n">
        <v>0.01715886759972625</v>
      </c>
      <c r="J30" s="6" t="n">
        <v>0.01715886759972625</v>
      </c>
      <c r="K30" s="6" t="n">
        <v>0.01715886759972625</v>
      </c>
    </row>
    <row r="31">
      <c r="A31" s="4" t="inlineStr">
        <is>
          <t>CapEx % Revenue</t>
        </is>
      </c>
      <c r="G31" s="6" t="n">
        <v>0.01506052328934441</v>
      </c>
      <c r="H31" s="6" t="n">
        <v>0.01506052328934441</v>
      </c>
      <c r="I31" s="6" t="n">
        <v>0.01506052328934441</v>
      </c>
      <c r="J31" s="6" t="n">
        <v>0.01506052328934441</v>
      </c>
      <c r="K31" s="6" t="n">
        <v>0.01506052328934441</v>
      </c>
    </row>
    <row r="32">
      <c r="A32" s="4" t="inlineStr">
        <is>
          <t>Tax Rate</t>
        </is>
      </c>
      <c r="G32" s="6" t="n">
        <v>0.1550504361239012</v>
      </c>
      <c r="H32" s="6" t="n">
        <v>0.1550504361239012</v>
      </c>
      <c r="I32" s="6" t="n">
        <v>0.1550504361239012</v>
      </c>
      <c r="J32" s="6" t="n">
        <v>0.1550504361239012</v>
      </c>
      <c r="K32" s="6" t="n">
        <v>0.1550504361239012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0.106</v>
      </c>
    </row>
    <row r="36">
      <c r="A36" s="4" t="inlineStr">
        <is>
          <t>WACC - Bull</t>
        </is>
      </c>
      <c r="C36" s="6" t="n">
        <v>0.096</v>
      </c>
    </row>
    <row r="37">
      <c r="A37" s="4" t="inlineStr">
        <is>
          <t>WACC - Bear</t>
        </is>
      </c>
      <c r="C37" s="6" t="n">
        <v>0.116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12</v>
      </c>
    </row>
    <row r="41">
      <c r="A41" s="4" t="inlineStr">
        <is>
          <t>Terminal Value Multiple - Bull</t>
        </is>
      </c>
      <c r="C41" s="9" t="n">
        <v>14</v>
      </c>
    </row>
    <row r="42">
      <c r="A42" s="4" t="inlineStr">
        <is>
          <t>Terminal Value Multiple - Bear</t>
        </is>
      </c>
      <c r="C42" s="9" t="n">
        <v>10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NIKE, Inc. (NKE)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46710</v>
      </c>
      <c r="D6" s="5" t="n">
        <v>51217</v>
      </c>
      <c r="E6" s="5" t="n">
        <v>51362</v>
      </c>
      <c r="F6" s="5" t="n">
        <v>46309</v>
      </c>
    </row>
    <row r="7">
      <c r="A7" s="4" t="inlineStr">
        <is>
          <t>Cost of Revenue</t>
        </is>
      </c>
      <c r="C7" s="5" t="n">
        <v>25231</v>
      </c>
      <c r="D7" s="5" t="n">
        <v>28925</v>
      </c>
      <c r="E7" s="5" t="n">
        <v>28475</v>
      </c>
      <c r="F7" s="5" t="n">
        <v>26519</v>
      </c>
    </row>
    <row r="8">
      <c r="A8" s="2" t="inlineStr">
        <is>
          <t>Gross Profit</t>
        </is>
      </c>
      <c r="C8" s="5" t="n">
        <v>21479</v>
      </c>
      <c r="D8" s="5" t="n">
        <v>22292</v>
      </c>
      <c r="E8" s="5" t="n">
        <v>22887</v>
      </c>
      <c r="F8" s="5" t="n">
        <v>19790</v>
      </c>
    </row>
    <row r="9">
      <c r="A9" s="4" t="inlineStr">
        <is>
          <t xml:space="preserve">  Gross Margin</t>
        </is>
      </c>
      <c r="C9" s="11" t="n">
        <v>0.4598372939413402</v>
      </c>
      <c r="D9" s="11" t="n">
        <v>0.4352461096901419</v>
      </c>
      <c r="E9" s="11" t="n">
        <v>0.445601806783225</v>
      </c>
      <c r="F9" s="11" t="n">
        <v>0.4273467360556263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14804</v>
      </c>
      <c r="D12" s="5" t="n">
        <v>16377</v>
      </c>
      <c r="E12" s="5" t="n">
        <v>16576</v>
      </c>
      <c r="F12" s="5" t="n">
        <v>16088</v>
      </c>
    </row>
    <row r="13">
      <c r="A13" s="2" t="inlineStr">
        <is>
          <t>Operating Income (EBIT)</t>
        </is>
      </c>
      <c r="C13" s="5" t="n">
        <v>6675</v>
      </c>
      <c r="D13" s="5" t="n">
        <v>5915</v>
      </c>
      <c r="E13" s="5" t="n">
        <v>6311</v>
      </c>
      <c r="F13" s="5" t="n">
        <v>3702</v>
      </c>
    </row>
    <row r="14">
      <c r="A14" s="4" t="inlineStr">
        <is>
          <t xml:space="preserve">  EBIT Margin</t>
        </is>
      </c>
      <c r="C14" s="11" t="n">
        <v>0.142903018625562</v>
      </c>
      <c r="D14" s="11" t="n">
        <v>0.1154889977937013</v>
      </c>
      <c r="E14" s="11" t="n">
        <v>0.1228729410848487</v>
      </c>
      <c r="F14" s="11" t="n">
        <v>0.07994126411712627</v>
      </c>
    </row>
    <row r="16">
      <c r="A16" s="4" t="inlineStr">
        <is>
          <t>Interest Expense</t>
        </is>
      </c>
      <c r="C16" s="5" t="n">
        <v>0</v>
      </c>
      <c r="D16" s="5" t="n">
        <v>0</v>
      </c>
      <c r="E16" s="5" t="n">
        <v>0</v>
      </c>
      <c r="F16" s="5" t="n">
        <v>0</v>
      </c>
    </row>
    <row r="17">
      <c r="A17" s="4" t="inlineStr">
        <is>
          <t>Tax Provision</t>
        </is>
      </c>
      <c r="C17" s="5" t="n">
        <v>605</v>
      </c>
      <c r="D17" s="5" t="n">
        <v>1131</v>
      </c>
      <c r="E17" s="5" t="n">
        <v>1000</v>
      </c>
      <c r="F17" s="5" t="n">
        <v>666</v>
      </c>
    </row>
    <row r="18">
      <c r="A18" s="2" t="inlineStr">
        <is>
          <t>Net Income</t>
        </is>
      </c>
      <c r="C18" s="5" t="n">
        <v>6046</v>
      </c>
      <c r="D18" s="5" t="n">
        <v>5070</v>
      </c>
      <c r="E18" s="5" t="n">
        <v>5700</v>
      </c>
      <c r="F18" s="5" t="n">
        <v>3219</v>
      </c>
    </row>
    <row r="19">
      <c r="A19" s="4" t="inlineStr">
        <is>
          <t xml:space="preserve">  Net Margin</t>
        </is>
      </c>
      <c r="C19" s="11" t="n">
        <v>0.1294369514022693</v>
      </c>
      <c r="D19" s="11" t="n">
        <v>0.09899056953745826</v>
      </c>
      <c r="E19" s="11" t="n">
        <v>0.110976986877458</v>
      </c>
      <c r="F19" s="11" t="n">
        <v>0.06951132609212032</v>
      </c>
    </row>
    <row r="21">
      <c r="A21" s="2" t="inlineStr">
        <is>
          <t>EBITDA</t>
        </is>
      </c>
      <c r="C21" s="5" t="n">
        <v>7515</v>
      </c>
      <c r="D21" s="5" t="n">
        <v>6774</v>
      </c>
      <c r="E21" s="5" t="n">
        <v>7155</v>
      </c>
      <c r="F21" s="5" t="n">
        <v>4510</v>
      </c>
    </row>
    <row r="22">
      <c r="A22" s="4" t="inlineStr">
        <is>
          <t xml:space="preserve">  EBITDA Margin</t>
        </is>
      </c>
      <c r="C22" s="11" t="n">
        <v>0.1608863198458574</v>
      </c>
      <c r="D22" s="11" t="n">
        <v>0.1322607727902845</v>
      </c>
      <c r="E22" s="11" t="n">
        <v>0.1393053230014407</v>
      </c>
      <c r="F22" s="11" t="n">
        <v>0.09738927638256062</v>
      </c>
    </row>
    <row r="23">
      <c r="A23" s="4" t="inlineStr">
        <is>
          <t>Diluted EPS</t>
        </is>
      </c>
      <c r="C23" s="12" t="n">
        <v>3.75</v>
      </c>
      <c r="D23" s="12" t="n">
        <v>3.23</v>
      </c>
      <c r="E23" s="12" t="n">
        <v>3.73</v>
      </c>
      <c r="F23" s="12" t="n">
        <v>2.16</v>
      </c>
    </row>
    <row r="24">
      <c r="A24" s="4" t="inlineStr">
        <is>
          <t>D&amp;A</t>
        </is>
      </c>
      <c r="C24" s="5" t="n">
        <v>840</v>
      </c>
      <c r="D24" s="5" t="n">
        <v>859</v>
      </c>
      <c r="E24" s="5" t="n">
        <v>844</v>
      </c>
      <c r="F24" s="5" t="n">
        <v>808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8574</v>
      </c>
      <c r="D28" s="5" t="n">
        <v>7441</v>
      </c>
      <c r="E28" s="5" t="n">
        <v>9860</v>
      </c>
      <c r="F28" s="5" t="n">
        <v>7464</v>
      </c>
    </row>
    <row r="29">
      <c r="A29" s="4" t="inlineStr">
        <is>
          <t>Current Assets</t>
        </is>
      </c>
      <c r="C29" s="5" t="n">
        <v>28213</v>
      </c>
      <c r="D29" s="5" t="n">
        <v>25202</v>
      </c>
      <c r="E29" s="5" t="n">
        <v>25382</v>
      </c>
      <c r="F29" s="5" t="n">
        <v>23362</v>
      </c>
    </row>
    <row r="30">
      <c r="A30" s="4" t="inlineStr">
        <is>
          <t>Net PP&amp;E</t>
        </is>
      </c>
      <c r="C30" s="5" t="n">
        <v>7717</v>
      </c>
      <c r="D30" s="5" t="n">
        <v>8004</v>
      </c>
      <c r="E30" s="5" t="n">
        <v>7718</v>
      </c>
      <c r="F30" s="5" t="n">
        <v>7540</v>
      </c>
    </row>
    <row r="31">
      <c r="A31" s="4" t="inlineStr">
        <is>
          <t>Goodwill</t>
        </is>
      </c>
      <c r="C31" s="5" t="n">
        <v>284</v>
      </c>
      <c r="D31" s="5" t="n">
        <v>281</v>
      </c>
      <c r="E31" s="5" t="n">
        <v>240</v>
      </c>
      <c r="F31" s="5" t="n">
        <v>240</v>
      </c>
    </row>
    <row r="32">
      <c r="A32" s="2" t="inlineStr">
        <is>
          <t>Total Assets</t>
        </is>
      </c>
      <c r="C32" s="5" t="n">
        <v>40321</v>
      </c>
      <c r="D32" s="5" t="n">
        <v>37531</v>
      </c>
      <c r="E32" s="5" t="n">
        <v>38110</v>
      </c>
      <c r="F32" s="5" t="n">
        <v>36579</v>
      </c>
    </row>
    <row r="34">
      <c r="A34" s="4" t="inlineStr">
        <is>
          <t>Current Liabilities</t>
        </is>
      </c>
      <c r="C34" s="5" t="n">
        <v>10730</v>
      </c>
      <c r="D34" s="5" t="n">
        <v>9256</v>
      </c>
      <c r="E34" s="5" t="n">
        <v>10593</v>
      </c>
      <c r="F34" s="5" t="n">
        <v>10566</v>
      </c>
    </row>
    <row r="35">
      <c r="A35" s="4" t="inlineStr">
        <is>
          <t>Total Debt</t>
        </is>
      </c>
      <c r="C35" s="5" t="n">
        <v>12627</v>
      </c>
      <c r="D35" s="5" t="n">
        <v>12144</v>
      </c>
      <c r="E35" s="5" t="n">
        <v>11952</v>
      </c>
      <c r="F35" s="5" t="n">
        <v>11018</v>
      </c>
    </row>
    <row r="36">
      <c r="A36" s="2" t="inlineStr">
        <is>
          <t>Total Liabilities</t>
        </is>
      </c>
      <c r="C36" s="5" t="n">
        <v>25040</v>
      </c>
      <c r="D36" s="5" t="n">
        <v>23527</v>
      </c>
      <c r="E36" s="5" t="n">
        <v>23680</v>
      </c>
      <c r="F36" s="5" t="n">
        <v>23366</v>
      </c>
    </row>
    <row r="38">
      <c r="A38" s="2" t="inlineStr">
        <is>
          <t>Total Equity</t>
        </is>
      </c>
      <c r="C38" s="5" t="n">
        <v>15281</v>
      </c>
      <c r="D38" s="5" t="n">
        <v>14004</v>
      </c>
      <c r="E38" s="5" t="n">
        <v>14430</v>
      </c>
      <c r="F38" s="5" t="n">
        <v>13213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5188</v>
      </c>
      <c r="D42" s="5" t="n">
        <v>5841</v>
      </c>
      <c r="E42" s="5" t="n">
        <v>7429</v>
      </c>
      <c r="F42" s="5" t="n">
        <v>3698</v>
      </c>
    </row>
    <row r="43">
      <c r="A43" s="4" t="inlineStr">
        <is>
          <t>Capital Expenditure</t>
        </is>
      </c>
      <c r="C43" s="5" t="n">
        <v>-758</v>
      </c>
      <c r="D43" s="5" t="n">
        <v>-969</v>
      </c>
      <c r="E43" s="5" t="n">
        <v>-812</v>
      </c>
      <c r="F43" s="5" t="n">
        <v>-430</v>
      </c>
    </row>
    <row r="44">
      <c r="A44" s="2" t="inlineStr">
        <is>
          <t>Free Cash Flow</t>
        </is>
      </c>
      <c r="C44" s="5" t="n">
        <v>4430</v>
      </c>
      <c r="D44" s="5" t="n">
        <v>4872</v>
      </c>
      <c r="E44" s="5" t="n">
        <v>6617</v>
      </c>
      <c r="F44" s="5" t="n">
        <v>3268</v>
      </c>
    </row>
    <row r="46">
      <c r="A46" s="4" t="inlineStr">
        <is>
          <t>D&amp;A</t>
        </is>
      </c>
      <c r="C46" s="5" t="n">
        <v>840</v>
      </c>
      <c r="D46" s="5" t="n">
        <v>859</v>
      </c>
      <c r="E46" s="5" t="n">
        <v>844</v>
      </c>
      <c r="F46" s="5" t="n">
        <v>808</v>
      </c>
    </row>
    <row r="47">
      <c r="A47" s="4" t="inlineStr">
        <is>
          <t>Stock-Based Compensation</t>
        </is>
      </c>
      <c r="C47" s="5" t="n">
        <v>638</v>
      </c>
      <c r="D47" s="5" t="n">
        <v>755</v>
      </c>
      <c r="E47" s="5" t="n">
        <v>804</v>
      </c>
      <c r="F47" s="5" t="n">
        <v>709</v>
      </c>
    </row>
    <row r="48">
      <c r="A48" s="4" t="inlineStr">
        <is>
          <t>Change in Working Capital</t>
        </is>
      </c>
      <c r="C48" s="5" t="n">
        <v>-1660</v>
      </c>
      <c r="D48" s="5" t="n">
        <v>-513</v>
      </c>
      <c r="E48" s="5" t="n">
        <v>716</v>
      </c>
      <c r="F48" s="5" t="n">
        <v>-787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NIKE, Inc. (NKE)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Footwear &amp; Accessories</t>
        </is>
      </c>
      <c r="C8" s="5" t="n">
        <v>46710</v>
      </c>
      <c r="D8" s="5" t="n">
        <v>51217</v>
      </c>
      <c r="E8" s="5" t="n">
        <v>51362</v>
      </c>
      <c r="F8" s="5" t="n">
        <v>46309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25231</v>
      </c>
      <c r="D16" s="5" t="n">
        <v>28925</v>
      </c>
      <c r="E16" s="5" t="n">
        <v>28475</v>
      </c>
      <c r="F16" s="5" t="n">
        <v>26519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14804</v>
      </c>
      <c r="D20" s="5" t="n">
        <v>16377</v>
      </c>
      <c r="E20" s="5" t="n">
        <v>16576</v>
      </c>
      <c r="F20" s="5" t="n">
        <v>16088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840</v>
      </c>
      <c r="D22" s="5" t="n">
        <v>859</v>
      </c>
      <c r="E22" s="5" t="n">
        <v>844</v>
      </c>
      <c r="F22" s="5" t="n">
        <v>808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605</v>
      </c>
      <c r="D31" s="5" t="n">
        <v>1131</v>
      </c>
      <c r="E31" s="5" t="n">
        <v>1000</v>
      </c>
      <c r="F31" s="5" t="n">
        <v>666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-1660</v>
      </c>
      <c r="D39" s="5" t="n">
        <v>-513</v>
      </c>
      <c r="E39" s="5" t="n">
        <v>716</v>
      </c>
      <c r="F39" s="5" t="n">
        <v>-787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-758</v>
      </c>
      <c r="D42" s="5" t="n">
        <v>-969</v>
      </c>
      <c r="E42" s="5" t="n">
        <v>-812</v>
      </c>
      <c r="F42" s="5" t="n">
        <v>-430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NIKE, Inc. (NKE)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52.37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K12*$C$16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-3554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1191.49565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C33/52.37-1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8x</t>
        </is>
      </c>
      <c r="D38" s="1" t="inlineStr">
        <is>
          <t>10x</t>
        </is>
      </c>
      <c r="E38" s="1" t="inlineStr">
        <is>
          <t>12x</t>
        </is>
      </c>
      <c r="F38" s="1" t="inlineStr">
        <is>
          <t>14x</t>
        </is>
      </c>
      <c r="G38" s="1" t="inlineStr">
        <is>
          <t>16x</t>
        </is>
      </c>
    </row>
    <row r="39">
      <c r="A39" s="21" t="n">
        <v>0.076</v>
      </c>
      <c r="C39" s="22">
        <f>(G$12/(1+$A$39)^1+H$12/(1+$A$39)^2+I$12/(1+$A$39)^3+J$12/(1+$A$39)^4+K$12/(1+$A$39)^5+K$12*8/(1+$A$39)^5+$C$29)/$C$32</f>
        <v/>
      </c>
      <c r="D39" s="22">
        <f>(G$12/(1+$A$39)^1+H$12/(1+$A$39)^2+I$12/(1+$A$39)^3+J$12/(1+$A$39)^4+K$12/(1+$A$39)^5+K$12*10/(1+$A$39)^5+$C$29)/$C$32</f>
        <v/>
      </c>
      <c r="E39" s="22">
        <f>(G$12/(1+$A$39)^1+H$12/(1+$A$39)^2+I$12/(1+$A$39)^3+J$12/(1+$A$39)^4+K$12/(1+$A$39)^5+K$12*12/(1+$A$39)^5+$C$29)/$C$32</f>
        <v/>
      </c>
      <c r="F39" s="22">
        <f>(G$12/(1+$A$39)^1+H$12/(1+$A$39)^2+I$12/(1+$A$39)^3+J$12/(1+$A$39)^4+K$12/(1+$A$39)^5+K$12*14/(1+$A$39)^5+$C$29)/$C$32</f>
        <v/>
      </c>
      <c r="G39" s="22">
        <f>(G$12/(1+$A$39)^1+H$12/(1+$A$39)^2+I$12/(1+$A$39)^3+J$12/(1+$A$39)^4+K$12/(1+$A$39)^5+K$12*16/(1+$A$39)^5+$C$29)/$C$32</f>
        <v/>
      </c>
    </row>
    <row r="40">
      <c r="A40" s="21" t="n">
        <v>0.08599999999999999</v>
      </c>
      <c r="C40" s="22">
        <f>(G$12/(1+$A$40)^1+H$12/(1+$A$40)^2+I$12/(1+$A$40)^3+J$12/(1+$A$40)^4+K$12/(1+$A$40)^5+K$12*8/(1+$A$40)^5+$C$29)/$C$32</f>
        <v/>
      </c>
      <c r="D40" s="22">
        <f>(G$12/(1+$A$40)^1+H$12/(1+$A$40)^2+I$12/(1+$A$40)^3+J$12/(1+$A$40)^4+K$12/(1+$A$40)^5+K$12*10/(1+$A$40)^5+$C$29)/$C$32</f>
        <v/>
      </c>
      <c r="E40" s="22">
        <f>(G$12/(1+$A$40)^1+H$12/(1+$A$40)^2+I$12/(1+$A$40)^3+J$12/(1+$A$40)^4+K$12/(1+$A$40)^5+K$12*12/(1+$A$40)^5+$C$29)/$C$32</f>
        <v/>
      </c>
      <c r="F40" s="22">
        <f>(G$12/(1+$A$40)^1+H$12/(1+$A$40)^2+I$12/(1+$A$40)^3+J$12/(1+$A$40)^4+K$12/(1+$A$40)^5+K$12*14/(1+$A$40)^5+$C$29)/$C$32</f>
        <v/>
      </c>
      <c r="G40" s="22">
        <f>(G$12/(1+$A$40)^1+H$12/(1+$A$40)^2+I$12/(1+$A$40)^3+J$12/(1+$A$40)^4+K$12/(1+$A$40)^5+K$12*16/(1+$A$40)^5+$C$29)/$C$32</f>
        <v/>
      </c>
    </row>
    <row r="41">
      <c r="A41" s="21" t="n">
        <v>0.096</v>
      </c>
      <c r="C41" s="22">
        <f>(G$12/(1+$A$41)^1+H$12/(1+$A$41)^2+I$12/(1+$A$41)^3+J$12/(1+$A$41)^4+K$12/(1+$A$41)^5+K$12*8/(1+$A$41)^5+$C$29)/$C$32</f>
        <v/>
      </c>
      <c r="D41" s="22">
        <f>(G$12/(1+$A$41)^1+H$12/(1+$A$41)^2+I$12/(1+$A$41)^3+J$12/(1+$A$41)^4+K$12/(1+$A$41)^5+K$12*10/(1+$A$41)^5+$C$29)/$C$32</f>
        <v/>
      </c>
      <c r="E41" s="22">
        <f>(G$12/(1+$A$41)^1+H$12/(1+$A$41)^2+I$12/(1+$A$41)^3+J$12/(1+$A$41)^4+K$12/(1+$A$41)^5+K$12*12/(1+$A$41)^5+$C$29)/$C$32</f>
        <v/>
      </c>
      <c r="F41" s="22">
        <f>(G$12/(1+$A$41)^1+H$12/(1+$A$41)^2+I$12/(1+$A$41)^3+J$12/(1+$A$41)^4+K$12/(1+$A$41)^5+K$12*14/(1+$A$41)^5+$C$29)/$C$32</f>
        <v/>
      </c>
      <c r="G41" s="22">
        <f>(G$12/(1+$A$41)^1+H$12/(1+$A$41)^2+I$12/(1+$A$41)^3+J$12/(1+$A$41)^4+K$12/(1+$A$41)^5+K$12*16/(1+$A$41)^5+$C$29)/$C$32</f>
        <v/>
      </c>
    </row>
    <row r="42">
      <c r="A42" s="21" t="n">
        <v>0.106</v>
      </c>
      <c r="C42" s="22">
        <f>(G$12/(1+$A$42)^1+H$12/(1+$A$42)^2+I$12/(1+$A$42)^3+J$12/(1+$A$42)^4+K$12/(1+$A$42)^5+K$12*8/(1+$A$42)^5+$C$29)/$C$32</f>
        <v/>
      </c>
      <c r="D42" s="22">
        <f>(G$12/(1+$A$42)^1+H$12/(1+$A$42)^2+I$12/(1+$A$42)^3+J$12/(1+$A$42)^4+K$12/(1+$A$42)^5+K$12*10/(1+$A$42)^5+$C$29)/$C$32</f>
        <v/>
      </c>
      <c r="E42" s="23">
        <f>(G$12/(1+$A$42)^1+H$12/(1+$A$42)^2+I$12/(1+$A$42)^3+J$12/(1+$A$42)^4+K$12/(1+$A$42)^5+K$12*12/(1+$A$42)^5+$C$29)/$C$32</f>
        <v/>
      </c>
      <c r="F42" s="22">
        <f>(G$12/(1+$A$42)^1+H$12/(1+$A$42)^2+I$12/(1+$A$42)^3+J$12/(1+$A$42)^4+K$12/(1+$A$42)^5+K$12*14/(1+$A$42)^5+$C$29)/$C$32</f>
        <v/>
      </c>
      <c r="G42" s="22">
        <f>(G$12/(1+$A$42)^1+H$12/(1+$A$42)^2+I$12/(1+$A$42)^3+J$12/(1+$A$42)^4+K$12/(1+$A$42)^5+K$12*16/(1+$A$42)^5+$C$29)/$C$32</f>
        <v/>
      </c>
    </row>
    <row r="43">
      <c r="A43" s="21" t="n">
        <v>0.116</v>
      </c>
      <c r="C43" s="22">
        <f>(G$12/(1+$A$43)^1+H$12/(1+$A$43)^2+I$12/(1+$A$43)^3+J$12/(1+$A$43)^4+K$12/(1+$A$43)^5+K$12*8/(1+$A$43)^5+$C$29)/$C$32</f>
        <v/>
      </c>
      <c r="D43" s="22">
        <f>(G$12/(1+$A$43)^1+H$12/(1+$A$43)^2+I$12/(1+$A$43)^3+J$12/(1+$A$43)^4+K$12/(1+$A$43)^5+K$12*10/(1+$A$43)^5+$C$29)/$C$32</f>
        <v/>
      </c>
      <c r="E43" s="22">
        <f>(G$12/(1+$A$43)^1+H$12/(1+$A$43)^2+I$12/(1+$A$43)^3+J$12/(1+$A$43)^4+K$12/(1+$A$43)^5+K$12*12/(1+$A$43)^5+$C$29)/$C$32</f>
        <v/>
      </c>
      <c r="F43" s="22">
        <f>(G$12/(1+$A$43)^1+H$12/(1+$A$43)^2+I$12/(1+$A$43)^3+J$12/(1+$A$43)^4+K$12/(1+$A$43)^5+K$12*14/(1+$A$43)^5+$C$29)/$C$32</f>
        <v/>
      </c>
      <c r="G43" s="22">
        <f>(G$12/(1+$A$43)^1+H$12/(1+$A$43)^2+I$12/(1+$A$43)^3+J$12/(1+$A$43)^4+K$12/(1+$A$43)^5+K$12*16/(1+$A$43)^5+$C$29)/$C$32</f>
        <v/>
      </c>
    </row>
    <row r="44">
      <c r="A44" s="21" t="n">
        <v>0.126</v>
      </c>
      <c r="C44" s="22">
        <f>(G$12/(1+$A$44)^1+H$12/(1+$A$44)^2+I$12/(1+$A$44)^3+J$12/(1+$A$44)^4+K$12/(1+$A$44)^5+K$12*8/(1+$A$44)^5+$C$29)/$C$32</f>
        <v/>
      </c>
      <c r="D44" s="22">
        <f>(G$12/(1+$A$44)^1+H$12/(1+$A$44)^2+I$12/(1+$A$44)^3+J$12/(1+$A$44)^4+K$12/(1+$A$44)^5+K$12*10/(1+$A$44)^5+$C$29)/$C$32</f>
        <v/>
      </c>
      <c r="E44" s="22">
        <f>(G$12/(1+$A$44)^1+H$12/(1+$A$44)^2+I$12/(1+$A$44)^3+J$12/(1+$A$44)^4+K$12/(1+$A$44)^5+K$12*12/(1+$A$44)^5+$C$29)/$C$32</f>
        <v/>
      </c>
      <c r="F44" s="22">
        <f>(G$12/(1+$A$44)^1+H$12/(1+$A$44)^2+I$12/(1+$A$44)^3+J$12/(1+$A$44)^4+K$12/(1+$A$44)^5+K$12*14/(1+$A$44)^5+$C$29)/$C$32</f>
        <v/>
      </c>
      <c r="G44" s="22">
        <f>(G$12/(1+$A$44)^1+H$12/(1+$A$44)^2+I$12/(1+$A$44)^3+J$12/(1+$A$44)^4+K$12/(1+$A$44)^5+K$12*16/(1+$A$44)^5+$C$29)/$C$32</f>
        <v/>
      </c>
    </row>
    <row r="45">
      <c r="A45" s="21" t="n">
        <v>0.136</v>
      </c>
      <c r="C45" s="22">
        <f>(G$12/(1+$A$45)^1+H$12/(1+$A$45)^2+I$12/(1+$A$45)^3+J$12/(1+$A$45)^4+K$12/(1+$A$45)^5+K$12*8/(1+$A$45)^5+$C$29)/$C$32</f>
        <v/>
      </c>
      <c r="D45" s="22">
        <f>(G$12/(1+$A$45)^1+H$12/(1+$A$45)^2+I$12/(1+$A$45)^3+J$12/(1+$A$45)^4+K$12/(1+$A$45)^5+K$12*10/(1+$A$45)^5+$C$29)/$C$32</f>
        <v/>
      </c>
      <c r="E45" s="22">
        <f>(G$12/(1+$A$45)^1+H$12/(1+$A$45)^2+I$12/(1+$A$45)^3+J$12/(1+$A$45)^4+K$12/(1+$A$45)^5+K$12*12/(1+$A$45)^5+$C$29)/$C$32</f>
        <v/>
      </c>
      <c r="F45" s="22">
        <f>(G$12/(1+$A$45)^1+H$12/(1+$A$45)^2+I$12/(1+$A$45)^3+J$12/(1+$A$45)^4+K$12/(1+$A$45)^5+K$12*14/(1+$A$45)^5+$C$29)/$C$32</f>
        <v/>
      </c>
      <c r="G45" s="22">
        <f>(G$12/(1+$A$45)^1+H$12/(1+$A$45)^2+I$12/(1+$A$45)^3+J$12/(1+$A$45)^4+K$12/(1+$A$45)^5+K$12*16/(1+$A$45)^5+$C$29)/$C$32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2026-03-21T10:40:21Z</dcterms:created>
  <dcterms:modified xmlns:dcterms="http://purl.org/dc/terms/" xmlns:xsi="http://www.w3.org/2001/XMLSchema-instance" xsi:type="dcterms:W3CDTF">2026-03-21T10:40:21Z</dcterms:modified>
</cp:coreProperties>
</file>