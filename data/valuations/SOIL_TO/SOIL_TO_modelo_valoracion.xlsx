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Saturn Oil &amp; Gas Inc. (SOIL_TO)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E&amp;P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371.132</v>
      </c>
      <c r="D7" s="5" t="n">
        <v>705.153</v>
      </c>
      <c r="E7" s="5" t="n">
        <v>920.795</v>
      </c>
      <c r="F7" s="5" t="n">
        <v>999.625</v>
      </c>
    </row>
    <row r="8">
      <c r="A8" s="4" t="inlineStr">
        <is>
          <t xml:space="preserve">  Revenue Growth - Base</t>
        </is>
      </c>
      <c r="G8" s="6" t="n">
        <v>0.02</v>
      </c>
      <c r="H8" s="6" t="n">
        <v>0.02</v>
      </c>
      <c r="I8" s="6" t="n">
        <v>0.03</v>
      </c>
      <c r="J8" s="6" t="n">
        <v>0.03</v>
      </c>
      <c r="K8" s="6" t="n">
        <v>0.02</v>
      </c>
    </row>
    <row r="9">
      <c r="A9" s="4" t="inlineStr">
        <is>
          <t xml:space="preserve">  Revenue Growth - Bull</t>
        </is>
      </c>
      <c r="G9" s="6" t="n">
        <v>0.05</v>
      </c>
      <c r="H9" s="6" t="n">
        <v>0.05</v>
      </c>
      <c r="I9" s="6" t="n">
        <v>0.04</v>
      </c>
      <c r="J9" s="6" t="n">
        <v>0.04</v>
      </c>
      <c r="K9" s="6" t="n">
        <v>0.03</v>
      </c>
    </row>
    <row r="10">
      <c r="A10" s="4" t="inlineStr">
        <is>
          <t xml:space="preserve">  Revenue Growth - Bear</t>
        </is>
      </c>
      <c r="G10" s="6" t="n">
        <v>-0.05</v>
      </c>
      <c r="H10" s="6" t="n">
        <v>0</v>
      </c>
      <c r="I10" s="6" t="n">
        <v>0.02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0.55</v>
      </c>
      <c r="H15" s="6" t="n">
        <v>0.55</v>
      </c>
      <c r="I15" s="6" t="n">
        <v>0.55</v>
      </c>
      <c r="J15" s="6" t="n">
        <v>0.55</v>
      </c>
      <c r="K15" s="6" t="n">
        <v>0.55</v>
      </c>
    </row>
    <row r="16">
      <c r="A16" s="4" t="inlineStr">
        <is>
          <t>Gross Margin - Bull</t>
        </is>
      </c>
      <c r="G16" s="6" t="n">
        <v>0.5600000000000001</v>
      </c>
      <c r="H16" s="6" t="n">
        <v>0.5600000000000001</v>
      </c>
      <c r="I16" s="6" t="n">
        <v>0.5600000000000001</v>
      </c>
      <c r="J16" s="6" t="n">
        <v>0.5600000000000001</v>
      </c>
      <c r="K16" s="6" t="n">
        <v>0.5600000000000001</v>
      </c>
    </row>
    <row r="17">
      <c r="A17" s="4" t="inlineStr">
        <is>
          <t>Gross Margin - Bear</t>
        </is>
      </c>
      <c r="G17" s="6" t="n">
        <v>0.51</v>
      </c>
      <c r="H17" s="6" t="n">
        <v>0.51</v>
      </c>
      <c r="I17" s="6" t="n">
        <v>0.51</v>
      </c>
      <c r="J17" s="6" t="n">
        <v>0.51</v>
      </c>
      <c r="K17" s="6" t="n">
        <v>0.51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0.35</v>
      </c>
      <c r="H20" s="6" t="n">
        <v>0.35</v>
      </c>
      <c r="I20" s="6" t="n">
        <v>0.35</v>
      </c>
      <c r="J20" s="6" t="n">
        <v>0.35</v>
      </c>
      <c r="K20" s="6" t="n">
        <v>0.35</v>
      </c>
    </row>
    <row r="21">
      <c r="A21" s="4" t="inlineStr">
        <is>
          <t>SG&amp;A % Revenue - Bull</t>
        </is>
      </c>
      <c r="G21" s="6" t="n">
        <v>0.32</v>
      </c>
      <c r="H21" s="6" t="n">
        <v>0.32</v>
      </c>
      <c r="I21" s="6" t="n">
        <v>0.32</v>
      </c>
      <c r="J21" s="6" t="n">
        <v>0.32</v>
      </c>
      <c r="K21" s="6" t="n">
        <v>0.32</v>
      </c>
    </row>
    <row r="22">
      <c r="A22" s="4" t="inlineStr">
        <is>
          <t>SG&amp;A % Revenue - Bear</t>
        </is>
      </c>
      <c r="G22" s="6" t="n">
        <v>0.35</v>
      </c>
      <c r="H22" s="6" t="n">
        <v>0.35</v>
      </c>
      <c r="I22" s="6" t="n">
        <v>0.35</v>
      </c>
      <c r="J22" s="6" t="n">
        <v>0.35</v>
      </c>
      <c r="K22" s="6" t="n">
        <v>0.35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0.3</v>
      </c>
      <c r="H30" s="6" t="n">
        <v>0.3</v>
      </c>
      <c r="I30" s="6" t="n">
        <v>0.3</v>
      </c>
      <c r="J30" s="6" t="n">
        <v>0.3</v>
      </c>
      <c r="K30" s="6" t="n">
        <v>0.3</v>
      </c>
    </row>
    <row r="31">
      <c r="A31" s="4" t="inlineStr">
        <is>
          <t>CapEx % Revenue</t>
        </is>
      </c>
      <c r="G31" s="6" t="n">
        <v>0.24</v>
      </c>
      <c r="H31" s="6" t="n">
        <v>0.24</v>
      </c>
      <c r="I31" s="6" t="n">
        <v>0.24</v>
      </c>
      <c r="J31" s="6" t="n">
        <v>0.24</v>
      </c>
      <c r="K31" s="6" t="n">
        <v>0.24</v>
      </c>
    </row>
    <row r="32">
      <c r="A32" s="4" t="inlineStr">
        <is>
          <t>Tax Rate</t>
        </is>
      </c>
      <c r="G32" s="6" t="n">
        <v>0.12</v>
      </c>
      <c r="H32" s="6" t="n">
        <v>0.12</v>
      </c>
      <c r="I32" s="6" t="n">
        <v>0.12</v>
      </c>
      <c r="J32" s="6" t="n">
        <v>0.12</v>
      </c>
      <c r="K32" s="6" t="n">
        <v>0.12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0.115</v>
      </c>
    </row>
    <row r="36">
      <c r="A36" s="4" t="inlineStr">
        <is>
          <t>WACC - Bull</t>
        </is>
      </c>
      <c r="C36" s="6" t="n">
        <v>0.115</v>
      </c>
    </row>
    <row r="37">
      <c r="A37" s="4" t="inlineStr">
        <is>
          <t>WACC - Bear</t>
        </is>
      </c>
      <c r="C37" s="6" t="n">
        <v>0.125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4</v>
      </c>
    </row>
    <row r="41">
      <c r="A41" s="4" t="inlineStr">
        <is>
          <t>Terminal Value Multiple - Bull</t>
        </is>
      </c>
      <c r="C41" s="9" t="n">
        <v>4.5</v>
      </c>
    </row>
    <row r="42">
      <c r="A42" s="4" t="inlineStr">
        <is>
          <t>Terminal Value Multiple - Bear</t>
        </is>
      </c>
      <c r="C42" s="9" t="n">
        <v>3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Saturn Oil &amp; Gas Inc. (SOIL_TO)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371.132</v>
      </c>
      <c r="D6" s="5" t="n">
        <v>705.153</v>
      </c>
      <c r="E6" s="5" t="n">
        <v>920.795</v>
      </c>
      <c r="F6" s="5" t="n">
        <v>999.625</v>
      </c>
    </row>
    <row r="7">
      <c r="A7" s="4" t="inlineStr">
        <is>
          <t>Cost of Revenue</t>
        </is>
      </c>
      <c r="C7" s="5" t="n">
        <v>93.675</v>
      </c>
      <c r="D7" s="5" t="n">
        <v>229.476</v>
      </c>
      <c r="E7" s="5" t="n">
        <v>343.108</v>
      </c>
      <c r="F7" s="5" t="n">
        <v>418.345</v>
      </c>
    </row>
    <row r="8">
      <c r="A8" s="2" t="inlineStr">
        <is>
          <t>Gross Profit</t>
        </is>
      </c>
      <c r="C8" s="5" t="n">
        <v>277.457</v>
      </c>
      <c r="D8" s="5" t="n">
        <v>475.677</v>
      </c>
      <c r="E8" s="5" t="n">
        <v>577.687</v>
      </c>
      <c r="F8" s="5" t="n">
        <v>581.28</v>
      </c>
    </row>
    <row r="9">
      <c r="A9" s="4" t="inlineStr">
        <is>
          <t xml:space="preserve">  Gross Margin</t>
        </is>
      </c>
      <c r="C9" s="11" t="n">
        <v>0.7475965424700646</v>
      </c>
      <c r="D9" s="11" t="n">
        <v>0.6745727522963102</v>
      </c>
      <c r="E9" s="11" t="n">
        <v>0.6273785153047096</v>
      </c>
      <c r="F9" s="11" t="n">
        <v>0.581498061773165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8.516999999999999</v>
      </c>
      <c r="D12" s="5" t="n">
        <v>27.122</v>
      </c>
      <c r="E12" s="5" t="n">
        <v>22.834</v>
      </c>
      <c r="F12" s="5" t="n">
        <v>33.219</v>
      </c>
    </row>
    <row r="13">
      <c r="A13" s="2" t="inlineStr">
        <is>
          <t>Operating Income (EBIT)</t>
        </is>
      </c>
      <c r="C13" s="5" t="n">
        <v>169.88</v>
      </c>
      <c r="D13" s="5" t="n">
        <v>232.146</v>
      </c>
      <c r="E13" s="5" t="n">
        <v>272.265</v>
      </c>
      <c r="F13" s="5" t="n">
        <v>199.706</v>
      </c>
    </row>
    <row r="14">
      <c r="A14" s="4" t="inlineStr">
        <is>
          <t xml:space="preserve">  EBIT Margin</t>
        </is>
      </c>
      <c r="C14" s="11" t="n">
        <v>0.4577347143334447</v>
      </c>
      <c r="D14" s="11" t="n">
        <v>0.3292136600142097</v>
      </c>
      <c r="E14" s="11" t="n">
        <v>0.2956847072366813</v>
      </c>
      <c r="F14" s="11" t="n">
        <v>0.1997809178441916</v>
      </c>
    </row>
    <row r="16">
      <c r="A16" s="4" t="inlineStr">
        <is>
          <t>Interest Expense</t>
        </is>
      </c>
      <c r="C16" s="5" t="n">
        <v>29.862</v>
      </c>
      <c r="D16" s="5" t="n">
        <v>90.06399999999999</v>
      </c>
      <c r="E16" s="5" t="n">
        <v>90.611</v>
      </c>
      <c r="F16" s="5" t="n">
        <v>92.277</v>
      </c>
    </row>
    <row r="17">
      <c r="A17" s="4" t="inlineStr">
        <is>
          <t>Tax Provision</t>
        </is>
      </c>
      <c r="C17" s="5" t="n">
        <v>-5.866</v>
      </c>
      <c r="D17" s="5" t="n">
        <v>38.276</v>
      </c>
      <c r="E17" s="5" t="n">
        <v>13.672</v>
      </c>
      <c r="F17" s="5" t="n">
        <v>48.039</v>
      </c>
    </row>
    <row r="18">
      <c r="A18" s="2" t="inlineStr">
        <is>
          <t>Net Income</t>
        </is>
      </c>
      <c r="C18" s="5" t="n">
        <v>74.815</v>
      </c>
      <c r="D18" s="5" t="n">
        <v>290.623</v>
      </c>
      <c r="E18" s="5" t="n">
        <v>54.106</v>
      </c>
      <c r="F18" s="5" t="n">
        <v>167.569</v>
      </c>
    </row>
    <row r="19">
      <c r="A19" s="4" t="inlineStr">
        <is>
          <t xml:space="preserve">  Net Margin</t>
        </is>
      </c>
      <c r="C19" s="11" t="n">
        <v>0.2015859586346637</v>
      </c>
      <c r="D19" s="11" t="n">
        <v>0.4121417621424003</v>
      </c>
      <c r="E19" s="11" t="n">
        <v>0.05876009318034959</v>
      </c>
      <c r="F19" s="11" t="n">
        <v>0.1676318619482306</v>
      </c>
    </row>
    <row r="21">
      <c r="A21" s="2" t="inlineStr">
        <is>
          <t>EBITDA</t>
        </is>
      </c>
      <c r="C21" s="5" t="n">
        <v>144.846</v>
      </c>
      <c r="D21" s="5" t="n">
        <v>567.874</v>
      </c>
      <c r="E21" s="5" t="n">
        <v>387.417</v>
      </c>
      <c r="F21" s="5" t="n">
        <v>608.254</v>
      </c>
    </row>
    <row r="22">
      <c r="A22" s="4" t="inlineStr">
        <is>
          <t xml:space="preserve">  EBITDA Margin</t>
        </is>
      </c>
      <c r="C22" s="11" t="n">
        <v>0.3902816248666243</v>
      </c>
      <c r="D22" s="11" t="n">
        <v>0.8053202638292682</v>
      </c>
      <c r="E22" s="11" t="n">
        <v>0.4207418589371141</v>
      </c>
      <c r="F22" s="11" t="n">
        <v>0.6084821808178067</v>
      </c>
    </row>
    <row r="23">
      <c r="A23" s="4" t="inlineStr">
        <is>
          <t>Diluted EPS</t>
        </is>
      </c>
      <c r="C23" s="12" t="n">
        <v>1.66</v>
      </c>
      <c r="D23" s="12" t="n">
        <v>2.25</v>
      </c>
      <c r="E23" s="12" t="n">
        <v>0.29</v>
      </c>
      <c r="F23" s="12" t="n">
        <v>0.82</v>
      </c>
    </row>
    <row r="24">
      <c r="A24" s="4" t="inlineStr">
        <is>
          <t>D&amp;A</t>
        </is>
      </c>
      <c r="C24" s="5" t="n">
        <v>46.035</v>
      </c>
      <c r="D24" s="5" t="n">
        <v>148.911</v>
      </c>
      <c r="E24" s="5" t="n">
        <v>229.028</v>
      </c>
      <c r="F24" s="5" t="n">
        <v>300.369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10.256</v>
      </c>
      <c r="D28" s="5" t="n">
        <v>26.46</v>
      </c>
      <c r="E28" s="5" t="n">
        <v>48.418</v>
      </c>
      <c r="F28" s="5" t="n">
        <v>0</v>
      </c>
    </row>
    <row r="29">
      <c r="A29" s="4" t="inlineStr">
        <is>
          <t>Current Assets</t>
        </is>
      </c>
      <c r="C29" s="5" t="n">
        <v>61.635</v>
      </c>
      <c r="D29" s="5" t="n">
        <v>130.694</v>
      </c>
      <c r="E29" s="5" t="n">
        <v>196.896</v>
      </c>
      <c r="F29" s="5" t="n">
        <v>155.333</v>
      </c>
    </row>
    <row r="30">
      <c r="A30" s="4" t="inlineStr">
        <is>
          <t>Net PP&amp;E</t>
        </is>
      </c>
      <c r="C30" s="5" t="n">
        <v>495.354</v>
      </c>
      <c r="D30" s="5" t="n">
        <v>1204.522</v>
      </c>
      <c r="E30" s="5" t="n">
        <v>1954.165</v>
      </c>
      <c r="F30" s="5" t="n">
        <v>2035.005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582.907</v>
      </c>
      <c r="D32" s="5" t="n">
        <v>1335.216</v>
      </c>
      <c r="E32" s="5" t="n">
        <v>2161.578</v>
      </c>
      <c r="F32" s="5" t="n">
        <v>2190.825</v>
      </c>
    </row>
    <row r="34">
      <c r="A34" s="4" t="inlineStr">
        <is>
          <t>Current Liabilities</t>
        </is>
      </c>
      <c r="C34" s="5" t="n">
        <v>224.197</v>
      </c>
      <c r="D34" s="5" t="n">
        <v>390.407</v>
      </c>
      <c r="E34" s="5" t="n">
        <v>304.889</v>
      </c>
      <c r="F34" s="5" t="n">
        <v>247.821</v>
      </c>
    </row>
    <row r="35">
      <c r="A35" s="4" t="inlineStr">
        <is>
          <t>Total Debt</t>
        </is>
      </c>
      <c r="C35" s="5" t="n">
        <v>247.195</v>
      </c>
      <c r="D35" s="5" t="n">
        <v>458.01</v>
      </c>
      <c r="E35" s="5" t="n">
        <v>951.843</v>
      </c>
      <c r="F35" s="5" t="n">
        <v>827.172</v>
      </c>
    </row>
    <row r="36">
      <c r="A36" s="2" t="inlineStr">
        <is>
          <t>Total Liabilities</t>
        </is>
      </c>
      <c r="C36" s="5" t="n">
        <v>444.391</v>
      </c>
      <c r="D36" s="5" t="n">
        <v>726.554</v>
      </c>
      <c r="E36" s="5" t="n">
        <v>1357.606</v>
      </c>
      <c r="F36" s="5" t="n">
        <v>1244.234</v>
      </c>
    </row>
    <row r="38">
      <c r="A38" s="2" t="inlineStr">
        <is>
          <t>Total Equity</t>
        </is>
      </c>
      <c r="C38" s="5" t="n">
        <v>138.516</v>
      </c>
      <c r="D38" s="5" t="n">
        <v>608.662</v>
      </c>
      <c r="E38" s="5" t="n">
        <v>803.972</v>
      </c>
      <c r="F38" s="5" t="n">
        <v>946.591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102.314</v>
      </c>
      <c r="D42" s="5" t="n">
        <v>283.988</v>
      </c>
      <c r="E42" s="5" t="n">
        <v>311.937</v>
      </c>
      <c r="F42" s="5" t="n">
        <v>457.399</v>
      </c>
    </row>
    <row r="43">
      <c r="A43" s="4" t="inlineStr">
        <is>
          <t>Capital Expenditure</t>
        </is>
      </c>
      <c r="C43" s="5" t="n">
        <v>-89.105</v>
      </c>
      <c r="D43" s="5" t="n">
        <v>-130.573</v>
      </c>
      <c r="E43" s="5" t="n">
        <v>-246.316</v>
      </c>
      <c r="F43" s="5" t="n">
        <v>-241.24</v>
      </c>
    </row>
    <row r="44">
      <c r="A44" s="2" t="inlineStr">
        <is>
          <t>Free Cash Flow</t>
        </is>
      </c>
      <c r="C44" s="5" t="n">
        <v>13.209</v>
      </c>
      <c r="D44" s="5" t="n">
        <v>153.415</v>
      </c>
      <c r="E44" s="5" t="n">
        <v>65.621</v>
      </c>
      <c r="F44" s="5" t="n">
        <v>216.159</v>
      </c>
    </row>
    <row r="46">
      <c r="A46" s="4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4" t="inlineStr">
        <is>
          <t>Stock-Based Compensation</t>
        </is>
      </c>
      <c r="C47" s="5" t="n">
        <v>0.537</v>
      </c>
      <c r="D47" s="5" t="n">
        <v>7.545</v>
      </c>
      <c r="E47" s="5" t="n">
        <v>10.351</v>
      </c>
      <c r="F47" s="5" t="n">
        <v>9.818</v>
      </c>
    </row>
    <row r="48">
      <c r="A48" s="4" t="inlineStr">
        <is>
          <t>Change in Working Capital</t>
        </is>
      </c>
      <c r="C48" s="5" t="n">
        <v>-14.536</v>
      </c>
      <c r="D48" s="5" t="n">
        <v>20.993</v>
      </c>
      <c r="E48" s="5" t="n">
        <v>-36.872</v>
      </c>
      <c r="F48" s="5" t="n">
        <v>9.222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Saturn Oil &amp; Gas Inc. (SOIL_TO)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E&amp;P</t>
        </is>
      </c>
      <c r="C8" s="5" t="n">
        <v>371.132</v>
      </c>
      <c r="D8" s="5" t="n">
        <v>705.153</v>
      </c>
      <c r="E8" s="5" t="n">
        <v>920.795</v>
      </c>
      <c r="F8" s="5" t="n">
        <v>999.625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93.675</v>
      </c>
      <c r="D16" s="5" t="n">
        <v>229.476</v>
      </c>
      <c r="E16" s="5" t="n">
        <v>343.108</v>
      </c>
      <c r="F16" s="5" t="n">
        <v>418.345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8.516999999999999</v>
      </c>
      <c r="D20" s="5" t="n">
        <v>27.122</v>
      </c>
      <c r="E20" s="5" t="n">
        <v>22.834</v>
      </c>
      <c r="F20" s="5" t="n">
        <v>33.219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46.035</v>
      </c>
      <c r="D22" s="5" t="n">
        <v>148.911</v>
      </c>
      <c r="E22" s="5" t="n">
        <v>229.028</v>
      </c>
      <c r="F22" s="5" t="n">
        <v>300.369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29.862</v>
      </c>
      <c r="D29" s="5" t="n">
        <v>90.06399999999999</v>
      </c>
      <c r="E29" s="5" t="n">
        <v>90.611</v>
      </c>
      <c r="F29" s="5" t="n">
        <v>92.277</v>
      </c>
      <c r="G29" s="5" t="n">
        <v>92.277</v>
      </c>
      <c r="H29" s="5" t="n">
        <v>92.277</v>
      </c>
      <c r="I29" s="5" t="n">
        <v>92.277</v>
      </c>
      <c r="J29" s="5" t="n">
        <v>92.277</v>
      </c>
      <c r="K29" s="5" t="n">
        <v>92.277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-5.866</v>
      </c>
      <c r="D31" s="5" t="n">
        <v>38.276</v>
      </c>
      <c r="E31" s="5" t="n">
        <v>13.672</v>
      </c>
      <c r="F31" s="5" t="n">
        <v>48.039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-14.536</v>
      </c>
      <c r="D39" s="5" t="n">
        <v>20.993</v>
      </c>
      <c r="E39" s="5" t="n">
        <v>-36.872</v>
      </c>
      <c r="F39" s="5" t="n">
        <v>9.222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-89.105</v>
      </c>
      <c r="D42" s="5" t="n">
        <v>-130.573</v>
      </c>
      <c r="E42" s="5" t="n">
        <v>-246.316</v>
      </c>
      <c r="F42" s="5" t="n">
        <v>-241.24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Saturn Oil &amp; Gas Inc. (SOIL_TO)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5.97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-827.172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181.608038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C33/5.97-1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0x</t>
        </is>
      </c>
      <c r="D38" s="1" t="inlineStr">
        <is>
          <t>2x</t>
        </is>
      </c>
      <c r="E38" s="1" t="inlineStr">
        <is>
          <t>4x</t>
        </is>
      </c>
      <c r="F38" s="1" t="inlineStr">
        <is>
          <t>6x</t>
        </is>
      </c>
      <c r="G38" s="1" t="inlineStr">
        <is>
          <t>8x</t>
        </is>
      </c>
    </row>
    <row r="39">
      <c r="A39" s="21" t="n">
        <v>0.08500000000000001</v>
      </c>
      <c r="C39" s="22">
        <f>(G$12/(1+$A$39)^1+H$12/(1+$A$39)^2+I$12/(1+$A$39)^3+J$12/(1+$A$39)^4+K$12/(1+$A$39)^5+K$8*0/(1+$A$39)^5+$C$29)/$C$32</f>
        <v/>
      </c>
      <c r="D39" s="22">
        <f>(G$12/(1+$A$39)^1+H$12/(1+$A$39)^2+I$12/(1+$A$39)^3+J$12/(1+$A$39)^4+K$12/(1+$A$39)^5+K$8*2/(1+$A$39)^5+$C$29)/$C$32</f>
        <v/>
      </c>
      <c r="E39" s="22">
        <f>(G$12/(1+$A$39)^1+H$12/(1+$A$39)^2+I$12/(1+$A$39)^3+J$12/(1+$A$39)^4+K$12/(1+$A$39)^5+K$8*4/(1+$A$39)^5+$C$29)/$C$32</f>
        <v/>
      </c>
      <c r="F39" s="22">
        <f>(G$12/(1+$A$39)^1+H$12/(1+$A$39)^2+I$12/(1+$A$39)^3+J$12/(1+$A$39)^4+K$12/(1+$A$39)^5+K$8*6/(1+$A$39)^5+$C$29)/$C$32</f>
        <v/>
      </c>
      <c r="G39" s="22">
        <f>(G$12/(1+$A$39)^1+H$12/(1+$A$39)^2+I$12/(1+$A$39)^3+J$12/(1+$A$39)^4+K$12/(1+$A$39)^5+K$8*8/(1+$A$39)^5+$C$29)/$C$32</f>
        <v/>
      </c>
    </row>
    <row r="40">
      <c r="A40" s="21" t="n">
        <v>0.095</v>
      </c>
      <c r="C40" s="22">
        <f>(G$12/(1+$A$40)^1+H$12/(1+$A$40)^2+I$12/(1+$A$40)^3+J$12/(1+$A$40)^4+K$12/(1+$A$40)^5+K$8*0/(1+$A$40)^5+$C$29)/$C$32</f>
        <v/>
      </c>
      <c r="D40" s="22">
        <f>(G$12/(1+$A$40)^1+H$12/(1+$A$40)^2+I$12/(1+$A$40)^3+J$12/(1+$A$40)^4+K$12/(1+$A$40)^5+K$8*2/(1+$A$40)^5+$C$29)/$C$32</f>
        <v/>
      </c>
      <c r="E40" s="22">
        <f>(G$12/(1+$A$40)^1+H$12/(1+$A$40)^2+I$12/(1+$A$40)^3+J$12/(1+$A$40)^4+K$12/(1+$A$40)^5+K$8*4/(1+$A$40)^5+$C$29)/$C$32</f>
        <v/>
      </c>
      <c r="F40" s="22">
        <f>(G$12/(1+$A$40)^1+H$12/(1+$A$40)^2+I$12/(1+$A$40)^3+J$12/(1+$A$40)^4+K$12/(1+$A$40)^5+K$8*6/(1+$A$40)^5+$C$29)/$C$32</f>
        <v/>
      </c>
      <c r="G40" s="22">
        <f>(G$12/(1+$A$40)^1+H$12/(1+$A$40)^2+I$12/(1+$A$40)^3+J$12/(1+$A$40)^4+K$12/(1+$A$40)^5+K$8*8/(1+$A$40)^5+$C$29)/$C$32</f>
        <v/>
      </c>
    </row>
    <row r="41">
      <c r="A41" s="21" t="n">
        <v>0.105</v>
      </c>
      <c r="C41" s="22">
        <f>(G$12/(1+$A$41)^1+H$12/(1+$A$41)^2+I$12/(1+$A$41)^3+J$12/(1+$A$41)^4+K$12/(1+$A$41)^5+K$8*0/(1+$A$41)^5+$C$29)/$C$32</f>
        <v/>
      </c>
      <c r="D41" s="22">
        <f>(G$12/(1+$A$41)^1+H$12/(1+$A$41)^2+I$12/(1+$A$41)^3+J$12/(1+$A$41)^4+K$12/(1+$A$41)^5+K$8*2/(1+$A$41)^5+$C$29)/$C$32</f>
        <v/>
      </c>
      <c r="E41" s="22">
        <f>(G$12/(1+$A$41)^1+H$12/(1+$A$41)^2+I$12/(1+$A$41)^3+J$12/(1+$A$41)^4+K$12/(1+$A$41)^5+K$8*4/(1+$A$41)^5+$C$29)/$C$32</f>
        <v/>
      </c>
      <c r="F41" s="22">
        <f>(G$12/(1+$A$41)^1+H$12/(1+$A$41)^2+I$12/(1+$A$41)^3+J$12/(1+$A$41)^4+K$12/(1+$A$41)^5+K$8*6/(1+$A$41)^5+$C$29)/$C$32</f>
        <v/>
      </c>
      <c r="G41" s="22">
        <f>(G$12/(1+$A$41)^1+H$12/(1+$A$41)^2+I$12/(1+$A$41)^3+J$12/(1+$A$41)^4+K$12/(1+$A$41)^5+K$8*8/(1+$A$41)^5+$C$29)/$C$32</f>
        <v/>
      </c>
    </row>
    <row r="42">
      <c r="A42" s="21" t="n">
        <v>0.115</v>
      </c>
      <c r="C42" s="22">
        <f>(G$12/(1+$A$42)^1+H$12/(1+$A$42)^2+I$12/(1+$A$42)^3+J$12/(1+$A$42)^4+K$12/(1+$A$42)^5+K$8*0/(1+$A$42)^5+$C$29)/$C$32</f>
        <v/>
      </c>
      <c r="D42" s="22">
        <f>(G$12/(1+$A$42)^1+H$12/(1+$A$42)^2+I$12/(1+$A$42)^3+J$12/(1+$A$42)^4+K$12/(1+$A$42)^5+K$8*2/(1+$A$42)^5+$C$29)/$C$32</f>
        <v/>
      </c>
      <c r="E42" s="23">
        <f>(G$12/(1+$A$42)^1+H$12/(1+$A$42)^2+I$12/(1+$A$42)^3+J$12/(1+$A$42)^4+K$12/(1+$A$42)^5+K$8*4/(1+$A$42)^5+$C$29)/$C$32</f>
        <v/>
      </c>
      <c r="F42" s="22">
        <f>(G$12/(1+$A$42)^1+H$12/(1+$A$42)^2+I$12/(1+$A$42)^3+J$12/(1+$A$42)^4+K$12/(1+$A$42)^5+K$8*6/(1+$A$42)^5+$C$29)/$C$32</f>
        <v/>
      </c>
      <c r="G42" s="22">
        <f>(G$12/(1+$A$42)^1+H$12/(1+$A$42)^2+I$12/(1+$A$42)^3+J$12/(1+$A$42)^4+K$12/(1+$A$42)^5+K$8*8/(1+$A$42)^5+$C$29)/$C$32</f>
        <v/>
      </c>
    </row>
    <row r="43">
      <c r="A43" s="21" t="n">
        <v>0.125</v>
      </c>
      <c r="C43" s="22">
        <f>(G$12/(1+$A$43)^1+H$12/(1+$A$43)^2+I$12/(1+$A$43)^3+J$12/(1+$A$43)^4+K$12/(1+$A$43)^5+K$8*0/(1+$A$43)^5+$C$29)/$C$32</f>
        <v/>
      </c>
      <c r="D43" s="22">
        <f>(G$12/(1+$A$43)^1+H$12/(1+$A$43)^2+I$12/(1+$A$43)^3+J$12/(1+$A$43)^4+K$12/(1+$A$43)^5+K$8*2/(1+$A$43)^5+$C$29)/$C$32</f>
        <v/>
      </c>
      <c r="E43" s="22">
        <f>(G$12/(1+$A$43)^1+H$12/(1+$A$43)^2+I$12/(1+$A$43)^3+J$12/(1+$A$43)^4+K$12/(1+$A$43)^5+K$8*4/(1+$A$43)^5+$C$29)/$C$32</f>
        <v/>
      </c>
      <c r="F43" s="22">
        <f>(G$12/(1+$A$43)^1+H$12/(1+$A$43)^2+I$12/(1+$A$43)^3+J$12/(1+$A$43)^4+K$12/(1+$A$43)^5+K$8*6/(1+$A$43)^5+$C$29)/$C$32</f>
        <v/>
      </c>
      <c r="G43" s="22">
        <f>(G$12/(1+$A$43)^1+H$12/(1+$A$43)^2+I$12/(1+$A$43)^3+J$12/(1+$A$43)^4+K$12/(1+$A$43)^5+K$8*8/(1+$A$43)^5+$C$29)/$C$32</f>
        <v/>
      </c>
    </row>
    <row r="44">
      <c r="A44" s="21" t="n">
        <v>0.135</v>
      </c>
      <c r="C44" s="22">
        <f>(G$12/(1+$A$44)^1+H$12/(1+$A$44)^2+I$12/(1+$A$44)^3+J$12/(1+$A$44)^4+K$12/(1+$A$44)^5+K$8*0/(1+$A$44)^5+$C$29)/$C$32</f>
        <v/>
      </c>
      <c r="D44" s="22">
        <f>(G$12/(1+$A$44)^1+H$12/(1+$A$44)^2+I$12/(1+$A$44)^3+J$12/(1+$A$44)^4+K$12/(1+$A$44)^5+K$8*2/(1+$A$44)^5+$C$29)/$C$32</f>
        <v/>
      </c>
      <c r="E44" s="22">
        <f>(G$12/(1+$A$44)^1+H$12/(1+$A$44)^2+I$12/(1+$A$44)^3+J$12/(1+$A$44)^4+K$12/(1+$A$44)^5+K$8*4/(1+$A$44)^5+$C$29)/$C$32</f>
        <v/>
      </c>
      <c r="F44" s="22">
        <f>(G$12/(1+$A$44)^1+H$12/(1+$A$44)^2+I$12/(1+$A$44)^3+J$12/(1+$A$44)^4+K$12/(1+$A$44)^5+K$8*6/(1+$A$44)^5+$C$29)/$C$32</f>
        <v/>
      </c>
      <c r="G44" s="22">
        <f>(G$12/(1+$A$44)^1+H$12/(1+$A$44)^2+I$12/(1+$A$44)^3+J$12/(1+$A$44)^4+K$12/(1+$A$44)^5+K$8*8/(1+$A$44)^5+$C$29)/$C$32</f>
        <v/>
      </c>
    </row>
    <row r="45">
      <c r="A45" s="21" t="n">
        <v>0.145</v>
      </c>
      <c r="C45" s="22">
        <f>(G$12/(1+$A$45)^1+H$12/(1+$A$45)^2+I$12/(1+$A$45)^3+J$12/(1+$A$45)^4+K$12/(1+$A$45)^5+K$8*0/(1+$A$45)^5+$C$29)/$C$32</f>
        <v/>
      </c>
      <c r="D45" s="22">
        <f>(G$12/(1+$A$45)^1+H$12/(1+$A$45)^2+I$12/(1+$A$45)^3+J$12/(1+$A$45)^4+K$12/(1+$A$45)^5+K$8*2/(1+$A$45)^5+$C$29)/$C$32</f>
        <v/>
      </c>
      <c r="E45" s="22">
        <f>(G$12/(1+$A$45)^1+H$12/(1+$A$45)^2+I$12/(1+$A$45)^3+J$12/(1+$A$45)^4+K$12/(1+$A$45)^5+K$8*4/(1+$A$45)^5+$C$29)/$C$32</f>
        <v/>
      </c>
      <c r="F45" s="22">
        <f>(G$12/(1+$A$45)^1+H$12/(1+$A$45)^2+I$12/(1+$A$45)^3+J$12/(1+$A$45)^4+K$12/(1+$A$45)^5+K$8*6/(1+$A$45)^5+$C$29)/$C$32</f>
        <v/>
      </c>
      <c r="G45" s="22">
        <f>(G$12/(1+$A$45)^1+H$12/(1+$A$45)^2+I$12/(1+$A$45)^3+J$12/(1+$A$45)^4+K$12/(1+$A$45)^5+K$8*8/(1+$A$45)^5+$C$29)/$C$32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2026-04-22T16:01:48Z</dcterms:created>
  <dcterms:modified xmlns:dcterms="http://purl.org/dc/terms/" xmlns:xsi="http://www.w3.org/2001/XMLSchema-instance" xsi:type="dcterms:W3CDTF">2026-04-22T16:01:48Z</dcterms:modified>
</cp:coreProperties>
</file>