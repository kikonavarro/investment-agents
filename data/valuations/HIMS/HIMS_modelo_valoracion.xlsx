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Hims &amp; Hers Health, Inc. (HIMS)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Drug Manufacturers - Specialty &amp; Generic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526.9160000000001</v>
      </c>
      <c r="D7" s="5" t="n">
        <v>872</v>
      </c>
      <c r="E7" s="5" t="n">
        <v>1476.514</v>
      </c>
      <c r="F7" s="5" t="n">
        <v>2347.637</v>
      </c>
    </row>
    <row r="8">
      <c r="A8" s="4" t="inlineStr">
        <is>
          <t xml:space="preserve">  Revenue Growth - Base</t>
        </is>
      </c>
      <c r="G8" s="6" t="n">
        <v>0.3</v>
      </c>
      <c r="H8" s="6" t="n">
        <v>0.25</v>
      </c>
      <c r="I8" s="6" t="n">
        <v>0.2</v>
      </c>
      <c r="J8" s="6" t="n">
        <v>0.15</v>
      </c>
      <c r="K8" s="6" t="n">
        <v>0.12</v>
      </c>
    </row>
    <row r="9">
      <c r="A9" s="4" t="inlineStr">
        <is>
          <t xml:space="preserve">  Revenue Growth - Bull</t>
        </is>
      </c>
      <c r="G9" s="6" t="n">
        <v>0.4</v>
      </c>
      <c r="H9" s="6" t="n">
        <v>0.35</v>
      </c>
      <c r="I9" s="6" t="n">
        <v>0.28</v>
      </c>
      <c r="J9" s="6" t="n">
        <v>0.22</v>
      </c>
      <c r="K9" s="6" t="n">
        <v>0.18</v>
      </c>
    </row>
    <row r="10">
      <c r="A10" s="4" t="inlineStr">
        <is>
          <t xml:space="preserve">  Revenue Growth - Bear</t>
        </is>
      </c>
      <c r="G10" s="6" t="n">
        <v>0.2</v>
      </c>
      <c r="H10" s="6" t="n">
        <v>0.15</v>
      </c>
      <c r="I10" s="6" t="n">
        <v>0.12</v>
      </c>
      <c r="J10" s="6" t="n">
        <v>0.1</v>
      </c>
      <c r="K10" s="6" t="n">
        <v>0.08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0.75</v>
      </c>
      <c r="H15" s="6" t="n">
        <v>0.75</v>
      </c>
      <c r="I15" s="6" t="n">
        <v>0.75</v>
      </c>
      <c r="J15" s="6" t="n">
        <v>0.75</v>
      </c>
      <c r="K15" s="6" t="n">
        <v>0.75</v>
      </c>
    </row>
    <row r="16">
      <c r="A16" s="4" t="inlineStr">
        <is>
          <t>Gross Margin - Bull</t>
        </is>
      </c>
      <c r="G16" s="6" t="n">
        <v>0.78</v>
      </c>
      <c r="H16" s="6" t="n">
        <v>0.78</v>
      </c>
      <c r="I16" s="6" t="n">
        <v>0.78</v>
      </c>
      <c r="J16" s="6" t="n">
        <v>0.78</v>
      </c>
      <c r="K16" s="6" t="n">
        <v>0.78</v>
      </c>
    </row>
    <row r="17">
      <c r="A17" s="4" t="inlineStr">
        <is>
          <t>Gross Margin - Bear</t>
        </is>
      </c>
      <c r="G17" s="6" t="n">
        <v>0.72</v>
      </c>
      <c r="H17" s="6" t="n">
        <v>0.72</v>
      </c>
      <c r="I17" s="6" t="n">
        <v>0.72</v>
      </c>
      <c r="J17" s="6" t="n">
        <v>0.72</v>
      </c>
      <c r="K17" s="6" t="n">
        <v>0.72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0.58</v>
      </c>
      <c r="H20" s="6" t="n">
        <v>0.58</v>
      </c>
      <c r="I20" s="6" t="n">
        <v>0.58</v>
      </c>
      <c r="J20" s="6" t="n">
        <v>0.58</v>
      </c>
      <c r="K20" s="6" t="n">
        <v>0.58</v>
      </c>
    </row>
    <row r="21">
      <c r="A21" s="4" t="inlineStr">
        <is>
          <t>SG&amp;A % Revenue - Bull</t>
        </is>
      </c>
      <c r="G21" s="6" t="n">
        <v>0.55</v>
      </c>
      <c r="H21" s="6" t="n">
        <v>0.55</v>
      </c>
      <c r="I21" s="6" t="n">
        <v>0.55</v>
      </c>
      <c r="J21" s="6" t="n">
        <v>0.55</v>
      </c>
      <c r="K21" s="6" t="n">
        <v>0.55</v>
      </c>
    </row>
    <row r="22">
      <c r="A22" s="4" t="inlineStr">
        <is>
          <t>SG&amp;A % Revenue - Bear</t>
        </is>
      </c>
      <c r="G22" s="6" t="n">
        <v>0.6</v>
      </c>
      <c r="H22" s="6" t="n">
        <v>0.6</v>
      </c>
      <c r="I22" s="6" t="n">
        <v>0.6</v>
      </c>
      <c r="J22" s="6" t="n">
        <v>0.6</v>
      </c>
      <c r="K22" s="6" t="n">
        <v>0.6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</v>
      </c>
      <c r="H27" s="6" t="n">
        <v>0.05</v>
      </c>
      <c r="I27" s="6" t="n">
        <v>0.05</v>
      </c>
      <c r="J27" s="6" t="n">
        <v>0.05</v>
      </c>
      <c r="K27" s="6" t="n">
        <v>0.05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0.015</v>
      </c>
      <c r="H30" s="6" t="n">
        <v>0.015</v>
      </c>
      <c r="I30" s="6" t="n">
        <v>0.015</v>
      </c>
      <c r="J30" s="6" t="n">
        <v>0.015</v>
      </c>
      <c r="K30" s="6" t="n">
        <v>0.015</v>
      </c>
    </row>
    <row r="31">
      <c r="A31" s="4" t="inlineStr">
        <is>
          <t>CapEx % Revenue</t>
        </is>
      </c>
      <c r="G31" s="6" t="n">
        <v>0.03</v>
      </c>
      <c r="H31" s="6" t="n">
        <v>0.03</v>
      </c>
      <c r="I31" s="6" t="n">
        <v>0.03</v>
      </c>
      <c r="J31" s="6" t="n">
        <v>0.03</v>
      </c>
      <c r="K31" s="6" t="n">
        <v>0.03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25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Hims &amp; Hers Health, Inc. (HIMS)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526.9160000000001</v>
      </c>
      <c r="D6" s="5" t="n">
        <v>872</v>
      </c>
      <c r="E6" s="5" t="n">
        <v>1476.514</v>
      </c>
      <c r="F6" s="5" t="n">
        <v>2347.637</v>
      </c>
    </row>
    <row r="7">
      <c r="A7" s="4" t="inlineStr">
        <is>
          <t>Cost of Revenue</t>
        </is>
      </c>
      <c r="C7" s="5" t="n">
        <v>118.194</v>
      </c>
      <c r="D7" s="5" t="n">
        <v>157.051</v>
      </c>
      <c r="E7" s="5" t="n">
        <v>303.379</v>
      </c>
      <c r="F7" s="5" t="n">
        <v>614.259</v>
      </c>
    </row>
    <row r="8">
      <c r="A8" s="2" t="inlineStr">
        <is>
          <t>Gross Profit</t>
        </is>
      </c>
      <c r="C8" s="5" t="n">
        <v>408.722</v>
      </c>
      <c r="D8" s="5" t="n">
        <v>714.949</v>
      </c>
      <c r="E8" s="5" t="n">
        <v>1173.135</v>
      </c>
      <c r="F8" s="5" t="n">
        <v>1733.378</v>
      </c>
    </row>
    <row r="9">
      <c r="A9" s="4" t="inlineStr">
        <is>
          <t xml:space="preserve">  Gross Margin</t>
        </is>
      </c>
      <c r="C9" s="11" t="n">
        <v>0.7756872063099242</v>
      </c>
      <c r="D9" s="11" t="n">
        <v>0.8198956422018349</v>
      </c>
      <c r="E9" s="11" t="n">
        <v>0.7945302245694927</v>
      </c>
      <c r="F9" s="11" t="n">
        <v>0.7383500941585092</v>
      </c>
    </row>
    <row r="11">
      <c r="A11" s="4" t="inlineStr">
        <is>
          <t>R&amp;D Expense</t>
        </is>
      </c>
      <c r="C11" s="5" t="n">
        <v>29.237</v>
      </c>
      <c r="D11" s="5" t="n">
        <v>48.227</v>
      </c>
      <c r="E11" s="5" t="n">
        <v>78.819</v>
      </c>
      <c r="F11" s="5" t="n">
        <v>149.301</v>
      </c>
    </row>
    <row r="12">
      <c r="A12" s="4" t="inlineStr">
        <is>
          <t>SG&amp;A Expense</t>
        </is>
      </c>
      <c r="C12" s="5" t="n">
        <v>370.779</v>
      </c>
      <c r="D12" s="5" t="n">
        <v>576.318</v>
      </c>
      <c r="E12" s="5" t="n">
        <v>846.611</v>
      </c>
      <c r="F12" s="5" t="n">
        <v>1192.02</v>
      </c>
    </row>
    <row r="13">
      <c r="A13" s="2" t="inlineStr">
        <is>
          <t>Operating Income (EBIT)</t>
        </is>
      </c>
      <c r="C13" s="5" t="n">
        <v>-68.697</v>
      </c>
      <c r="D13" s="5" t="n">
        <v>-29.453</v>
      </c>
      <c r="E13" s="5" t="n">
        <v>61.903</v>
      </c>
      <c r="F13" s="5" t="n">
        <v>105.613</v>
      </c>
    </row>
    <row r="14">
      <c r="A14" s="4" t="inlineStr">
        <is>
          <t xml:space="preserve">  EBIT Margin</t>
        </is>
      </c>
      <c r="C14" s="11" t="n">
        <v>-0.1303756196433587</v>
      </c>
      <c r="D14" s="11" t="n">
        <v>-0.03377637614678899</v>
      </c>
      <c r="E14" s="11" t="n">
        <v>0.0419251019631375</v>
      </c>
      <c r="F14" s="11" t="n">
        <v>0.04498693792950103</v>
      </c>
    </row>
    <row r="16">
      <c r="A16" s="4" t="inlineStr">
        <is>
          <t>Interest Expense</t>
        </is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-0.031</v>
      </c>
      <c r="D17" s="5" t="n">
        <v>1.975</v>
      </c>
      <c r="E17" s="5" t="n">
        <v>-54.327</v>
      </c>
      <c r="F17" s="5" t="n">
        <v>-4.441</v>
      </c>
    </row>
    <row r="18">
      <c r="A18" s="2" t="inlineStr">
        <is>
          <t>Net Income</t>
        </is>
      </c>
      <c r="C18" s="5" t="n">
        <v>-65.678</v>
      </c>
      <c r="D18" s="5" t="n">
        <v>-23.546</v>
      </c>
      <c r="E18" s="5" t="n">
        <v>126.038</v>
      </c>
      <c r="F18" s="5" t="n">
        <v>128.365</v>
      </c>
    </row>
    <row r="19">
      <c r="A19" s="4" t="inlineStr">
        <is>
          <t xml:space="preserve">  Net Margin</t>
        </is>
      </c>
      <c r="C19" s="11" t="n">
        <v>-0.1246460536404285</v>
      </c>
      <c r="D19" s="11" t="n">
        <v>-0.02700229357798165</v>
      </c>
      <c r="E19" s="11" t="n">
        <v>0.085361872627012</v>
      </c>
      <c r="F19" s="11" t="n">
        <v>0.05467838511660875</v>
      </c>
    </row>
    <row r="21">
      <c r="A21" s="2" t="inlineStr">
        <is>
          <t>EBITDA</t>
        </is>
      </c>
      <c r="C21" s="5" t="n">
        <v>-61.223</v>
      </c>
      <c r="D21" s="5" t="n">
        <v>-19.938</v>
      </c>
      <c r="E21" s="5" t="n">
        <v>78.991</v>
      </c>
      <c r="F21" s="5" t="n">
        <v>160.115</v>
      </c>
    </row>
    <row r="22">
      <c r="A22" s="4" t="inlineStr">
        <is>
          <t xml:space="preserve">  EBITDA Margin</t>
        </is>
      </c>
      <c r="C22" s="11" t="n">
        <v>-0.1161911955605827</v>
      </c>
      <c r="D22" s="11" t="n">
        <v>-0.02286467889908257</v>
      </c>
      <c r="E22" s="11" t="n">
        <v>0.05349830749996275</v>
      </c>
      <c r="F22" s="11" t="n">
        <v>0.06820262246676126</v>
      </c>
    </row>
    <row r="23">
      <c r="A23" s="4" t="inlineStr">
        <is>
          <t>Diluted EPS</t>
        </is>
      </c>
      <c r="C23" s="12" t="n">
        <v>-0.32</v>
      </c>
      <c r="D23" s="12" t="n">
        <v>-0.11</v>
      </c>
      <c r="E23" s="12" t="n">
        <v>0.53</v>
      </c>
      <c r="F23" s="12" t="n">
        <v>0.51</v>
      </c>
    </row>
    <row r="24">
      <c r="A24" s="4" t="inlineStr">
        <is>
          <t>D&amp;A</t>
        </is>
      </c>
      <c r="C24" s="5" t="n">
        <v>7.474</v>
      </c>
      <c r="D24" s="5" t="n">
        <v>9.515000000000001</v>
      </c>
      <c r="E24" s="5" t="n">
        <v>17.088</v>
      </c>
      <c r="F24" s="5" t="n">
        <v>54.502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46.772</v>
      </c>
      <c r="D28" s="5" t="n">
        <v>96.663</v>
      </c>
      <c r="E28" s="5" t="n">
        <v>220.584</v>
      </c>
      <c r="F28" s="5" t="n">
        <v>228.616</v>
      </c>
    </row>
    <row r="29">
      <c r="A29" s="4" t="inlineStr">
        <is>
          <t>Current Assets</t>
        </is>
      </c>
      <c r="C29" s="5" t="n">
        <v>216.595</v>
      </c>
      <c r="D29" s="5" t="n">
        <v>265.053</v>
      </c>
      <c r="E29" s="5" t="n">
        <v>395.831</v>
      </c>
      <c r="F29" s="5" t="n">
        <v>767.638</v>
      </c>
    </row>
    <row r="30">
      <c r="A30" s="4" t="inlineStr">
        <is>
          <t>Net PP&amp;E</t>
        </is>
      </c>
      <c r="C30" s="5" t="n">
        <v>16.135</v>
      </c>
      <c r="D30" s="5" t="n">
        <v>45.731</v>
      </c>
      <c r="E30" s="5" t="n">
        <v>92.964</v>
      </c>
      <c r="F30" s="5" t="n">
        <v>448.976</v>
      </c>
    </row>
    <row r="31">
      <c r="A31" s="4" t="inlineStr">
        <is>
          <t>Goodwill</t>
        </is>
      </c>
      <c r="C31" s="5" t="n">
        <v>110.881</v>
      </c>
      <c r="D31" s="5" t="n">
        <v>110.881</v>
      </c>
      <c r="E31" s="5" t="n">
        <v>112.728</v>
      </c>
      <c r="F31" s="5" t="n">
        <v>278.325</v>
      </c>
    </row>
    <row r="32">
      <c r="A32" s="2" t="inlineStr">
        <is>
          <t>Total Assets</t>
        </is>
      </c>
      <c r="C32" s="5" t="n">
        <v>366.341</v>
      </c>
      <c r="D32" s="5" t="n">
        <v>441.186</v>
      </c>
      <c r="E32" s="5" t="n">
        <v>707.539</v>
      </c>
      <c r="F32" s="5" t="n">
        <v>2154.705</v>
      </c>
    </row>
    <row r="34">
      <c r="A34" s="4" t="inlineStr">
        <is>
          <t>Current Liabilities</t>
        </is>
      </c>
      <c r="C34" s="5" t="n">
        <v>47.941</v>
      </c>
      <c r="D34" s="5" t="n">
        <v>88.468</v>
      </c>
      <c r="E34" s="5" t="n">
        <v>221.367</v>
      </c>
      <c r="F34" s="5" t="n">
        <v>404.431</v>
      </c>
    </row>
    <row r="35">
      <c r="A35" s="4" t="inlineStr">
        <is>
          <t>Total Debt</t>
        </is>
      </c>
      <c r="C35" s="5" t="n">
        <v>5.307</v>
      </c>
      <c r="D35" s="5" t="n">
        <v>9.948</v>
      </c>
      <c r="E35" s="5" t="n">
        <v>11.345</v>
      </c>
      <c r="F35" s="5" t="n">
        <v>1120.59</v>
      </c>
    </row>
    <row r="36">
      <c r="A36" s="2" t="inlineStr">
        <is>
          <t>Total Liabilities</t>
        </is>
      </c>
      <c r="C36" s="5" t="n">
        <v>54.6</v>
      </c>
      <c r="D36" s="5" t="n">
        <v>97.157</v>
      </c>
      <c r="E36" s="5" t="n">
        <v>230.823</v>
      </c>
      <c r="F36" s="5" t="n">
        <v>1613.777</v>
      </c>
    </row>
    <row r="38">
      <c r="A38" s="2" t="inlineStr">
        <is>
          <t>Total Equity</t>
        </is>
      </c>
      <c r="C38" s="5" t="n">
        <v>311.741</v>
      </c>
      <c r="D38" s="5" t="n">
        <v>344.029</v>
      </c>
      <c r="E38" s="5" t="n">
        <v>476.716</v>
      </c>
      <c r="F38" s="5" t="n">
        <v>540.928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-26.531</v>
      </c>
      <c r="D42" s="5" t="n">
        <v>73.483</v>
      </c>
      <c r="E42" s="5" t="n">
        <v>251.084</v>
      </c>
      <c r="F42" s="5" t="n">
        <v>300.006</v>
      </c>
    </row>
    <row r="43">
      <c r="A43" s="4" t="inlineStr">
        <is>
          <t>Capital Expenditure</t>
        </is>
      </c>
      <c r="C43" s="5" t="n">
        <v>-7.247</v>
      </c>
      <c r="D43" s="5" t="n">
        <v>-26.492</v>
      </c>
      <c r="E43" s="5" t="n">
        <v>-52.75</v>
      </c>
      <c r="F43" s="5" t="n">
        <v>-242.591</v>
      </c>
    </row>
    <row r="44">
      <c r="A44" s="2" t="inlineStr">
        <is>
          <t>Free Cash Flow</t>
        </is>
      </c>
      <c r="C44" s="5" t="n">
        <v>-33.778</v>
      </c>
      <c r="D44" s="5" t="n">
        <v>46.991</v>
      </c>
      <c r="E44" s="5" t="n">
        <v>198.334</v>
      </c>
      <c r="F44" s="5" t="n">
        <v>57.415</v>
      </c>
    </row>
    <row r="46">
      <c r="A46" s="4" t="inlineStr">
        <is>
          <t>D&amp;A</t>
        </is>
      </c>
      <c r="C46" s="5" t="n">
        <v>7.474</v>
      </c>
      <c r="D46" s="5" t="n">
        <v>9.515000000000001</v>
      </c>
      <c r="E46" s="5" t="n">
        <v>17.088</v>
      </c>
      <c r="F46" s="5" t="n">
        <v>54.502</v>
      </c>
    </row>
    <row r="47">
      <c r="A47" s="4" t="inlineStr">
        <is>
          <t>Stock-Based Compensation</t>
        </is>
      </c>
      <c r="C47" s="5" t="n">
        <v>42.817</v>
      </c>
      <c r="D47" s="5" t="n">
        <v>66.08</v>
      </c>
      <c r="E47" s="5" t="n">
        <v>92.322</v>
      </c>
      <c r="F47" s="5" t="n">
        <v>135.244</v>
      </c>
    </row>
    <row r="48">
      <c r="A48" s="4" t="inlineStr">
        <is>
          <t>Change in Working Capital</t>
        </is>
      </c>
      <c r="C48" s="5" t="n">
        <v>-14.195</v>
      </c>
      <c r="D48" s="5" t="n">
        <v>20.821</v>
      </c>
      <c r="E48" s="5" t="n">
        <v>78.623</v>
      </c>
      <c r="F48" s="5" t="n">
        <v>-29.161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Hims &amp; Hers Health, Inc. (HIMS)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Drug Manufacturers - Specialty &amp; Generic</t>
        </is>
      </c>
      <c r="C8" s="5" t="n">
        <v>526.9160000000001</v>
      </c>
      <c r="D8" s="5" t="n">
        <v>872</v>
      </c>
      <c r="E8" s="5" t="n">
        <v>1476.514</v>
      </c>
      <c r="F8" s="5" t="n">
        <v>2347.637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118.194</v>
      </c>
      <c r="D16" s="5" t="n">
        <v>157.051</v>
      </c>
      <c r="E16" s="5" t="n">
        <v>303.379</v>
      </c>
      <c r="F16" s="5" t="n">
        <v>614.259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370.779</v>
      </c>
      <c r="D20" s="5" t="n">
        <v>576.318</v>
      </c>
      <c r="E20" s="5" t="n">
        <v>846.611</v>
      </c>
      <c r="F20" s="5" t="n">
        <v>1192.02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29.237</v>
      </c>
      <c r="D21" s="5" t="n">
        <v>48.227</v>
      </c>
      <c r="E21" s="5" t="n">
        <v>78.819</v>
      </c>
      <c r="F21" s="5" t="n">
        <v>149.301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7.474</v>
      </c>
      <c r="D22" s="5" t="n">
        <v>9.515000000000001</v>
      </c>
      <c r="E22" s="5" t="n">
        <v>17.088</v>
      </c>
      <c r="F22" s="5" t="n">
        <v>54.502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-0.031</v>
      </c>
      <c r="D31" s="5" t="n">
        <v>1.975</v>
      </c>
      <c r="E31" s="5" t="n">
        <v>-54.327</v>
      </c>
      <c r="F31" s="5" t="n">
        <v>-4.441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-14.195</v>
      </c>
      <c r="D39" s="5" t="n">
        <v>20.821</v>
      </c>
      <c r="E39" s="5" t="n">
        <v>78.623</v>
      </c>
      <c r="F39" s="5" t="n">
        <v>-29.161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-7.247</v>
      </c>
      <c r="D42" s="5" t="n">
        <v>-26.492</v>
      </c>
      <c r="E42" s="5" t="n">
        <v>-52.75</v>
      </c>
      <c r="F42" s="5" t="n">
        <v>-242.591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Hims &amp; Hers Health, Inc. (HIMS)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25.13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-891.974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222.693408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C33/25.13-1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0.07000000000000001</v>
      </c>
      <c r="C39" s="22">
        <f>(G$12/(1+$A$39)^1+H$12/(1+$A$39)^2+I$12/(1+$A$39)^3+J$12/(1+$A$39)^4+K$12/(1+$A$39)^5+K$8*14/(1+$A$39)^5+$C$29)/$C$32</f>
        <v/>
      </c>
      <c r="D39" s="22">
        <f>(G$12/(1+$A$39)^1+H$12/(1+$A$39)^2+I$12/(1+$A$39)^3+J$12/(1+$A$39)^4+K$12/(1+$A$39)^5+K$8*16/(1+$A$39)^5+$C$29)/$C$32</f>
        <v/>
      </c>
      <c r="E39" s="22">
        <f>(G$12/(1+$A$39)^1+H$12/(1+$A$39)^2+I$12/(1+$A$39)^3+J$12/(1+$A$39)^4+K$12/(1+$A$39)^5+K$8*18/(1+$A$39)^5+$C$29)/$C$32</f>
        <v/>
      </c>
      <c r="F39" s="22">
        <f>(G$12/(1+$A$39)^1+H$12/(1+$A$39)^2+I$12/(1+$A$39)^3+J$12/(1+$A$39)^4+K$12/(1+$A$39)^5+K$8*20/(1+$A$39)^5+$C$29)/$C$32</f>
        <v/>
      </c>
      <c r="G39" s="22">
        <f>(G$12/(1+$A$39)^1+H$12/(1+$A$39)^2+I$12/(1+$A$39)^3+J$12/(1+$A$39)^4+K$12/(1+$A$39)^5+K$8*22/(1+$A$39)^5+$C$29)/$C$32</f>
        <v/>
      </c>
    </row>
    <row r="40">
      <c r="A40" s="21" t="n">
        <v>0.08</v>
      </c>
      <c r="C40" s="22">
        <f>(G$12/(1+$A$40)^1+H$12/(1+$A$40)^2+I$12/(1+$A$40)^3+J$12/(1+$A$40)^4+K$12/(1+$A$40)^5+K$8*14/(1+$A$40)^5+$C$29)/$C$32</f>
        <v/>
      </c>
      <c r="D40" s="22">
        <f>(G$12/(1+$A$40)^1+H$12/(1+$A$40)^2+I$12/(1+$A$40)^3+J$12/(1+$A$40)^4+K$12/(1+$A$40)^5+K$8*16/(1+$A$40)^5+$C$29)/$C$32</f>
        <v/>
      </c>
      <c r="E40" s="22">
        <f>(G$12/(1+$A$40)^1+H$12/(1+$A$40)^2+I$12/(1+$A$40)^3+J$12/(1+$A$40)^4+K$12/(1+$A$40)^5+K$8*18/(1+$A$40)^5+$C$29)/$C$32</f>
        <v/>
      </c>
      <c r="F40" s="22">
        <f>(G$12/(1+$A$40)^1+H$12/(1+$A$40)^2+I$12/(1+$A$40)^3+J$12/(1+$A$40)^4+K$12/(1+$A$40)^5+K$8*20/(1+$A$40)^5+$C$29)/$C$32</f>
        <v/>
      </c>
      <c r="G40" s="22">
        <f>(G$12/(1+$A$40)^1+H$12/(1+$A$40)^2+I$12/(1+$A$40)^3+J$12/(1+$A$40)^4+K$12/(1+$A$40)^5+K$8*22/(1+$A$40)^5+$C$29)/$C$32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(G$12/(1+$A$41)^1+H$12/(1+$A$41)^2+I$12/(1+$A$41)^3+J$12/(1+$A$41)^4+K$12/(1+$A$41)^5+K$8*14/(1+$A$41)^5+$C$29)/$C$32</f>
        <v/>
      </c>
      <c r="D41" s="22">
        <f>(G$12/(1+$A$41)^1+H$12/(1+$A$41)^2+I$12/(1+$A$41)^3+J$12/(1+$A$41)^4+K$12/(1+$A$41)^5+K$8*16/(1+$A$41)^5+$C$29)/$C$32</f>
        <v/>
      </c>
      <c r="E41" s="22">
        <f>(G$12/(1+$A$41)^1+H$12/(1+$A$41)^2+I$12/(1+$A$41)^3+J$12/(1+$A$41)^4+K$12/(1+$A$41)^5+K$8*18/(1+$A$41)^5+$C$29)/$C$32</f>
        <v/>
      </c>
      <c r="F41" s="22">
        <f>(G$12/(1+$A$41)^1+H$12/(1+$A$41)^2+I$12/(1+$A$41)^3+J$12/(1+$A$41)^4+K$12/(1+$A$41)^5+K$8*20/(1+$A$41)^5+$C$29)/$C$32</f>
        <v/>
      </c>
      <c r="G41" s="22">
        <f>(G$12/(1+$A$41)^1+H$12/(1+$A$41)^2+I$12/(1+$A$41)^3+J$12/(1+$A$41)^4+K$12/(1+$A$41)^5+K$8*22/(1+$A$41)^5+$C$29)/$C$32</f>
        <v/>
      </c>
    </row>
    <row r="42">
      <c r="A42" s="21" t="n">
        <v>0.1</v>
      </c>
      <c r="C42" s="22">
        <f>(G$12/(1+$A$42)^1+H$12/(1+$A$42)^2+I$12/(1+$A$42)^3+J$12/(1+$A$42)^4+K$12/(1+$A$42)^5+K$8*14/(1+$A$42)^5+$C$29)/$C$32</f>
        <v/>
      </c>
      <c r="D42" s="22">
        <f>(G$12/(1+$A$42)^1+H$12/(1+$A$42)^2+I$12/(1+$A$42)^3+J$12/(1+$A$42)^4+K$12/(1+$A$42)^5+K$8*16/(1+$A$42)^5+$C$29)/$C$32</f>
        <v/>
      </c>
      <c r="E42" s="23">
        <f>(G$12/(1+$A$42)^1+H$12/(1+$A$42)^2+I$12/(1+$A$42)^3+J$12/(1+$A$42)^4+K$12/(1+$A$42)^5+K$8*18/(1+$A$42)^5+$C$29)/$C$32</f>
        <v/>
      </c>
      <c r="F42" s="22">
        <f>(G$12/(1+$A$42)^1+H$12/(1+$A$42)^2+I$12/(1+$A$42)^3+J$12/(1+$A$42)^4+K$12/(1+$A$42)^5+K$8*20/(1+$A$42)^5+$C$29)/$C$32</f>
        <v/>
      </c>
      <c r="G42" s="22">
        <f>(G$12/(1+$A$42)^1+H$12/(1+$A$42)^2+I$12/(1+$A$42)^3+J$12/(1+$A$42)^4+K$12/(1+$A$42)^5+K$8*22/(1+$A$42)^5+$C$29)/$C$32</f>
        <v/>
      </c>
    </row>
    <row r="43">
      <c r="A43" s="21" t="n">
        <v>0.11</v>
      </c>
      <c r="C43" s="22">
        <f>(G$12/(1+$A$43)^1+H$12/(1+$A$43)^2+I$12/(1+$A$43)^3+J$12/(1+$A$43)^4+K$12/(1+$A$43)^5+K$8*14/(1+$A$43)^5+$C$29)/$C$32</f>
        <v/>
      </c>
      <c r="D43" s="22">
        <f>(G$12/(1+$A$43)^1+H$12/(1+$A$43)^2+I$12/(1+$A$43)^3+J$12/(1+$A$43)^4+K$12/(1+$A$43)^5+K$8*16/(1+$A$43)^5+$C$29)/$C$32</f>
        <v/>
      </c>
      <c r="E43" s="22">
        <f>(G$12/(1+$A$43)^1+H$12/(1+$A$43)^2+I$12/(1+$A$43)^3+J$12/(1+$A$43)^4+K$12/(1+$A$43)^5+K$8*18/(1+$A$43)^5+$C$29)/$C$32</f>
        <v/>
      </c>
      <c r="F43" s="22">
        <f>(G$12/(1+$A$43)^1+H$12/(1+$A$43)^2+I$12/(1+$A$43)^3+J$12/(1+$A$43)^4+K$12/(1+$A$43)^5+K$8*20/(1+$A$43)^5+$C$29)/$C$32</f>
        <v/>
      </c>
      <c r="G43" s="22">
        <f>(G$12/(1+$A$43)^1+H$12/(1+$A$43)^2+I$12/(1+$A$43)^3+J$12/(1+$A$43)^4+K$12/(1+$A$43)^5+K$8*22/(1+$A$43)^5+$C$29)/$C$32</f>
        <v/>
      </c>
    </row>
    <row r="44">
      <c r="A44" s="21" t="n">
        <v>0.12</v>
      </c>
      <c r="C44" s="22">
        <f>(G$12/(1+$A$44)^1+H$12/(1+$A$44)^2+I$12/(1+$A$44)^3+J$12/(1+$A$44)^4+K$12/(1+$A$44)^5+K$8*14/(1+$A$44)^5+$C$29)/$C$32</f>
        <v/>
      </c>
      <c r="D44" s="22">
        <f>(G$12/(1+$A$44)^1+H$12/(1+$A$44)^2+I$12/(1+$A$44)^3+J$12/(1+$A$44)^4+K$12/(1+$A$44)^5+K$8*16/(1+$A$44)^5+$C$29)/$C$32</f>
        <v/>
      </c>
      <c r="E44" s="22">
        <f>(G$12/(1+$A$44)^1+H$12/(1+$A$44)^2+I$12/(1+$A$44)^3+J$12/(1+$A$44)^4+K$12/(1+$A$44)^5+K$8*18/(1+$A$44)^5+$C$29)/$C$32</f>
        <v/>
      </c>
      <c r="F44" s="22">
        <f>(G$12/(1+$A$44)^1+H$12/(1+$A$44)^2+I$12/(1+$A$44)^3+J$12/(1+$A$44)^4+K$12/(1+$A$44)^5+K$8*20/(1+$A$44)^5+$C$29)/$C$32</f>
        <v/>
      </c>
      <c r="G44" s="22">
        <f>(G$12/(1+$A$44)^1+H$12/(1+$A$44)^2+I$12/(1+$A$44)^3+J$12/(1+$A$44)^4+K$12/(1+$A$44)^5+K$8*22/(1+$A$44)^5+$C$29)/$C$32</f>
        <v/>
      </c>
    </row>
    <row r="45">
      <c r="A45" s="21" t="n">
        <v>0.13</v>
      </c>
      <c r="C45" s="22">
        <f>(G$12/(1+$A$45)^1+H$12/(1+$A$45)^2+I$12/(1+$A$45)^3+J$12/(1+$A$45)^4+K$12/(1+$A$45)^5+K$8*14/(1+$A$45)^5+$C$29)/$C$32</f>
        <v/>
      </c>
      <c r="D45" s="22">
        <f>(G$12/(1+$A$45)^1+H$12/(1+$A$45)^2+I$12/(1+$A$45)^3+J$12/(1+$A$45)^4+K$12/(1+$A$45)^5+K$8*16/(1+$A$45)^5+$C$29)/$C$32</f>
        <v/>
      </c>
      <c r="E45" s="22">
        <f>(G$12/(1+$A$45)^1+H$12/(1+$A$45)^2+I$12/(1+$A$45)^3+J$12/(1+$A$45)^4+K$12/(1+$A$45)^5+K$8*18/(1+$A$45)^5+$C$29)/$C$32</f>
        <v/>
      </c>
      <c r="F45" s="22">
        <f>(G$12/(1+$A$45)^1+H$12/(1+$A$45)^2+I$12/(1+$A$45)^3+J$12/(1+$A$45)^4+K$12/(1+$A$45)^5+K$8*20/(1+$A$45)^5+$C$29)/$C$32</f>
        <v/>
      </c>
      <c r="G45" s="22">
        <f>(G$12/(1+$A$45)^1+H$12/(1+$A$45)^2+I$12/(1+$A$45)^3+J$12/(1+$A$45)^4+K$12/(1+$A$45)^5+K$8*22/(1+$A$45)^5+$C$29)/$C$32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2026-05-12T18:49:50Z</dcterms:created>
  <dcterms:modified xmlns:dcterms="http://purl.org/dc/terms/" xmlns:xsi="http://www.w3.org/2001/XMLSchema-instance" xsi:type="dcterms:W3CDTF">2026-05-12T18:49:50Z</dcterms:modified>
</cp:coreProperties>
</file>