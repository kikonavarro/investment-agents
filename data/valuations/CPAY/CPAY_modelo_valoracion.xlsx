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Corpay, Inc. (CPAY)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Infrastructure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3427.129</v>
      </c>
      <c r="D7" s="5" t="n">
        <v>3757.719</v>
      </c>
      <c r="E7" s="5" t="n">
        <v>3974.589</v>
      </c>
      <c r="F7" s="5" t="n">
        <v>4528.403</v>
      </c>
    </row>
    <row r="8">
      <c r="A8" s="4" t="inlineStr">
        <is>
          <t xml:space="preserve">  Revenue Growth - Base</t>
        </is>
      </c>
      <c r="G8" s="6" t="n">
        <v>0.16</v>
      </c>
      <c r="H8" s="6" t="n">
        <v>0.11</v>
      </c>
      <c r="I8" s="6" t="n">
        <v>0.1</v>
      </c>
      <c r="J8" s="6" t="n">
        <v>0.09</v>
      </c>
      <c r="K8" s="6" t="n">
        <v>0.08</v>
      </c>
    </row>
    <row r="9">
      <c r="A9" s="4" t="inlineStr">
        <is>
          <t xml:space="preserve">  Revenue Growth - Bull</t>
        </is>
      </c>
      <c r="G9" s="6" t="n">
        <v>0.18</v>
      </c>
      <c r="H9" s="6" t="n">
        <v>0.13</v>
      </c>
      <c r="I9" s="6" t="n">
        <v>0.12</v>
      </c>
      <c r="J9" s="6" t="n">
        <v>0.11</v>
      </c>
      <c r="K9" s="6" t="n">
        <v>0.1</v>
      </c>
    </row>
    <row r="10">
      <c r="A10" s="4" t="inlineStr">
        <is>
          <t xml:space="preserve">  Revenue Growth - Bear</t>
        </is>
      </c>
      <c r="G10" s="6" t="n">
        <v>0.13</v>
      </c>
      <c r="H10" s="6" t="n">
        <v>0.05</v>
      </c>
      <c r="I10" s="6" t="n">
        <v>0.04</v>
      </c>
      <c r="J10" s="6" t="n">
        <v>0.04</v>
      </c>
      <c r="K10" s="6" t="n">
        <v>0.04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0.78</v>
      </c>
      <c r="H15" s="6" t="n">
        <v>0.78</v>
      </c>
      <c r="I15" s="6" t="n">
        <v>0.78</v>
      </c>
      <c r="J15" s="6" t="n">
        <v>0.78</v>
      </c>
      <c r="K15" s="6" t="n">
        <v>0.78</v>
      </c>
    </row>
    <row r="16">
      <c r="A16" s="4" t="inlineStr">
        <is>
          <t>Gross Margin - Bull</t>
        </is>
      </c>
      <c r="G16" s="6" t="n">
        <v>0.78</v>
      </c>
      <c r="H16" s="6" t="n">
        <v>0.78</v>
      </c>
      <c r="I16" s="6" t="n">
        <v>0.78</v>
      </c>
      <c r="J16" s="6" t="n">
        <v>0.78</v>
      </c>
      <c r="K16" s="6" t="n">
        <v>0.78</v>
      </c>
    </row>
    <row r="17">
      <c r="A17" s="4" t="inlineStr">
        <is>
          <t>Gross Margin - Bear</t>
        </is>
      </c>
      <c r="G17" s="6" t="n">
        <v>0.78</v>
      </c>
      <c r="H17" s="6" t="n">
        <v>0.78</v>
      </c>
      <c r="I17" s="6" t="n">
        <v>0.78</v>
      </c>
      <c r="J17" s="6" t="n">
        <v>0.78</v>
      </c>
      <c r="K17" s="6" t="n">
        <v>0.78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0.35</v>
      </c>
      <c r="H20" s="6" t="n">
        <v>0.35</v>
      </c>
      <c r="I20" s="6" t="n">
        <v>0.35</v>
      </c>
      <c r="J20" s="6" t="n">
        <v>0.35</v>
      </c>
      <c r="K20" s="6" t="n">
        <v>0.35</v>
      </c>
    </row>
    <row r="21">
      <c r="A21" s="4" t="inlineStr">
        <is>
          <t>SG&amp;A % Revenue - Bull</t>
        </is>
      </c>
      <c r="G21" s="6" t="n">
        <v>0.34</v>
      </c>
      <c r="H21" s="6" t="n">
        <v>0.34</v>
      </c>
      <c r="I21" s="6" t="n">
        <v>0.34</v>
      </c>
      <c r="J21" s="6" t="n">
        <v>0.34</v>
      </c>
      <c r="K21" s="6" t="n">
        <v>0.34</v>
      </c>
    </row>
    <row r="22">
      <c r="A22" s="4" t="inlineStr">
        <is>
          <t>SG&amp;A % Revenue - Bear</t>
        </is>
      </c>
      <c r="G22" s="6" t="n">
        <v>0.38</v>
      </c>
      <c r="H22" s="6" t="n">
        <v>0.38</v>
      </c>
      <c r="I22" s="6" t="n">
        <v>0.38</v>
      </c>
      <c r="J22" s="6" t="n">
        <v>0.38</v>
      </c>
      <c r="K22" s="6" t="n">
        <v>0.38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0.08500000000000001</v>
      </c>
      <c r="H30" s="6" t="n">
        <v>0.08500000000000001</v>
      </c>
      <c r="I30" s="6" t="n">
        <v>0.08500000000000001</v>
      </c>
      <c r="J30" s="6" t="n">
        <v>0.08500000000000001</v>
      </c>
      <c r="K30" s="6" t="n">
        <v>0.08500000000000001</v>
      </c>
    </row>
    <row r="31">
      <c r="A31" s="4" t="inlineStr">
        <is>
          <t>CapEx % Revenue</t>
        </is>
      </c>
      <c r="G31" s="6" t="n">
        <v>0.045</v>
      </c>
      <c r="H31" s="6" t="n">
        <v>0.045</v>
      </c>
      <c r="I31" s="6" t="n">
        <v>0.045</v>
      </c>
      <c r="J31" s="6" t="n">
        <v>0.045</v>
      </c>
      <c r="K31" s="6" t="n">
        <v>0.045</v>
      </c>
    </row>
    <row r="32">
      <c r="A32" s="4" t="inlineStr">
        <is>
          <t>Tax Rate</t>
        </is>
      </c>
      <c r="G32" s="6" t="n">
        <v>0.22</v>
      </c>
      <c r="H32" s="6" t="n">
        <v>0.22</v>
      </c>
      <c r="I32" s="6" t="n">
        <v>0.22</v>
      </c>
      <c r="J32" s="6" t="n">
        <v>0.22</v>
      </c>
      <c r="K32" s="6" t="n">
        <v>0.22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13.5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Corpay, Inc. (CPAY)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3427.129</v>
      </c>
      <c r="D6" s="5" t="n">
        <v>3757.719</v>
      </c>
      <c r="E6" s="5" t="n">
        <v>3974.589</v>
      </c>
      <c r="F6" s="5" t="n">
        <v>4528.403</v>
      </c>
    </row>
    <row r="7">
      <c r="A7" s="4" t="inlineStr">
        <is>
          <t>Cost of Revenue</t>
        </is>
      </c>
      <c r="C7" s="5" t="n">
        <v>764.707</v>
      </c>
      <c r="D7" s="5" t="n">
        <v>819.908</v>
      </c>
      <c r="E7" s="5" t="n">
        <v>869.085</v>
      </c>
      <c r="F7" s="5" t="n">
        <v>969.177</v>
      </c>
    </row>
    <row r="8">
      <c r="A8" s="2" t="inlineStr">
        <is>
          <t>Gross Profit</t>
        </is>
      </c>
      <c r="C8" s="5" t="n">
        <v>2662.422</v>
      </c>
      <c r="D8" s="5" t="n">
        <v>2937.811</v>
      </c>
      <c r="E8" s="5" t="n">
        <v>3105.504</v>
      </c>
      <c r="F8" s="5" t="n">
        <v>3559.226</v>
      </c>
    </row>
    <row r="9">
      <c r="A9" s="4" t="inlineStr">
        <is>
          <t xml:space="preserve">  Gross Margin</t>
        </is>
      </c>
      <c r="C9" s="11" t="n">
        <v>0.7768665842458804</v>
      </c>
      <c r="D9" s="11" t="n">
        <v>0.7818069951478543</v>
      </c>
      <c r="E9" s="11" t="n">
        <v>0.7813396554964551</v>
      </c>
      <c r="F9" s="11" t="n">
        <v>0.7859781914286339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893.217</v>
      </c>
      <c r="D12" s="5" t="n">
        <v>943.581</v>
      </c>
      <c r="E12" s="5" t="n">
        <v>997.78</v>
      </c>
      <c r="F12" s="5" t="n">
        <v>1212.016</v>
      </c>
    </row>
    <row r="13">
      <c r="A13" s="2" t="inlineStr">
        <is>
          <t>Operating Income (EBIT)</t>
        </is>
      </c>
      <c r="C13" s="5" t="n">
        <v>1446.641</v>
      </c>
      <c r="D13" s="5" t="n">
        <v>1656.873</v>
      </c>
      <c r="E13" s="5" t="n">
        <v>1755.847</v>
      </c>
      <c r="F13" s="5" t="n">
        <v>1951.847</v>
      </c>
    </row>
    <row r="14">
      <c r="A14" s="4" t="inlineStr">
        <is>
          <t xml:space="preserve">  EBIT Margin</t>
        </is>
      </c>
      <c r="C14" s="11" t="n">
        <v>0.4221145454402213</v>
      </c>
      <c r="D14" s="11" t="n">
        <v>0.4409251995692067</v>
      </c>
      <c r="E14" s="11" t="n">
        <v>0.4417681928873652</v>
      </c>
      <c r="F14" s="11" t="n">
        <v>0.4310232547765736</v>
      </c>
    </row>
    <row r="16">
      <c r="A16" s="4" t="inlineStr">
        <is>
          <t>Interest Expense</t>
        </is>
      </c>
      <c r="C16" s="5" t="n">
        <v>164.662</v>
      </c>
      <c r="D16" s="5" t="n">
        <v>348.607</v>
      </c>
      <c r="E16" s="5" t="n">
        <v>383.043</v>
      </c>
      <c r="F16" s="5" t="n">
        <v>403.848</v>
      </c>
    </row>
    <row r="17">
      <c r="A17" s="4" t="inlineStr">
        <is>
          <t>Tax Provision</t>
        </is>
      </c>
      <c r="C17" s="5" t="n">
        <v>321.333</v>
      </c>
      <c r="D17" s="5" t="n">
        <v>343.115</v>
      </c>
      <c r="E17" s="5" t="n">
        <v>381.381</v>
      </c>
      <c r="F17" s="5" t="n">
        <v>469.731</v>
      </c>
    </row>
    <row r="18">
      <c r="A18" s="2" t="inlineStr">
        <is>
          <t>Net Income</t>
        </is>
      </c>
      <c r="C18" s="5" t="n">
        <v>954.327</v>
      </c>
      <c r="D18" s="5" t="n">
        <v>981.89</v>
      </c>
      <c r="E18" s="5" t="n">
        <v>1003.746</v>
      </c>
      <c r="F18" s="5" t="n">
        <v>1069.826</v>
      </c>
    </row>
    <row r="19">
      <c r="A19" s="4" t="inlineStr">
        <is>
          <t xml:space="preserve">  Net Margin</t>
        </is>
      </c>
      <c r="C19" s="11" t="n">
        <v>0.2784625265054219</v>
      </c>
      <c r="D19" s="11" t="n">
        <v>0.2612994744950328</v>
      </c>
      <c r="E19" s="11" t="n">
        <v>0.2525408287498406</v>
      </c>
      <c r="F19" s="11" t="n">
        <v>0.2362479664464492</v>
      </c>
    </row>
    <row r="21">
      <c r="A21" s="2" t="inlineStr">
        <is>
          <t>EBITDA</t>
        </is>
      </c>
      <c r="C21" s="5" t="n">
        <v>1762.604</v>
      </c>
      <c r="D21" s="5" t="n">
        <v>2010.216</v>
      </c>
      <c r="E21" s="5" t="n">
        <v>2119.244</v>
      </c>
      <c r="F21" s="5" t="n">
        <v>2338.83</v>
      </c>
    </row>
    <row r="22">
      <c r="A22" s="4" t="inlineStr">
        <is>
          <t xml:space="preserve">  EBITDA Margin</t>
        </is>
      </c>
      <c r="C22" s="11" t="n">
        <v>0.5143092075028398</v>
      </c>
      <c r="D22" s="11" t="n">
        <v>0.5349564456522694</v>
      </c>
      <c r="E22" s="11" t="n">
        <v>0.5331982753436896</v>
      </c>
      <c r="F22" s="11" t="n">
        <v>0.5164800924299361</v>
      </c>
    </row>
    <row r="23">
      <c r="A23" s="4" t="inlineStr">
        <is>
          <t>Diluted EPS</t>
        </is>
      </c>
      <c r="C23" s="12" t="n">
        <v>12.42</v>
      </c>
      <c r="D23" s="12" t="n">
        <v>13.2</v>
      </c>
      <c r="E23" s="12" t="n">
        <v>13.97</v>
      </c>
      <c r="F23" s="12" t="n">
        <v>15.03</v>
      </c>
    </row>
    <row r="24">
      <c r="A24" s="4" t="inlineStr">
        <is>
          <t>D&amp;A</t>
        </is>
      </c>
      <c r="C24" s="5" t="n">
        <v>322.282</v>
      </c>
      <c r="D24" s="5" t="n">
        <v>336.604</v>
      </c>
      <c r="E24" s="5" t="n">
        <v>351.088</v>
      </c>
      <c r="F24" s="5" t="n">
        <v>393.303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1435.163</v>
      </c>
      <c r="D28" s="5" t="n">
        <v>1389.648</v>
      </c>
      <c r="E28" s="5" t="n">
        <v>1553.642</v>
      </c>
      <c r="F28" s="5" t="n">
        <v>2408.097</v>
      </c>
    </row>
    <row r="29">
      <c r="A29" s="4" t="inlineStr">
        <is>
          <t>Current Assets</t>
        </is>
      </c>
      <c r="C29" s="5" t="n">
        <v>6106.152</v>
      </c>
      <c r="D29" s="5" t="n">
        <v>7084.265</v>
      </c>
      <c r="E29" s="5" t="n">
        <v>8675.869000000001</v>
      </c>
      <c r="F29" s="5" t="n">
        <v>13963.24</v>
      </c>
    </row>
    <row r="30">
      <c r="A30" s="4" t="inlineStr">
        <is>
          <t>Net PP&amp;E</t>
        </is>
      </c>
      <c r="C30" s="5" t="n">
        <v>294.692</v>
      </c>
      <c r="D30" s="5" t="n">
        <v>343.154</v>
      </c>
      <c r="E30" s="5" t="n">
        <v>377.705</v>
      </c>
      <c r="F30" s="5" t="n">
        <v>472.31</v>
      </c>
    </row>
    <row r="31">
      <c r="A31" s="4" t="inlineStr">
        <is>
          <t>Goodwill</t>
        </is>
      </c>
      <c r="C31" s="5" t="n">
        <v>5201.435</v>
      </c>
      <c r="D31" s="5" t="n">
        <v>5644.958</v>
      </c>
      <c r="E31" s="5" t="n">
        <v>5984.667</v>
      </c>
      <c r="F31" s="5" t="n">
        <v>7564.822</v>
      </c>
    </row>
    <row r="32">
      <c r="A32" s="2" t="inlineStr">
        <is>
          <t>Total Assets</t>
        </is>
      </c>
      <c r="C32" s="5" t="n">
        <v>14089.26</v>
      </c>
      <c r="D32" s="5" t="n">
        <v>15476.252</v>
      </c>
      <c r="E32" s="5" t="n">
        <v>17957.031</v>
      </c>
      <c r="F32" s="5" t="n">
        <v>26408.135</v>
      </c>
    </row>
    <row r="34">
      <c r="A34" s="4" t="inlineStr">
        <is>
          <t>Current Liabilities</t>
        </is>
      </c>
      <c r="C34" s="5" t="n">
        <v>6043.455</v>
      </c>
      <c r="D34" s="5" t="n">
        <v>6825.753</v>
      </c>
      <c r="E34" s="5" t="n">
        <v>8707.880999999999</v>
      </c>
      <c r="F34" s="5" t="n">
        <v>14296.677</v>
      </c>
    </row>
    <row r="35">
      <c r="A35" s="4" t="inlineStr">
        <is>
          <t>Total Debt</t>
        </is>
      </c>
      <c r="C35" s="5" t="n">
        <v>7036.894</v>
      </c>
      <c r="D35" s="5" t="n">
        <v>6722.905</v>
      </c>
      <c r="E35" s="5" t="n">
        <v>7996.08</v>
      </c>
      <c r="F35" s="5" t="n">
        <v>10001.687</v>
      </c>
    </row>
    <row r="36">
      <c r="A36" s="2" t="inlineStr">
        <is>
          <t>Total Liabilities</t>
        </is>
      </c>
      <c r="C36" s="5" t="n">
        <v>11547.767</v>
      </c>
      <c r="D36" s="5" t="n">
        <v>12193.893</v>
      </c>
      <c r="E36" s="5" t="n">
        <v>14811.042</v>
      </c>
      <c r="F36" s="5" t="n">
        <v>22179.458</v>
      </c>
    </row>
    <row r="38">
      <c r="A38" s="2" t="inlineStr">
        <is>
          <t>Total Equity</t>
        </is>
      </c>
      <c r="C38" s="5" t="n">
        <v>2541.493</v>
      </c>
      <c r="D38" s="5" t="n">
        <v>3282.359</v>
      </c>
      <c r="E38" s="5" t="n">
        <v>3145.989</v>
      </c>
      <c r="F38" s="5" t="n">
        <v>4228.677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754.797</v>
      </c>
      <c r="D42" s="5" t="n">
        <v>2101.132</v>
      </c>
      <c r="E42" s="5" t="n">
        <v>1940.565</v>
      </c>
      <c r="F42" s="5" t="n">
        <v>1499.901</v>
      </c>
    </row>
    <row r="43">
      <c r="A43" s="4" t="inlineStr">
        <is>
          <t>Capital Expenditure</t>
        </is>
      </c>
      <c r="C43" s="5" t="n">
        <v>-151.428</v>
      </c>
      <c r="D43" s="5" t="n">
        <v>-153.822</v>
      </c>
      <c r="E43" s="5" t="n">
        <v>-175.176</v>
      </c>
      <c r="F43" s="5" t="n">
        <v>-200.756</v>
      </c>
    </row>
    <row r="44">
      <c r="A44" s="2" t="inlineStr">
        <is>
          <t>Free Cash Flow</t>
        </is>
      </c>
      <c r="C44" s="5" t="n">
        <v>603.369</v>
      </c>
      <c r="D44" s="5" t="n">
        <v>1947.31</v>
      </c>
      <c r="E44" s="5" t="n">
        <v>1765.389</v>
      </c>
      <c r="F44" s="5" t="n">
        <v>1299.145</v>
      </c>
    </row>
    <row r="46">
      <c r="A46" s="4" t="inlineStr">
        <is>
          <t>D&amp;A</t>
        </is>
      </c>
      <c r="C46" s="5" t="n">
        <v>322.282</v>
      </c>
      <c r="D46" s="5" t="n">
        <v>336.604</v>
      </c>
      <c r="E46" s="5" t="n">
        <v>351.088</v>
      </c>
      <c r="F46" s="5" t="n">
        <v>393.303</v>
      </c>
    </row>
    <row r="47">
      <c r="A47" s="4" t="inlineStr">
        <is>
          <t>Stock-Based Compensation</t>
        </is>
      </c>
      <c r="C47" s="5" t="n">
        <v>121.416</v>
      </c>
      <c r="D47" s="5" t="n">
        <v>116.086</v>
      </c>
      <c r="E47" s="5" t="n">
        <v>116.724</v>
      </c>
      <c r="F47" s="5" t="n">
        <v>102.637</v>
      </c>
    </row>
    <row r="48">
      <c r="A48" s="4" t="inlineStr">
        <is>
          <t>Change in Working Capital</t>
        </is>
      </c>
      <c r="C48" s="5" t="n">
        <v>-752.496</v>
      </c>
      <c r="D48" s="5" t="n">
        <v>593.904</v>
      </c>
      <c r="E48" s="5" t="n">
        <v>447.854</v>
      </c>
      <c r="F48" s="5" t="n">
        <v>-162.421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Corpay, Inc. (CPAY)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Infrastructure</t>
        </is>
      </c>
      <c r="C8" s="5" t="n">
        <v>3427.129</v>
      </c>
      <c r="D8" s="5" t="n">
        <v>3757.719</v>
      </c>
      <c r="E8" s="5" t="n">
        <v>3974.589</v>
      </c>
      <c r="F8" s="5" t="n">
        <v>4528.403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764.707</v>
      </c>
      <c r="D16" s="5" t="n">
        <v>819.908</v>
      </c>
      <c r="E16" s="5" t="n">
        <v>869.085</v>
      </c>
      <c r="F16" s="5" t="n">
        <v>969.177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893.217</v>
      </c>
      <c r="D20" s="5" t="n">
        <v>943.581</v>
      </c>
      <c r="E20" s="5" t="n">
        <v>997.78</v>
      </c>
      <c r="F20" s="5" t="n">
        <v>1212.016</v>
      </c>
      <c r="G20" s="8">
        <f>-G15*Assumptions!G23</f>
        <v/>
      </c>
      <c r="H20" s="8">
        <f>-H15*Assumptions!H23</f>
        <v/>
      </c>
      <c r="I20" s="8">
        <f>-I15*Assumptions!I23</f>
        <v/>
      </c>
      <c r="J20" s="8">
        <f>-J15*Assumptions!J23</f>
        <v/>
      </c>
      <c r="K20" s="8">
        <f>-K15*Assumptions!K23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-G15*Assumptions!G28</f>
        <v/>
      </c>
      <c r="H21" s="8">
        <f>-H15*Assumptions!H28</f>
        <v/>
      </c>
      <c r="I21" s="8">
        <f>-I15*Assumptions!I28</f>
        <v/>
      </c>
      <c r="J21" s="8">
        <f>-J15*Assumptions!J28</f>
        <v/>
      </c>
      <c r="K21" s="8">
        <f>-K15*Assumptions!K28</f>
        <v/>
      </c>
    </row>
    <row r="22">
      <c r="A22" s="4" t="inlineStr">
        <is>
          <t>Depreciation &amp; Amortization</t>
        </is>
      </c>
      <c r="C22" s="5" t="n">
        <v>322.282</v>
      </c>
      <c r="D22" s="5" t="n">
        <v>336.604</v>
      </c>
      <c r="E22" s="5" t="n">
        <v>351.088</v>
      </c>
      <c r="F22" s="5" t="n">
        <v>393.303</v>
      </c>
      <c r="G22" s="8">
        <f>-G15*Assumptions!G30</f>
        <v/>
      </c>
      <c r="H22" s="8">
        <f>-H15*Assumptions!H30</f>
        <v/>
      </c>
      <c r="I22" s="8">
        <f>-I15*Assumptions!I30</f>
        <v/>
      </c>
      <c r="J22" s="8">
        <f>-J15*Assumptions!J30</f>
        <v/>
      </c>
      <c r="K22" s="8">
        <f>-K15*Assumptions!K30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164.662</v>
      </c>
      <c r="D29" s="5" t="n">
        <v>348.607</v>
      </c>
      <c r="E29" s="5" t="n">
        <v>383.043</v>
      </c>
      <c r="F29" s="5" t="n">
        <v>403.848</v>
      </c>
      <c r="G29" s="5" t="n">
        <v>403.848</v>
      </c>
      <c r="H29" s="5" t="n">
        <v>403.848</v>
      </c>
      <c r="I29" s="5" t="n">
        <v>403.848</v>
      </c>
      <c r="J29" s="5" t="n">
        <v>403.848</v>
      </c>
      <c r="K29" s="5" t="n">
        <v>403.848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321.333</v>
      </c>
      <c r="D31" s="5" t="n">
        <v>343.115</v>
      </c>
      <c r="E31" s="5" t="n">
        <v>381.381</v>
      </c>
      <c r="F31" s="5" t="n">
        <v>469.731</v>
      </c>
      <c r="G31" s="8">
        <f>-ABS(G30)*Assumptions!G32</f>
        <v/>
      </c>
      <c r="H31" s="8">
        <f>-ABS(H30)*Assumptions!H32</f>
        <v/>
      </c>
      <c r="I31" s="8">
        <f>-ABS(I30)*Assumptions!I32</f>
        <v/>
      </c>
      <c r="J31" s="8">
        <f>-ABS(J30)*Assumptions!J32</f>
        <v/>
      </c>
      <c r="K31" s="8">
        <f>-ABS(K30)*Assumptions!K32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-752.496</v>
      </c>
      <c r="D39" s="5" t="n">
        <v>593.904</v>
      </c>
      <c r="E39" s="5" t="n">
        <v>447.854</v>
      </c>
      <c r="F39" s="5" t="n">
        <v>-162.421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-151.428</v>
      </c>
      <c r="D42" s="5" t="n">
        <v>-153.822</v>
      </c>
      <c r="E42" s="5" t="n">
        <v>-175.176</v>
      </c>
      <c r="F42" s="5" t="n">
        <v>-200.756</v>
      </c>
      <c r="G42" s="8">
        <f>-ABS(G15)*Assumptions!G31</f>
        <v/>
      </c>
      <c r="H42" s="8">
        <f>-ABS(H15)*Assumptions!H31</f>
        <v/>
      </c>
      <c r="I42" s="8">
        <f>-ABS(I15)*Assumptions!I31</f>
        <v/>
      </c>
      <c r="J42" s="8">
        <f>-ABS(J15)*Assumptions!J31</f>
        <v/>
      </c>
      <c r="K42" s="8">
        <f>-ABS(K15)*Assumptions!K31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Corpay, Inc. (CPAY)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361.8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Assumptions!C38</f>
        <v/>
      </c>
    </row>
    <row r="16">
      <c r="A16" s="4" t="inlineStr">
        <is>
          <t>Terminal Value Multiple</t>
        </is>
      </c>
      <c r="C16" s="10">
        <f>Assumptions!C43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 [pre-IFRS16, decidida en tesis]</t>
        </is>
      </c>
      <c r="C29" s="18" t="n">
        <v>-7930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68.050296</v>
      </c>
    </row>
    <row r="33">
      <c r="A33" s="2" t="inlineStr">
        <is>
          <t>Equity Value per Share ($)</t>
        </is>
      </c>
      <c r="C33" s="19">
        <f>(C30/C32)*1</f>
        <v/>
      </c>
    </row>
    <row r="34">
      <c r="A34" s="2" t="inlineStr">
        <is>
          <t>Upside / Downside vs Current</t>
        </is>
      </c>
      <c r="C34" s="20">
        <f>C33/361.8-1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0.075</v>
      </c>
      <c r="C39" s="22">
        <f>((G$12/(1+$A$39)^1+H$12/(1+$A$39)^2+I$12/(1+$A$39)^3+J$12/(1+$A$39)^4+K$12/(1+$A$39)^5+K$8*8.0/(1+$A$39)^5+$C$29)/$C$32)*1</f>
        <v/>
      </c>
      <c r="D39" s="22">
        <f>((G$12/(1+$A$39)^1+H$12/(1+$A$39)^2+I$12/(1+$A$39)^3+J$12/(1+$A$39)^4+K$12/(1+$A$39)^5+K$8*10.0/(1+$A$39)^5+$C$29)/$C$32)*1</f>
        <v/>
      </c>
      <c r="E39" s="22">
        <f>((G$12/(1+$A$39)^1+H$12/(1+$A$39)^2+I$12/(1+$A$39)^3+J$12/(1+$A$39)^4+K$12/(1+$A$39)^5+K$8*12.0/(1+$A$39)^5+$C$29)/$C$32)*1</f>
        <v/>
      </c>
      <c r="F39" s="22">
        <f>((G$12/(1+$A$39)^1+H$12/(1+$A$39)^2+I$12/(1+$A$39)^3+J$12/(1+$A$39)^4+K$12/(1+$A$39)^5+K$8*14.0/(1+$A$39)^5+$C$29)/$C$32)*1</f>
        <v/>
      </c>
      <c r="G39" s="22">
        <f>((G$12/(1+$A$39)^1+H$12/(1+$A$39)^2+I$12/(1+$A$39)^3+J$12/(1+$A$39)^4+K$12/(1+$A$39)^5+K$8*16.0/(1+$A$39)^5+$C$29)/$C$32)*1</f>
        <v/>
      </c>
    </row>
    <row r="40">
      <c r="A40" s="21" t="n">
        <v>0.08499999999999999</v>
      </c>
      <c r="C40" s="22">
        <f>((G$12/(1+$A$40)^1+H$12/(1+$A$40)^2+I$12/(1+$A$40)^3+J$12/(1+$A$40)^4+K$12/(1+$A$40)^5+K$8*8.0/(1+$A$40)^5+$C$29)/$C$32)*1</f>
        <v/>
      </c>
      <c r="D40" s="22">
        <f>((G$12/(1+$A$40)^1+H$12/(1+$A$40)^2+I$12/(1+$A$40)^3+J$12/(1+$A$40)^4+K$12/(1+$A$40)^5+K$8*10.0/(1+$A$40)^5+$C$29)/$C$32)*1</f>
        <v/>
      </c>
      <c r="E40" s="22">
        <f>((G$12/(1+$A$40)^1+H$12/(1+$A$40)^2+I$12/(1+$A$40)^3+J$12/(1+$A$40)^4+K$12/(1+$A$40)^5+K$8*12.0/(1+$A$40)^5+$C$29)/$C$32)*1</f>
        <v/>
      </c>
      <c r="F40" s="22">
        <f>((G$12/(1+$A$40)^1+H$12/(1+$A$40)^2+I$12/(1+$A$40)^3+J$12/(1+$A$40)^4+K$12/(1+$A$40)^5+K$8*14.0/(1+$A$40)^5+$C$29)/$C$32)*1</f>
        <v/>
      </c>
      <c r="G40" s="22">
        <f>((G$12/(1+$A$40)^1+H$12/(1+$A$40)^2+I$12/(1+$A$40)^3+J$12/(1+$A$40)^4+K$12/(1+$A$40)^5+K$8*16.0/(1+$A$40)^5+$C$29)/$C$32)*1</f>
        <v/>
      </c>
    </row>
    <row r="41">
      <c r="A41" s="21" t="n">
        <v>0.095</v>
      </c>
      <c r="C41" s="22">
        <f>((G$12/(1+$A$41)^1+H$12/(1+$A$41)^2+I$12/(1+$A$41)^3+J$12/(1+$A$41)^4+K$12/(1+$A$41)^5+K$8*8.0/(1+$A$41)^5+$C$29)/$C$32)*1</f>
        <v/>
      </c>
      <c r="D41" s="22">
        <f>((G$12/(1+$A$41)^1+H$12/(1+$A$41)^2+I$12/(1+$A$41)^3+J$12/(1+$A$41)^4+K$12/(1+$A$41)^5+K$8*10.0/(1+$A$41)^5+$C$29)/$C$32)*1</f>
        <v/>
      </c>
      <c r="E41" s="22">
        <f>((G$12/(1+$A$41)^1+H$12/(1+$A$41)^2+I$12/(1+$A$41)^3+J$12/(1+$A$41)^4+K$12/(1+$A$41)^5+K$8*12.0/(1+$A$41)^5+$C$29)/$C$32)*1</f>
        <v/>
      </c>
      <c r="F41" s="22">
        <f>((G$12/(1+$A$41)^1+H$12/(1+$A$41)^2+I$12/(1+$A$41)^3+J$12/(1+$A$41)^4+K$12/(1+$A$41)^5+K$8*14.0/(1+$A$41)^5+$C$29)/$C$32)*1</f>
        <v/>
      </c>
      <c r="G41" s="22">
        <f>((G$12/(1+$A$41)^1+H$12/(1+$A$41)^2+I$12/(1+$A$41)^3+J$12/(1+$A$41)^4+K$12/(1+$A$41)^5+K$8*16.0/(1+$A$41)^5+$C$29)/$C$32)*1</f>
        <v/>
      </c>
    </row>
    <row r="42">
      <c r="A42" s="21" t="n">
        <v>0.105</v>
      </c>
      <c r="C42" s="22">
        <f>((G$12/(1+$A$42)^1+H$12/(1+$A$42)^2+I$12/(1+$A$42)^3+J$12/(1+$A$42)^4+K$12/(1+$A$42)^5+K$8*8.0/(1+$A$42)^5+$C$29)/$C$32)*1</f>
        <v/>
      </c>
      <c r="D42" s="22">
        <f>((G$12/(1+$A$42)^1+H$12/(1+$A$42)^2+I$12/(1+$A$42)^3+J$12/(1+$A$42)^4+K$12/(1+$A$42)^5+K$8*10.0/(1+$A$42)^5+$C$29)/$C$32)*1</f>
        <v/>
      </c>
      <c r="E42" s="23">
        <f>((G$12/(1+$A$42)^1+H$12/(1+$A$42)^2+I$12/(1+$A$42)^3+J$12/(1+$A$42)^4+K$12/(1+$A$42)^5+K$8*12.0/(1+$A$42)^5+$C$29)/$C$32)*1</f>
        <v/>
      </c>
      <c r="F42" s="22">
        <f>((G$12/(1+$A$42)^1+H$12/(1+$A$42)^2+I$12/(1+$A$42)^3+J$12/(1+$A$42)^4+K$12/(1+$A$42)^5+K$8*14.0/(1+$A$42)^5+$C$29)/$C$32)*1</f>
        <v/>
      </c>
      <c r="G42" s="22">
        <f>((G$12/(1+$A$42)^1+H$12/(1+$A$42)^2+I$12/(1+$A$42)^3+J$12/(1+$A$42)^4+K$12/(1+$A$42)^5+K$8*16.0/(1+$A$42)^5+$C$29)/$C$32)*1</f>
        <v/>
      </c>
    </row>
    <row r="43">
      <c r="A43" s="21" t="n">
        <v>0.115</v>
      </c>
      <c r="C43" s="22">
        <f>((G$12/(1+$A$43)^1+H$12/(1+$A$43)^2+I$12/(1+$A$43)^3+J$12/(1+$A$43)^4+K$12/(1+$A$43)^5+K$8*8.0/(1+$A$43)^5+$C$29)/$C$32)*1</f>
        <v/>
      </c>
      <c r="D43" s="22">
        <f>((G$12/(1+$A$43)^1+H$12/(1+$A$43)^2+I$12/(1+$A$43)^3+J$12/(1+$A$43)^4+K$12/(1+$A$43)^5+K$8*10.0/(1+$A$43)^5+$C$29)/$C$32)*1</f>
        <v/>
      </c>
      <c r="E43" s="22">
        <f>((G$12/(1+$A$43)^1+H$12/(1+$A$43)^2+I$12/(1+$A$43)^3+J$12/(1+$A$43)^4+K$12/(1+$A$43)^5+K$8*12.0/(1+$A$43)^5+$C$29)/$C$32)*1</f>
        <v/>
      </c>
      <c r="F43" s="22">
        <f>((G$12/(1+$A$43)^1+H$12/(1+$A$43)^2+I$12/(1+$A$43)^3+J$12/(1+$A$43)^4+K$12/(1+$A$43)^5+K$8*14.0/(1+$A$43)^5+$C$29)/$C$32)*1</f>
        <v/>
      </c>
      <c r="G43" s="22">
        <f>((G$12/(1+$A$43)^1+H$12/(1+$A$43)^2+I$12/(1+$A$43)^3+J$12/(1+$A$43)^4+K$12/(1+$A$43)^5+K$8*16.0/(1+$A$43)^5+$C$29)/$C$32)*1</f>
        <v/>
      </c>
    </row>
    <row r="44">
      <c r="A44" s="21" t="n">
        <v>0.125</v>
      </c>
      <c r="C44" s="22">
        <f>((G$12/(1+$A$44)^1+H$12/(1+$A$44)^2+I$12/(1+$A$44)^3+J$12/(1+$A$44)^4+K$12/(1+$A$44)^5+K$8*8.0/(1+$A$44)^5+$C$29)/$C$32)*1</f>
        <v/>
      </c>
      <c r="D44" s="22">
        <f>((G$12/(1+$A$44)^1+H$12/(1+$A$44)^2+I$12/(1+$A$44)^3+J$12/(1+$A$44)^4+K$12/(1+$A$44)^5+K$8*10.0/(1+$A$44)^5+$C$29)/$C$32)*1</f>
        <v/>
      </c>
      <c r="E44" s="22">
        <f>((G$12/(1+$A$44)^1+H$12/(1+$A$44)^2+I$12/(1+$A$44)^3+J$12/(1+$A$44)^4+K$12/(1+$A$44)^5+K$8*12.0/(1+$A$44)^5+$C$29)/$C$32)*1</f>
        <v/>
      </c>
      <c r="F44" s="22">
        <f>((G$12/(1+$A$44)^1+H$12/(1+$A$44)^2+I$12/(1+$A$44)^3+J$12/(1+$A$44)^4+K$12/(1+$A$44)^5+K$8*14.0/(1+$A$44)^5+$C$29)/$C$32)*1</f>
        <v/>
      </c>
      <c r="G44" s="22">
        <f>((G$12/(1+$A$44)^1+H$12/(1+$A$44)^2+I$12/(1+$A$44)^3+J$12/(1+$A$44)^4+K$12/(1+$A$44)^5+K$8*16.0/(1+$A$44)^5+$C$29)/$C$32)*1</f>
        <v/>
      </c>
    </row>
    <row r="45">
      <c r="A45" s="21" t="n">
        <v>0.135</v>
      </c>
      <c r="C45" s="22">
        <f>((G$12/(1+$A$45)^1+H$12/(1+$A$45)^2+I$12/(1+$A$45)^3+J$12/(1+$A$45)^4+K$12/(1+$A$45)^5+K$8*8.0/(1+$A$45)^5+$C$29)/$C$32)*1</f>
        <v/>
      </c>
      <c r="D45" s="22">
        <f>((G$12/(1+$A$45)^1+H$12/(1+$A$45)^2+I$12/(1+$A$45)^3+J$12/(1+$A$45)^4+K$12/(1+$A$45)^5+K$8*10.0/(1+$A$45)^5+$C$29)/$C$32)*1</f>
        <v/>
      </c>
      <c r="E45" s="22">
        <f>((G$12/(1+$A$45)^1+H$12/(1+$A$45)^2+I$12/(1+$A$45)^3+J$12/(1+$A$45)^4+K$12/(1+$A$45)^5+K$8*12.0/(1+$A$45)^5+$C$29)/$C$32)*1</f>
        <v/>
      </c>
      <c r="F45" s="22">
        <f>((G$12/(1+$A$45)^1+H$12/(1+$A$45)^2+I$12/(1+$A$45)^3+J$12/(1+$A$45)^4+K$12/(1+$A$45)^5+K$8*14.0/(1+$A$45)^5+$C$29)/$C$32)*1</f>
        <v/>
      </c>
      <c r="G45" s="22">
        <f>((G$12/(1+$A$45)^1+H$12/(1+$A$45)^2+I$12/(1+$A$45)^3+J$12/(1+$A$45)^4+K$12/(1+$A$45)^5+K$8*16.0/(1+$A$45)^5+$C$29)/$C$32)*1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2026-05-30T08:42:04Z</dcterms:created>
  <dcterms:modified xmlns:dcterms="http://purl.org/dc/terms/" xmlns:xsi="http://www.w3.org/2001/XMLSchema-instance" xsi:type="dcterms:W3CDTF">2026-05-30T08:42:04Z</dcterms:modified>
</cp:coreProperties>
</file>