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Sylvania Platinum Limited (31L.SG)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Principal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151.944273</v>
      </c>
      <c r="D7" s="5" t="n">
        <v>130.1961</v>
      </c>
      <c r="E7" s="5" t="n">
        <v>81.71247099999999</v>
      </c>
      <c r="F7" s="5" t="n">
        <v>104.23417</v>
      </c>
    </row>
    <row r="8">
      <c r="A8" s="4" t="inlineStr">
        <is>
          <t xml:space="preserve">  Revenue Growth - Base</t>
        </is>
      </c>
      <c r="G8" s="6" t="n">
        <v>-0.06996683345831206</v>
      </c>
      <c r="H8" s="6" t="n">
        <v>-0.05996683345831205</v>
      </c>
      <c r="I8" s="6" t="n">
        <v>-0.04996683345831206</v>
      </c>
      <c r="J8" s="6" t="n">
        <v>-0.03996683345831206</v>
      </c>
      <c r="K8" s="6" t="n">
        <v>-0.02996683345831205</v>
      </c>
    </row>
    <row r="9">
      <c r="A9" s="4" t="inlineStr">
        <is>
          <t xml:space="preserve">  Revenue Growth - Bull</t>
        </is>
      </c>
      <c r="G9" s="6" t="n">
        <v>-0.03996683345831206</v>
      </c>
      <c r="H9" s="6" t="n">
        <v>-0.02996683345831206</v>
      </c>
      <c r="I9" s="6" t="n">
        <v>-0.01996683345831206</v>
      </c>
      <c r="J9" s="6" t="n">
        <v>-0.009966833458312056</v>
      </c>
      <c r="K9" s="6" t="n">
        <v>3.316654168794564e-05</v>
      </c>
    </row>
    <row r="10">
      <c r="A10" s="4" t="inlineStr">
        <is>
          <t xml:space="preserve">  Revenue Growth - Bear</t>
        </is>
      </c>
      <c r="G10" s="6" t="n">
        <v>-0.09996683345831206</v>
      </c>
      <c r="H10" s="6" t="n">
        <v>-0.08996683345831205</v>
      </c>
      <c r="I10" s="6" t="n">
        <v>-0.07996683345831206</v>
      </c>
      <c r="J10" s="6" t="n">
        <v>-0.06996683345831206</v>
      </c>
      <c r="K10" s="6" t="n">
        <v>-0.05996683345831205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0.3540471063136609</v>
      </c>
      <c r="H15" s="6" t="n">
        <v>0.3540471063136609</v>
      </c>
      <c r="I15" s="6" t="n">
        <v>0.3540471063136609</v>
      </c>
      <c r="J15" s="6" t="n">
        <v>0.3540471063136609</v>
      </c>
      <c r="K15" s="6" t="n">
        <v>0.3540471063136609</v>
      </c>
    </row>
    <row r="16">
      <c r="A16" s="4" t="inlineStr">
        <is>
          <t>Gross Margin - Bull</t>
        </is>
      </c>
      <c r="G16" s="6" t="n">
        <v>0.3740471063136609</v>
      </c>
      <c r="H16" s="6" t="n">
        <v>0.3740471063136609</v>
      </c>
      <c r="I16" s="6" t="n">
        <v>0.3740471063136609</v>
      </c>
      <c r="J16" s="6" t="n">
        <v>0.3740471063136609</v>
      </c>
      <c r="K16" s="6" t="n">
        <v>0.3740471063136609</v>
      </c>
    </row>
    <row r="17">
      <c r="A17" s="4" t="inlineStr">
        <is>
          <t>Gross Margin - Bear</t>
        </is>
      </c>
      <c r="G17" s="6" t="n">
        <v>0.3340471063136609</v>
      </c>
      <c r="H17" s="6" t="n">
        <v>0.3340471063136609</v>
      </c>
      <c r="I17" s="6" t="n">
        <v>0.3340471063136609</v>
      </c>
      <c r="J17" s="6" t="n">
        <v>0.3340471063136609</v>
      </c>
      <c r="K17" s="6" t="n">
        <v>0.3340471063136609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0.01</v>
      </c>
      <c r="H20" s="6" t="n">
        <v>0.01</v>
      </c>
      <c r="I20" s="6" t="n">
        <v>0.01</v>
      </c>
      <c r="J20" s="6" t="n">
        <v>0.01</v>
      </c>
      <c r="K20" s="6" t="n">
        <v>0.01</v>
      </c>
    </row>
    <row r="21">
      <c r="A21" s="4" t="inlineStr">
        <is>
          <t>SG&amp;A % Revenue - Bull</t>
        </is>
      </c>
      <c r="G21" s="6" t="n">
        <v>0.01</v>
      </c>
      <c r="H21" s="6" t="n">
        <v>0.01</v>
      </c>
      <c r="I21" s="6" t="n">
        <v>0.01</v>
      </c>
      <c r="J21" s="6" t="n">
        <v>0.01</v>
      </c>
      <c r="K21" s="6" t="n">
        <v>0.01</v>
      </c>
    </row>
    <row r="22">
      <c r="A22" s="4" t="inlineStr">
        <is>
          <t>SG&amp;A % Revenue - Bear</t>
        </is>
      </c>
      <c r="G22" s="6" t="n">
        <v>0.01553533727901974</v>
      </c>
      <c r="H22" s="6" t="n">
        <v>0.01553533727901974</v>
      </c>
      <c r="I22" s="6" t="n">
        <v>0.01553533727901974</v>
      </c>
      <c r="J22" s="6" t="n">
        <v>0.01553533727901974</v>
      </c>
      <c r="K22" s="6" t="n">
        <v>0.01553533727901974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4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4" t="inlineStr">
        <is>
          <t>R&amp;D % Revenue - Bear</t>
        </is>
      </c>
      <c r="G27" s="6" t="n">
        <v>0.055</v>
      </c>
      <c r="H27" s="6" t="n">
        <v>0.055</v>
      </c>
      <c r="I27" s="6" t="n">
        <v>0.055</v>
      </c>
      <c r="J27" s="6" t="n">
        <v>0.055</v>
      </c>
      <c r="K27" s="6" t="n">
        <v>0.055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0.0439184678967795</v>
      </c>
      <c r="H30" s="6" t="n">
        <v>0.0439184678967795</v>
      </c>
      <c r="I30" s="6" t="n">
        <v>0.0439184678967795</v>
      </c>
      <c r="J30" s="6" t="n">
        <v>0.0439184678967795</v>
      </c>
      <c r="K30" s="6" t="n">
        <v>0.0439184678967795</v>
      </c>
    </row>
    <row r="31">
      <c r="A31" s="4" t="inlineStr">
        <is>
          <t>CapEx % Revenue</t>
        </is>
      </c>
      <c r="G31" s="6" t="n">
        <v>0.1775030048407888</v>
      </c>
      <c r="H31" s="6" t="n">
        <v>0.1775030048407888</v>
      </c>
      <c r="I31" s="6" t="n">
        <v>0.1775030048407888</v>
      </c>
      <c r="J31" s="6" t="n">
        <v>0.1775030048407888</v>
      </c>
      <c r="K31" s="6" t="n">
        <v>0.1775030048407888</v>
      </c>
    </row>
    <row r="32">
      <c r="A32" s="4" t="inlineStr">
        <is>
          <t>Tax Rate</t>
        </is>
      </c>
      <c r="G32" s="6" t="n">
        <v>0.35</v>
      </c>
      <c r="H32" s="6" t="n">
        <v>0.35</v>
      </c>
      <c r="I32" s="6" t="n">
        <v>0.35</v>
      </c>
      <c r="J32" s="6" t="n">
        <v>0.35</v>
      </c>
      <c r="K32" s="6" t="n">
        <v>0.35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0.09000000000000001</v>
      </c>
    </row>
    <row r="37">
      <c r="A37" s="4" t="inlineStr">
        <is>
          <t>WACC - Bear</t>
        </is>
      </c>
      <c r="C37" s="6" t="n">
        <v>0.12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9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Sylvania Platinum Limited (31L.SG)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151.944273</v>
      </c>
      <c r="D6" s="5" t="n">
        <v>130.1961</v>
      </c>
      <c r="E6" s="5" t="n">
        <v>81.71247099999999</v>
      </c>
      <c r="F6" s="5" t="n">
        <v>104.23417</v>
      </c>
    </row>
    <row r="7">
      <c r="A7" s="4" t="inlineStr">
        <is>
          <t>Cost of Revenue</t>
        </is>
      </c>
      <c r="C7" s="5" t="n">
        <v>68.743585</v>
      </c>
      <c r="D7" s="5" t="n">
        <v>66.194693</v>
      </c>
      <c r="E7" s="5" t="n">
        <v>70.425408</v>
      </c>
      <c r="F7" s="5" t="n">
        <v>79.331973</v>
      </c>
    </row>
    <row r="8">
      <c r="A8" s="2" t="inlineStr">
        <is>
          <t>Gross Profit</t>
        </is>
      </c>
      <c r="C8" s="5" t="n">
        <v>83.200688</v>
      </c>
      <c r="D8" s="5" t="n">
        <v>64.001407</v>
      </c>
      <c r="E8" s="5" t="n">
        <v>11.287063</v>
      </c>
      <c r="F8" s="5" t="n">
        <v>24.902197</v>
      </c>
    </row>
    <row r="9">
      <c r="A9" s="4" t="inlineStr">
        <is>
          <t xml:space="preserve">  Gross Margin</t>
        </is>
      </c>
      <c r="C9" s="11" t="n">
        <v>0.5475737015767617</v>
      </c>
      <c r="D9" s="11" t="n">
        <v>0.4915769904014022</v>
      </c>
      <c r="E9" s="11" t="n">
        <v>0.1381314609859247</v>
      </c>
      <c r="F9" s="11" t="n">
        <v>0.238906272290555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0.715624</v>
      </c>
      <c r="D12" s="5" t="n">
        <v>0.509755</v>
      </c>
      <c r="E12" s="5" t="n">
        <v>0.771695</v>
      </c>
      <c r="F12" s="5" t="n">
        <v>0.424468</v>
      </c>
    </row>
    <row r="13">
      <c r="A13" s="2" t="inlineStr">
        <is>
          <t>Operating Income (EBIT)</t>
        </is>
      </c>
      <c r="C13" s="5" t="n">
        <v>80.417097</v>
      </c>
      <c r="D13" s="5" t="n">
        <v>61.174165</v>
      </c>
      <c r="E13" s="5" t="n">
        <v>8.641633000000001</v>
      </c>
      <c r="F13" s="5" t="n">
        <v>22.292722</v>
      </c>
    </row>
    <row r="14">
      <c r="A14" s="4" t="inlineStr">
        <is>
          <t xml:space="preserve">  EBIT Margin</t>
        </is>
      </c>
      <c r="C14" s="11" t="n">
        <v>0.5292538863903083</v>
      </c>
      <c r="D14" s="11" t="n">
        <v>0.4698617316494119</v>
      </c>
      <c r="E14" s="11" t="n">
        <v>0.1057565986469801</v>
      </c>
      <c r="F14" s="11" t="n">
        <v>0.2138715356010414</v>
      </c>
    </row>
    <row r="16">
      <c r="A16" s="4" t="inlineStr">
        <is>
          <t>Interest Expense</t>
        </is>
      </c>
      <c r="C16" s="5" t="n">
        <v>0.457363</v>
      </c>
      <c r="D16" s="5" t="n">
        <v>0.576958</v>
      </c>
      <c r="E16" s="5" t="n">
        <v>1.708471</v>
      </c>
      <c r="F16" s="5" t="n">
        <v>0.484925</v>
      </c>
    </row>
    <row r="17">
      <c r="A17" s="4" t="inlineStr">
        <is>
          <t>Tax Provision</t>
        </is>
      </c>
      <c r="C17" s="5" t="n">
        <v>24.777844</v>
      </c>
      <c r="D17" s="5" t="n">
        <v>21.625108</v>
      </c>
      <c r="E17" s="5" t="n">
        <v>6.485517</v>
      </c>
      <c r="F17" s="5" t="n">
        <v>7.577135</v>
      </c>
    </row>
    <row r="18">
      <c r="A18" s="2" t="inlineStr">
        <is>
          <t>Net Income</t>
        </is>
      </c>
      <c r="C18" s="5" t="n">
        <v>56.150844</v>
      </c>
      <c r="D18" s="5" t="n">
        <v>45.351769</v>
      </c>
      <c r="E18" s="5" t="n">
        <v>6.983819</v>
      </c>
      <c r="F18" s="5" t="n">
        <v>20.167315</v>
      </c>
    </row>
    <row r="19">
      <c r="A19" s="4" t="inlineStr">
        <is>
          <t xml:space="preserve">  Net Margin</t>
        </is>
      </c>
      <c r="C19" s="11" t="n">
        <v>0.3695489332460724</v>
      </c>
      <c r="D19" s="11" t="n">
        <v>0.3483343126253398</v>
      </c>
      <c r="E19" s="11" t="n">
        <v>0.08546821451526047</v>
      </c>
      <c r="F19" s="11" t="n">
        <v>0.1934808422228526</v>
      </c>
    </row>
    <row r="21">
      <c r="A21" s="2" t="inlineStr">
        <is>
          <t>EBITDA</t>
        </is>
      </c>
      <c r="C21" s="5" t="n">
        <v>84.478532</v>
      </c>
      <c r="D21" s="5" t="n">
        <v>71.744389</v>
      </c>
      <c r="E21" s="5" t="n">
        <v>20.014491</v>
      </c>
      <c r="F21" s="5" t="n">
        <v>34.894437</v>
      </c>
    </row>
    <row r="22">
      <c r="A22" s="4" t="inlineStr">
        <is>
          <t xml:space="preserve">  EBITDA Margin</t>
        </is>
      </c>
      <c r="C22" s="11" t="n">
        <v>0.5559836532963635</v>
      </c>
      <c r="D22" s="11" t="n">
        <v>0.55104867964555</v>
      </c>
      <c r="E22" s="11" t="n">
        <v>0.2449380217616966</v>
      </c>
      <c r="F22" s="11" t="n">
        <v>0.3347696537517399</v>
      </c>
    </row>
    <row r="23">
      <c r="A23" s="4" t="inlineStr">
        <is>
          <t>Diluted EPS</t>
        </is>
      </c>
      <c r="C23" s="12" t="n">
        <v>0.204</v>
      </c>
      <c r="D23" s="12" t="n">
        <v>0.1695</v>
      </c>
      <c r="E23" s="12" t="n">
        <v>0.0265</v>
      </c>
      <c r="F23" s="12" t="n">
        <v>0.07729999999999999</v>
      </c>
    </row>
    <row r="24">
      <c r="A24" s="4" t="inlineStr">
        <is>
          <t>D&amp;A</t>
        </is>
      </c>
      <c r="C24" s="5" t="n">
        <v>3.092481</v>
      </c>
      <c r="D24" s="5" t="n">
        <v>4.190554</v>
      </c>
      <c r="E24" s="5" t="n">
        <v>4.836684</v>
      </c>
      <c r="F24" s="5" t="n">
        <v>6.665062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120.392186</v>
      </c>
      <c r="D28" s="5" t="n">
        <v>124.159854</v>
      </c>
      <c r="E28" s="5" t="n">
        <v>97.844572</v>
      </c>
      <c r="F28" s="5" t="n">
        <v>60.893292</v>
      </c>
    </row>
    <row r="29">
      <c r="A29" s="4" t="inlineStr">
        <is>
          <t>Current Assets</t>
        </is>
      </c>
      <c r="C29" s="5" t="n">
        <v>186.768066</v>
      </c>
      <c r="D29" s="5" t="n">
        <v>168.249913</v>
      </c>
      <c r="E29" s="5" t="n">
        <v>140.23528</v>
      </c>
      <c r="F29" s="5" t="n">
        <v>112.712348</v>
      </c>
    </row>
    <row r="30">
      <c r="A30" s="4" t="inlineStr">
        <is>
          <t>Net PP&amp;E</t>
        </is>
      </c>
      <c r="C30" s="5" t="n">
        <v>92.386431</v>
      </c>
      <c r="D30" s="5" t="n">
        <v>95.114754</v>
      </c>
      <c r="E30" s="5" t="n">
        <v>109.529526</v>
      </c>
      <c r="F30" s="5" t="n">
        <v>138.413232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279.437947</v>
      </c>
      <c r="D32" s="5" t="n">
        <v>269.758104</v>
      </c>
      <c r="E32" s="5" t="n">
        <v>257.568337</v>
      </c>
      <c r="F32" s="5" t="n">
        <v>280.214538</v>
      </c>
    </row>
    <row r="34">
      <c r="A34" s="4" t="inlineStr">
        <is>
          <t>Current Liabilities</t>
        </is>
      </c>
      <c r="C34" s="5" t="n">
        <v>11.165015</v>
      </c>
      <c r="D34" s="5" t="n">
        <v>13.853668</v>
      </c>
      <c r="E34" s="5" t="n">
        <v>14.108315</v>
      </c>
      <c r="F34" s="5" t="n">
        <v>15.10048</v>
      </c>
    </row>
    <row r="35">
      <c r="A35" s="4" t="inlineStr">
        <is>
          <t>Total Debt</t>
        </is>
      </c>
      <c r="C35" s="5" t="n">
        <v>0.08398799999999999</v>
      </c>
      <c r="D35" s="5" t="n">
        <v>0.711561</v>
      </c>
      <c r="E35" s="5" t="n">
        <v>0.928242</v>
      </c>
      <c r="F35" s="5" t="n">
        <v>0.471288</v>
      </c>
    </row>
    <row r="36">
      <c r="A36" s="2" t="inlineStr">
        <is>
          <t>Total Liabilities</t>
        </is>
      </c>
      <c r="C36" s="5" t="n">
        <v>28.751615</v>
      </c>
      <c r="D36" s="5" t="n">
        <v>30.394057</v>
      </c>
      <c r="E36" s="5" t="n">
        <v>32.078827</v>
      </c>
      <c r="F36" s="5" t="n">
        <v>36.271203</v>
      </c>
    </row>
    <row r="38">
      <c r="A38" s="2" t="inlineStr">
        <is>
          <t>Total Equity</t>
        </is>
      </c>
      <c r="C38" s="5" t="n">
        <v>250.686332</v>
      </c>
      <c r="D38" s="5" t="n">
        <v>239.364047</v>
      </c>
      <c r="E38" s="5" t="n">
        <v>225.48951</v>
      </c>
      <c r="F38" s="5" t="n">
        <v>243.943335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69.611329</v>
      </c>
      <c r="D42" s="5" t="n">
        <v>62.986987</v>
      </c>
      <c r="E42" s="5" t="n">
        <v>14.704098</v>
      </c>
      <c r="F42" s="5" t="n">
        <v>19.898573</v>
      </c>
    </row>
    <row r="43">
      <c r="A43" s="4" t="inlineStr">
        <is>
          <t>Capital Expenditure</t>
        </is>
      </c>
      <c r="C43" s="5" t="n">
        <v>-16.405046</v>
      </c>
      <c r="D43" s="5" t="n">
        <v>-14.490862</v>
      </c>
      <c r="E43" s="5" t="n">
        <v>-15.815518</v>
      </c>
      <c r="F43" s="5" t="n">
        <v>-30.977705</v>
      </c>
    </row>
    <row r="44">
      <c r="A44" s="2" t="inlineStr">
        <is>
          <t>Free Cash Flow</t>
        </is>
      </c>
      <c r="C44" s="5" t="n">
        <v>53.206283</v>
      </c>
      <c r="D44" s="5" t="n">
        <v>48.496125</v>
      </c>
      <c r="E44" s="5" t="n">
        <v>-1.11142</v>
      </c>
      <c r="F44" s="5" t="n">
        <v>-11.079132</v>
      </c>
    </row>
    <row r="46">
      <c r="A46" s="4" t="inlineStr">
        <is>
          <t>D&amp;A</t>
        </is>
      </c>
      <c r="C46" s="5" t="n">
        <v>3.092481</v>
      </c>
      <c r="D46" s="5" t="n">
        <v>4.190554</v>
      </c>
      <c r="E46" s="5" t="n">
        <v>4.836684</v>
      </c>
      <c r="F46" s="5" t="n">
        <v>6.665062</v>
      </c>
    </row>
    <row r="47">
      <c r="A47" s="4" t="inlineStr">
        <is>
          <t>Stock-Based Compensation</t>
        </is>
      </c>
      <c r="C47" s="5" t="n">
        <v>0.901269</v>
      </c>
      <c r="D47" s="5" t="n">
        <v>0.882216</v>
      </c>
      <c r="E47" s="5" t="n">
        <v>0.54708</v>
      </c>
      <c r="F47" s="5" t="n">
        <v>0.705168</v>
      </c>
    </row>
    <row r="48">
      <c r="A48" s="4" t="inlineStr">
        <is>
          <t>Change in Working Capital</t>
        </is>
      </c>
      <c r="C48" s="5" t="n">
        <v>6.727914</v>
      </c>
      <c r="D48" s="5" t="n">
        <v>13.716216</v>
      </c>
      <c r="E48" s="5" t="n">
        <v>1.610659</v>
      </c>
      <c r="F48" s="5" t="n">
        <v>-11.54958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Sylvania Platinum Limited (31L.SG)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Principal</t>
        </is>
      </c>
      <c r="C8" s="5" t="n">
        <v>151.944273</v>
      </c>
      <c r="D8" s="5" t="n">
        <v>130.1961</v>
      </c>
      <c r="E8" s="5" t="n">
        <v>81.71247099999999</v>
      </c>
      <c r="F8" s="5" t="n">
        <v>104.23417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68.743585</v>
      </c>
      <c r="D16" s="5" t="n">
        <v>66.194693</v>
      </c>
      <c r="E16" s="5" t="n">
        <v>70.425408</v>
      </c>
      <c r="F16" s="5" t="n">
        <v>79.331973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0.715624</v>
      </c>
      <c r="D20" s="5" t="n">
        <v>0.509755</v>
      </c>
      <c r="E20" s="5" t="n">
        <v>0.771695</v>
      </c>
      <c r="F20" s="5" t="n">
        <v>0.424468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3.092481</v>
      </c>
      <c r="D22" s="5" t="n">
        <v>4.190554</v>
      </c>
      <c r="E22" s="5" t="n">
        <v>4.836684</v>
      </c>
      <c r="F22" s="5" t="n">
        <v>6.665062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0.457363</v>
      </c>
      <c r="D29" s="5" t="n">
        <v>0.576958</v>
      </c>
      <c r="E29" s="5" t="n">
        <v>1.708471</v>
      </c>
      <c r="F29" s="5" t="n">
        <v>0.484925</v>
      </c>
      <c r="G29" s="5" t="n">
        <v>0.484925</v>
      </c>
      <c r="H29" s="5" t="n">
        <v>0.484925</v>
      </c>
      <c r="I29" s="5" t="n">
        <v>0.484925</v>
      </c>
      <c r="J29" s="5" t="n">
        <v>0.484925</v>
      </c>
      <c r="K29" s="5" t="n">
        <v>0.484925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24.777844</v>
      </c>
      <c r="D31" s="5" t="n">
        <v>21.625108</v>
      </c>
      <c r="E31" s="5" t="n">
        <v>6.485517</v>
      </c>
      <c r="F31" s="5" t="n">
        <v>7.577135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6.727914</v>
      </c>
      <c r="D39" s="5" t="n">
        <v>13.716216</v>
      </c>
      <c r="E39" s="5" t="n">
        <v>1.610659</v>
      </c>
      <c r="F39" s="5" t="n">
        <v>-11.54958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-16.405046</v>
      </c>
      <c r="D42" s="5" t="n">
        <v>-14.490862</v>
      </c>
      <c r="E42" s="5" t="n">
        <v>-15.815518</v>
      </c>
      <c r="F42" s="5" t="n">
        <v>-30.977705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Sylvania Platinum Limited (31L.SG)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1.07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60.422004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0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C33/1.07-1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0.07000000000000001</v>
      </c>
      <c r="C39" s="22">
        <f>(G$12/(1+$A$39)^1+H$12/(1+$A$39)^2+I$12/(1+$A$39)^3+J$12/(1+$A$39)^4+K$12/(1+$A$39)^5+K$12*8/(1+$A$39)^5+$C$29)/$C$32</f>
        <v/>
      </c>
      <c r="D39" s="22">
        <f>(G$12/(1+$A$39)^1+H$12/(1+$A$39)^2+I$12/(1+$A$39)^3+J$12/(1+$A$39)^4+K$12/(1+$A$39)^5+K$12*10/(1+$A$39)^5+$C$29)/$C$32</f>
        <v/>
      </c>
      <c r="E39" s="22">
        <f>(G$12/(1+$A$39)^1+H$12/(1+$A$39)^2+I$12/(1+$A$39)^3+J$12/(1+$A$39)^4+K$12/(1+$A$39)^5+K$12*12/(1+$A$39)^5+$C$29)/$C$32</f>
        <v/>
      </c>
      <c r="F39" s="22">
        <f>(G$12/(1+$A$39)^1+H$12/(1+$A$39)^2+I$12/(1+$A$39)^3+J$12/(1+$A$39)^4+K$12/(1+$A$39)^5+K$12*14/(1+$A$39)^5+$C$29)/$C$32</f>
        <v/>
      </c>
      <c r="G39" s="22">
        <f>(G$12/(1+$A$39)^1+H$12/(1+$A$39)^2+I$12/(1+$A$39)^3+J$12/(1+$A$39)^4+K$12/(1+$A$39)^5+K$12*16/(1+$A$39)^5+$C$29)/$C$32</f>
        <v/>
      </c>
    </row>
    <row r="40">
      <c r="A40" s="21" t="n">
        <v>0.08</v>
      </c>
      <c r="C40" s="22">
        <f>(G$12/(1+$A$40)^1+H$12/(1+$A$40)^2+I$12/(1+$A$40)^3+J$12/(1+$A$40)^4+K$12/(1+$A$40)^5+K$12*8/(1+$A$40)^5+$C$29)/$C$32</f>
        <v/>
      </c>
      <c r="D40" s="22">
        <f>(G$12/(1+$A$40)^1+H$12/(1+$A$40)^2+I$12/(1+$A$40)^3+J$12/(1+$A$40)^4+K$12/(1+$A$40)^5+K$12*10/(1+$A$40)^5+$C$29)/$C$32</f>
        <v/>
      </c>
      <c r="E40" s="22">
        <f>(G$12/(1+$A$40)^1+H$12/(1+$A$40)^2+I$12/(1+$A$40)^3+J$12/(1+$A$40)^4+K$12/(1+$A$40)^5+K$12*12/(1+$A$40)^5+$C$29)/$C$32</f>
        <v/>
      </c>
      <c r="F40" s="22">
        <f>(G$12/(1+$A$40)^1+H$12/(1+$A$40)^2+I$12/(1+$A$40)^3+J$12/(1+$A$40)^4+K$12/(1+$A$40)^5+K$12*14/(1+$A$40)^5+$C$29)/$C$32</f>
        <v/>
      </c>
      <c r="G40" s="22">
        <f>(G$12/(1+$A$40)^1+H$12/(1+$A$40)^2+I$12/(1+$A$40)^3+J$12/(1+$A$40)^4+K$12/(1+$A$40)^5+K$12*16/(1+$A$40)^5+$C$29)/$C$32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(G$12/(1+$A$41)^1+H$12/(1+$A$41)^2+I$12/(1+$A$41)^3+J$12/(1+$A$41)^4+K$12/(1+$A$41)^5+K$12*8/(1+$A$41)^5+$C$29)/$C$32</f>
        <v/>
      </c>
      <c r="D41" s="22">
        <f>(G$12/(1+$A$41)^1+H$12/(1+$A$41)^2+I$12/(1+$A$41)^3+J$12/(1+$A$41)^4+K$12/(1+$A$41)^5+K$12*10/(1+$A$41)^5+$C$29)/$C$32</f>
        <v/>
      </c>
      <c r="E41" s="22">
        <f>(G$12/(1+$A$41)^1+H$12/(1+$A$41)^2+I$12/(1+$A$41)^3+J$12/(1+$A$41)^4+K$12/(1+$A$41)^5+K$12*12/(1+$A$41)^5+$C$29)/$C$32</f>
        <v/>
      </c>
      <c r="F41" s="22">
        <f>(G$12/(1+$A$41)^1+H$12/(1+$A$41)^2+I$12/(1+$A$41)^3+J$12/(1+$A$41)^4+K$12/(1+$A$41)^5+K$12*14/(1+$A$41)^5+$C$29)/$C$32</f>
        <v/>
      </c>
      <c r="G41" s="22">
        <f>(G$12/(1+$A$41)^1+H$12/(1+$A$41)^2+I$12/(1+$A$41)^3+J$12/(1+$A$41)^4+K$12/(1+$A$41)^5+K$12*16/(1+$A$41)^5+$C$29)/$C$32</f>
        <v/>
      </c>
    </row>
    <row r="42">
      <c r="A42" s="21" t="n">
        <v>0.1</v>
      </c>
      <c r="C42" s="22">
        <f>(G$12/(1+$A$42)^1+H$12/(1+$A$42)^2+I$12/(1+$A$42)^3+J$12/(1+$A$42)^4+K$12/(1+$A$42)^5+K$12*8/(1+$A$42)^5+$C$29)/$C$32</f>
        <v/>
      </c>
      <c r="D42" s="22">
        <f>(G$12/(1+$A$42)^1+H$12/(1+$A$42)^2+I$12/(1+$A$42)^3+J$12/(1+$A$42)^4+K$12/(1+$A$42)^5+K$12*10/(1+$A$42)^5+$C$29)/$C$32</f>
        <v/>
      </c>
      <c r="E42" s="23">
        <f>(G$12/(1+$A$42)^1+H$12/(1+$A$42)^2+I$12/(1+$A$42)^3+J$12/(1+$A$42)^4+K$12/(1+$A$42)^5+K$12*12/(1+$A$42)^5+$C$29)/$C$32</f>
        <v/>
      </c>
      <c r="F42" s="22">
        <f>(G$12/(1+$A$42)^1+H$12/(1+$A$42)^2+I$12/(1+$A$42)^3+J$12/(1+$A$42)^4+K$12/(1+$A$42)^5+K$12*14/(1+$A$42)^5+$C$29)/$C$32</f>
        <v/>
      </c>
      <c r="G42" s="22">
        <f>(G$12/(1+$A$42)^1+H$12/(1+$A$42)^2+I$12/(1+$A$42)^3+J$12/(1+$A$42)^4+K$12/(1+$A$42)^5+K$12*16/(1+$A$42)^5+$C$29)/$C$32</f>
        <v/>
      </c>
    </row>
    <row r="43">
      <c r="A43" s="21" t="n">
        <v>0.11</v>
      </c>
      <c r="C43" s="22">
        <f>(G$12/(1+$A$43)^1+H$12/(1+$A$43)^2+I$12/(1+$A$43)^3+J$12/(1+$A$43)^4+K$12/(1+$A$43)^5+K$12*8/(1+$A$43)^5+$C$29)/$C$32</f>
        <v/>
      </c>
      <c r="D43" s="22">
        <f>(G$12/(1+$A$43)^1+H$12/(1+$A$43)^2+I$12/(1+$A$43)^3+J$12/(1+$A$43)^4+K$12/(1+$A$43)^5+K$12*10/(1+$A$43)^5+$C$29)/$C$32</f>
        <v/>
      </c>
      <c r="E43" s="22">
        <f>(G$12/(1+$A$43)^1+H$12/(1+$A$43)^2+I$12/(1+$A$43)^3+J$12/(1+$A$43)^4+K$12/(1+$A$43)^5+K$12*12/(1+$A$43)^5+$C$29)/$C$32</f>
        <v/>
      </c>
      <c r="F43" s="22">
        <f>(G$12/(1+$A$43)^1+H$12/(1+$A$43)^2+I$12/(1+$A$43)^3+J$12/(1+$A$43)^4+K$12/(1+$A$43)^5+K$12*14/(1+$A$43)^5+$C$29)/$C$32</f>
        <v/>
      </c>
      <c r="G43" s="22">
        <f>(G$12/(1+$A$43)^1+H$12/(1+$A$43)^2+I$12/(1+$A$43)^3+J$12/(1+$A$43)^4+K$12/(1+$A$43)^5+K$12*16/(1+$A$43)^5+$C$29)/$C$32</f>
        <v/>
      </c>
    </row>
    <row r="44">
      <c r="A44" s="21" t="n">
        <v>0.12</v>
      </c>
      <c r="C44" s="22">
        <f>(G$12/(1+$A$44)^1+H$12/(1+$A$44)^2+I$12/(1+$A$44)^3+J$12/(1+$A$44)^4+K$12/(1+$A$44)^5+K$12*8/(1+$A$44)^5+$C$29)/$C$32</f>
        <v/>
      </c>
      <c r="D44" s="22">
        <f>(G$12/(1+$A$44)^1+H$12/(1+$A$44)^2+I$12/(1+$A$44)^3+J$12/(1+$A$44)^4+K$12/(1+$A$44)^5+K$12*10/(1+$A$44)^5+$C$29)/$C$32</f>
        <v/>
      </c>
      <c r="E44" s="22">
        <f>(G$12/(1+$A$44)^1+H$12/(1+$A$44)^2+I$12/(1+$A$44)^3+J$12/(1+$A$44)^4+K$12/(1+$A$44)^5+K$12*12/(1+$A$44)^5+$C$29)/$C$32</f>
        <v/>
      </c>
      <c r="F44" s="22">
        <f>(G$12/(1+$A$44)^1+H$12/(1+$A$44)^2+I$12/(1+$A$44)^3+J$12/(1+$A$44)^4+K$12/(1+$A$44)^5+K$12*14/(1+$A$44)^5+$C$29)/$C$32</f>
        <v/>
      </c>
      <c r="G44" s="22">
        <f>(G$12/(1+$A$44)^1+H$12/(1+$A$44)^2+I$12/(1+$A$44)^3+J$12/(1+$A$44)^4+K$12/(1+$A$44)^5+K$12*16/(1+$A$44)^5+$C$29)/$C$32</f>
        <v/>
      </c>
    </row>
    <row r="45">
      <c r="A45" s="21" t="n">
        <v>0.13</v>
      </c>
      <c r="C45" s="22">
        <f>(G$12/(1+$A$45)^1+H$12/(1+$A$45)^2+I$12/(1+$A$45)^3+J$12/(1+$A$45)^4+K$12/(1+$A$45)^5+K$12*8/(1+$A$45)^5+$C$29)/$C$32</f>
        <v/>
      </c>
      <c r="D45" s="22">
        <f>(G$12/(1+$A$45)^1+H$12/(1+$A$45)^2+I$12/(1+$A$45)^3+J$12/(1+$A$45)^4+K$12/(1+$A$45)^5+K$12*10/(1+$A$45)^5+$C$29)/$C$32</f>
        <v/>
      </c>
      <c r="E45" s="22">
        <f>(G$12/(1+$A$45)^1+H$12/(1+$A$45)^2+I$12/(1+$A$45)^3+J$12/(1+$A$45)^4+K$12/(1+$A$45)^5+K$12*12/(1+$A$45)^5+$C$29)/$C$32</f>
        <v/>
      </c>
      <c r="F45" s="22">
        <f>(G$12/(1+$A$45)^1+H$12/(1+$A$45)^2+I$12/(1+$A$45)^3+J$12/(1+$A$45)^4+K$12/(1+$A$45)^5+K$12*14/(1+$A$45)^5+$C$29)/$C$32</f>
        <v/>
      </c>
      <c r="G45" s="22">
        <f>(G$12/(1+$A$45)^1+H$12/(1+$A$45)^2+I$12/(1+$A$45)^3+J$12/(1+$A$45)^4+K$12/(1+$A$45)^5+K$12*16/(1+$A$45)^5+$C$29)/$C$32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2026-03-17T10:24:01Z</dcterms:created>
  <dcterms:modified xmlns:dcterms="http://purl.org/dc/terms/" xmlns:xsi="http://www.w3.org/2001/XMLSchema-instance" xsi:type="dcterms:W3CDTF">2026-03-17T10:24:01Z</dcterms:modified>
</cp:coreProperties>
</file>