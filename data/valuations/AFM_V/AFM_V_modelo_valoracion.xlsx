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Alphamin Resources Corp. (AFM.V)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Other Industrial Metals &amp; Mining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391.052402</v>
      </c>
      <c r="D7" s="5" t="n">
        <v>288.504726</v>
      </c>
      <c r="E7" s="5" t="n">
        <v>527.985681</v>
      </c>
      <c r="F7" s="5" t="n">
        <v>620.888174</v>
      </c>
    </row>
    <row r="8">
      <c r="A8" s="4" t="inlineStr">
        <is>
          <t xml:space="preserve">  Revenue Growth - Base</t>
        </is>
      </c>
      <c r="G8" s="6" t="n">
        <v>0.333</v>
      </c>
      <c r="H8" s="6" t="n">
        <v>0.2997</v>
      </c>
      <c r="I8" s="6" t="n">
        <v>0.2664</v>
      </c>
      <c r="J8" s="6" t="n">
        <v>0.2331</v>
      </c>
      <c r="K8" s="6" t="n">
        <v>0.1998</v>
      </c>
    </row>
    <row r="9">
      <c r="A9" s="4" t="inlineStr">
        <is>
          <t xml:space="preserve">  Revenue Growth - Bull</t>
        </is>
      </c>
      <c r="G9" s="6" t="n">
        <v>0.4329</v>
      </c>
      <c r="H9" s="6" t="n">
        <v>0.38961</v>
      </c>
      <c r="I9" s="6" t="n">
        <v>0.34632</v>
      </c>
      <c r="J9" s="6" t="n">
        <v>0.30303</v>
      </c>
      <c r="K9" s="6" t="n">
        <v>0.25974</v>
      </c>
    </row>
    <row r="10">
      <c r="A10" s="4" t="inlineStr">
        <is>
          <t xml:space="preserve">  Revenue Growth - Bear</t>
        </is>
      </c>
      <c r="G10" s="6" t="n">
        <v>0.2331</v>
      </c>
      <c r="H10" s="6" t="n">
        <v>0.20979</v>
      </c>
      <c r="I10" s="6" t="n">
        <v>0.18648</v>
      </c>
      <c r="J10" s="6" t="n">
        <v>0.16317</v>
      </c>
      <c r="K10" s="6" t="n">
        <v>0.13986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0.490668918550387</v>
      </c>
      <c r="H15" s="6" t="n">
        <v>0.490668918550387</v>
      </c>
      <c r="I15" s="6" t="n">
        <v>0.490668918550387</v>
      </c>
      <c r="J15" s="6" t="n">
        <v>0.490668918550387</v>
      </c>
      <c r="K15" s="6" t="n">
        <v>0.490668918550387</v>
      </c>
    </row>
    <row r="16">
      <c r="A16" s="4" t="inlineStr">
        <is>
          <t>Gross Margin - Bull</t>
        </is>
      </c>
      <c r="G16" s="6" t="n">
        <v>0.510668918550387</v>
      </c>
      <c r="H16" s="6" t="n">
        <v>0.510668918550387</v>
      </c>
      <c r="I16" s="6" t="n">
        <v>0.510668918550387</v>
      </c>
      <c r="J16" s="6" t="n">
        <v>0.510668918550387</v>
      </c>
      <c r="K16" s="6" t="n">
        <v>0.510668918550387</v>
      </c>
    </row>
    <row r="17">
      <c r="A17" s="4" t="inlineStr">
        <is>
          <t>Gross Margin - Bear</t>
        </is>
      </c>
      <c r="G17" s="6" t="n">
        <v>0.4706689185503869</v>
      </c>
      <c r="H17" s="6" t="n">
        <v>0.4706689185503869</v>
      </c>
      <c r="I17" s="6" t="n">
        <v>0.4706689185503869</v>
      </c>
      <c r="J17" s="6" t="n">
        <v>0.4706689185503869</v>
      </c>
      <c r="K17" s="6" t="n">
        <v>0.4706689185503869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0.05720941959197325</v>
      </c>
      <c r="H20" s="6" t="n">
        <v>0.05720941959197325</v>
      </c>
      <c r="I20" s="6" t="n">
        <v>0.05720941959197325</v>
      </c>
      <c r="J20" s="6" t="n">
        <v>0.05720941959197325</v>
      </c>
      <c r="K20" s="6" t="n">
        <v>0.05720941959197325</v>
      </c>
    </row>
    <row r="21">
      <c r="A21" s="4" t="inlineStr">
        <is>
          <t>SG&amp;A % Revenue - Bull</t>
        </is>
      </c>
      <c r="G21" s="6" t="n">
        <v>0.04720941959197324</v>
      </c>
      <c r="H21" s="6" t="n">
        <v>0.04720941959197324</v>
      </c>
      <c r="I21" s="6" t="n">
        <v>0.04720941959197324</v>
      </c>
      <c r="J21" s="6" t="n">
        <v>0.04720941959197324</v>
      </c>
      <c r="K21" s="6" t="n">
        <v>0.04720941959197324</v>
      </c>
    </row>
    <row r="22">
      <c r="A22" s="4" t="inlineStr">
        <is>
          <t>SG&amp;A % Revenue - Bear</t>
        </is>
      </c>
      <c r="G22" s="6" t="n">
        <v>0.06720941959197324</v>
      </c>
      <c r="H22" s="6" t="n">
        <v>0.06720941959197324</v>
      </c>
      <c r="I22" s="6" t="n">
        <v>0.06720941959197324</v>
      </c>
      <c r="J22" s="6" t="n">
        <v>0.06720941959197324</v>
      </c>
      <c r="K22" s="6" t="n">
        <v>0.06720941959197324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0.05</v>
      </c>
      <c r="H25" s="6" t="n">
        <v>0.05</v>
      </c>
      <c r="I25" s="6" t="n">
        <v>0.05</v>
      </c>
      <c r="J25" s="6" t="n">
        <v>0.05</v>
      </c>
      <c r="K25" s="6" t="n">
        <v>0.05</v>
      </c>
    </row>
    <row r="26">
      <c r="A26" s="4" t="inlineStr">
        <is>
          <t>R&amp;D % Revenue - Bull</t>
        </is>
      </c>
      <c r="G26" s="6" t="n">
        <v>0.05</v>
      </c>
      <c r="H26" s="6" t="n">
        <v>0.05</v>
      </c>
      <c r="I26" s="6" t="n">
        <v>0.05</v>
      </c>
      <c r="J26" s="6" t="n">
        <v>0.05</v>
      </c>
      <c r="K26" s="6" t="n">
        <v>0.05</v>
      </c>
    </row>
    <row r="27">
      <c r="A27" s="4" t="inlineStr">
        <is>
          <t>R&amp;D % Revenue - Bear</t>
        </is>
      </c>
      <c r="G27" s="6" t="n">
        <v>0.055</v>
      </c>
      <c r="H27" s="6" t="n">
        <v>0.055</v>
      </c>
      <c r="I27" s="6" t="n">
        <v>0.055</v>
      </c>
      <c r="J27" s="6" t="n">
        <v>0.055</v>
      </c>
      <c r="K27" s="6" t="n">
        <v>0.055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0.09102184526070198</v>
      </c>
      <c r="H30" s="6" t="n">
        <v>0.09102184526070198</v>
      </c>
      <c r="I30" s="6" t="n">
        <v>0.09102184526070198</v>
      </c>
      <c r="J30" s="6" t="n">
        <v>0.09102184526070198</v>
      </c>
      <c r="K30" s="6" t="n">
        <v>0.09102184526070198</v>
      </c>
    </row>
    <row r="31">
      <c r="A31" s="4" t="inlineStr">
        <is>
          <t>CapEx % Revenue</t>
        </is>
      </c>
      <c r="G31" s="6" t="n">
        <v>0.1675173764903037</v>
      </c>
      <c r="H31" s="6" t="n">
        <v>0.1675173764903037</v>
      </c>
      <c r="I31" s="6" t="n">
        <v>0.1675173764903037</v>
      </c>
      <c r="J31" s="6" t="n">
        <v>0.1675173764903037</v>
      </c>
      <c r="K31" s="6" t="n">
        <v>0.1675173764903037</v>
      </c>
    </row>
    <row r="32">
      <c r="A32" s="4" t="inlineStr">
        <is>
          <t>Tax Rate</t>
        </is>
      </c>
      <c r="G32" s="6" t="n">
        <v>0.35</v>
      </c>
      <c r="H32" s="6" t="n">
        <v>0.35</v>
      </c>
      <c r="I32" s="6" t="n">
        <v>0.35</v>
      </c>
      <c r="J32" s="6" t="n">
        <v>0.35</v>
      </c>
      <c r="K32" s="6" t="n">
        <v>0.35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0.0866</v>
      </c>
    </row>
    <row r="36">
      <c r="A36" s="4" t="inlineStr">
        <is>
          <t>WACC - Bull</t>
        </is>
      </c>
      <c r="C36" s="6" t="n">
        <v>0.0766</v>
      </c>
    </row>
    <row r="37">
      <c r="A37" s="4" t="inlineStr">
        <is>
          <t>WACC - Bear</t>
        </is>
      </c>
      <c r="C37" s="6" t="n">
        <v>0.1066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14</v>
      </c>
    </row>
    <row r="42">
      <c r="A42" s="4" t="inlineStr">
        <is>
          <t>Terminal Value Multiple - Bear</t>
        </is>
      </c>
      <c r="C42" s="9" t="n">
        <v>9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Alphamin Resources Corp. (AFM.V)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391.052402</v>
      </c>
      <c r="D6" s="5" t="n">
        <v>288.504726</v>
      </c>
      <c r="E6" s="5" t="n">
        <v>527.985681</v>
      </c>
      <c r="F6" s="5" t="n">
        <v>620.888174</v>
      </c>
    </row>
    <row r="7">
      <c r="A7" s="4" t="inlineStr">
        <is>
          <t>Cost of Revenue</t>
        </is>
      </c>
      <c r="C7" s="5" t="n">
        <v>175.283652</v>
      </c>
      <c r="D7" s="5" t="n">
        <v>161.043546</v>
      </c>
      <c r="E7" s="5" t="n">
        <v>280.401537</v>
      </c>
      <c r="F7" s="5" t="n">
        <v>310.326108</v>
      </c>
    </row>
    <row r="8">
      <c r="A8" s="2" t="inlineStr">
        <is>
          <t>Gross Profit</t>
        </is>
      </c>
      <c r="C8" s="5" t="n">
        <v>215.76875</v>
      </c>
      <c r="D8" s="5" t="n">
        <v>127.461183</v>
      </c>
      <c r="E8" s="5" t="n">
        <v>247.584144</v>
      </c>
      <c r="F8" s="5" t="n">
        <v>310.562066</v>
      </c>
    </row>
    <row r="9">
      <c r="A9" s="4" t="inlineStr">
        <is>
          <t xml:space="preserve">  Gross Margin</t>
        </is>
      </c>
      <c r="C9" s="11" t="n">
        <v>0.5517642875902856</v>
      </c>
      <c r="D9" s="11" t="n">
        <v>0.4417992896241152</v>
      </c>
      <c r="E9" s="11" t="n">
        <v>0.4689220804834667</v>
      </c>
      <c r="F9" s="11" t="n">
        <v>0.5001900165036804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21.94779</v>
      </c>
      <c r="D12" s="5" t="n">
        <v>19.913414</v>
      </c>
      <c r="E12" s="5" t="n">
        <v>27.390816</v>
      </c>
      <c r="F12" s="5" t="n">
        <v>32.169432</v>
      </c>
    </row>
    <row r="13">
      <c r="A13" s="2" t="inlineStr">
        <is>
          <t>Operating Income (EBIT)</t>
        </is>
      </c>
      <c r="C13" s="5" t="n">
        <v>192.44186</v>
      </c>
      <c r="D13" s="5" t="n">
        <v>106.121065</v>
      </c>
      <c r="E13" s="5" t="n">
        <v>218.057454</v>
      </c>
      <c r="F13" s="5" t="n">
        <v>276.14438</v>
      </c>
    </row>
    <row r="14">
      <c r="A14" s="4" t="inlineStr">
        <is>
          <t xml:space="preserve">  EBIT Margin</t>
        </is>
      </c>
      <c r="C14" s="11" t="n">
        <v>0.4921127169038588</v>
      </c>
      <c r="D14" s="11" t="n">
        <v>0.367831288143266</v>
      </c>
      <c r="E14" s="11" t="n">
        <v>0.4129988025186615</v>
      </c>
      <c r="F14" s="11" t="n">
        <v>0.4447570296289779</v>
      </c>
    </row>
    <row r="16">
      <c r="A16" s="4" t="inlineStr">
        <is>
          <t>Interest Expense</t>
        </is>
      </c>
      <c r="C16" s="5" t="n">
        <v>3.97266</v>
      </c>
      <c r="D16" s="5" t="n">
        <v>7.332536</v>
      </c>
      <c r="E16" s="5" t="n">
        <v>7.957675</v>
      </c>
      <c r="F16" s="5" t="n">
        <v>5.661339</v>
      </c>
    </row>
    <row r="17">
      <c r="A17" s="4" t="inlineStr">
        <is>
          <t>Tax Provision</t>
        </is>
      </c>
      <c r="C17" s="5" t="n">
        <v>62.933011</v>
      </c>
      <c r="D17" s="5" t="n">
        <v>37.502294</v>
      </c>
      <c r="E17" s="5" t="n">
        <v>79.739914</v>
      </c>
      <c r="F17" s="5" t="n">
        <v>101.249009</v>
      </c>
    </row>
    <row r="18">
      <c r="A18" s="2" t="inlineStr">
        <is>
          <t>Net Income</t>
        </is>
      </c>
      <c r="C18" s="5" t="n">
        <v>100.925048</v>
      </c>
      <c r="D18" s="5" t="n">
        <v>47.222836</v>
      </c>
      <c r="E18" s="5" t="n">
        <v>100.776864</v>
      </c>
      <c r="F18" s="5" t="n">
        <v>147.957714</v>
      </c>
    </row>
    <row r="19">
      <c r="A19" s="4" t="inlineStr">
        <is>
          <t xml:space="preserve">  Net Margin</t>
        </is>
      </c>
      <c r="C19" s="11" t="n">
        <v>0.2580857385962304</v>
      </c>
      <c r="D19" s="11" t="n">
        <v>0.1636813256223747</v>
      </c>
      <c r="E19" s="11" t="n">
        <v>0.1908704490037108</v>
      </c>
      <c r="F19" s="11" t="n">
        <v>0.23830010007567</v>
      </c>
    </row>
    <row r="21">
      <c r="A21" s="2" t="inlineStr">
        <is>
          <t>EBITDA</t>
        </is>
      </c>
      <c r="C21" s="5" t="n">
        <v>217.442079</v>
      </c>
      <c r="D21" s="5" t="n">
        <v>134.08813</v>
      </c>
      <c r="E21" s="5" t="n">
        <v>258.107579</v>
      </c>
      <c r="F21" s="5" t="n">
        <v>343.772056</v>
      </c>
    </row>
    <row r="22">
      <c r="A22" s="4" t="inlineStr">
        <is>
          <t xml:space="preserve">  EBITDA Margin</t>
        </is>
      </c>
      <c r="C22" s="11" t="n">
        <v>0.5560433279220722</v>
      </c>
      <c r="D22" s="11" t="n">
        <v>0.4647692668992882</v>
      </c>
      <c r="E22" s="11" t="n">
        <v>0.4888533691124854</v>
      </c>
      <c r="F22" s="11" t="n">
        <v>0.5536778930500293</v>
      </c>
    </row>
    <row r="23">
      <c r="A23" s="4" t="inlineStr">
        <is>
          <t>Diluted EPS</t>
        </is>
      </c>
      <c r="C23" s="12" t="n">
        <v>0.0786</v>
      </c>
      <c r="D23" s="12" t="n">
        <v>0.0368</v>
      </c>
      <c r="E23" s="12" t="n">
        <v>0.07820000000000001</v>
      </c>
      <c r="F23" s="12" t="n">
        <v>0.1148</v>
      </c>
    </row>
    <row r="24">
      <c r="A24" s="4" t="inlineStr">
        <is>
          <t>D&amp;A</t>
        </is>
      </c>
      <c r="C24" s="5" t="n">
        <v>28.805673</v>
      </c>
      <c r="D24" s="5" t="n">
        <v>31.289145</v>
      </c>
      <c r="E24" s="5" t="n">
        <v>47.19096</v>
      </c>
      <c r="F24" s="5" t="n">
        <v>57.490156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74.703879</v>
      </c>
      <c r="D28" s="5" t="n">
        <v>0.009599</v>
      </c>
      <c r="E28" s="5" t="n">
        <v>0.016797</v>
      </c>
      <c r="F28" s="5" t="n">
        <v>0.009875</v>
      </c>
    </row>
    <row r="29">
      <c r="A29" s="4" t="inlineStr">
        <is>
          <t>Current Assets</t>
        </is>
      </c>
      <c r="C29" s="5" t="n">
        <v>199.513488</v>
      </c>
      <c r="D29" s="5" t="n">
        <v>129.509339</v>
      </c>
      <c r="E29" s="5" t="n">
        <v>162.176083</v>
      </c>
      <c r="F29" s="5" t="n">
        <v>193.759626</v>
      </c>
    </row>
    <row r="30">
      <c r="A30" s="4" t="inlineStr">
        <is>
          <t>Net PP&amp;E</t>
        </is>
      </c>
      <c r="C30" s="5" t="n">
        <v>272.776309</v>
      </c>
      <c r="D30" s="5" t="n">
        <v>365.226079</v>
      </c>
      <c r="E30" s="5" t="n">
        <v>378.61218</v>
      </c>
      <c r="F30" s="5" t="n">
        <v>346.700691</v>
      </c>
    </row>
    <row r="31">
      <c r="A31" s="4" t="inlineStr">
        <is>
          <t>Goodwill</t>
        </is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Total Assets</t>
        </is>
      </c>
      <c r="C32" s="5" t="n">
        <v>490.102079</v>
      </c>
      <c r="D32" s="5" t="n">
        <v>516.76005</v>
      </c>
      <c r="E32" s="5" t="n">
        <v>577.776694</v>
      </c>
      <c r="F32" s="5" t="n">
        <v>585.211577</v>
      </c>
    </row>
    <row r="34">
      <c r="A34" s="4" t="inlineStr">
        <is>
          <t>Current Liabilities</t>
        </is>
      </c>
      <c r="C34" s="5" t="n">
        <v>90.303392</v>
      </c>
      <c r="D34" s="5" t="n">
        <v>109.484309</v>
      </c>
      <c r="E34" s="5" t="n">
        <v>142.585207</v>
      </c>
      <c r="F34" s="5" t="n">
        <v>82.315662</v>
      </c>
    </row>
    <row r="35">
      <c r="A35" s="4" t="inlineStr">
        <is>
          <t>Total Debt</t>
        </is>
      </c>
      <c r="C35" s="5" t="n">
        <v>9.817299</v>
      </c>
      <c r="D35" s="5" t="n">
        <v>80.65375400000001</v>
      </c>
      <c r="E35" s="5" t="n">
        <v>73.796982</v>
      </c>
      <c r="F35" s="5" t="n">
        <v>44.127046</v>
      </c>
    </row>
    <row r="36">
      <c r="A36" s="2" t="inlineStr">
        <is>
          <t>Total Liabilities</t>
        </is>
      </c>
      <c r="C36" s="5" t="n">
        <v>122.697162</v>
      </c>
      <c r="D36" s="5" t="n">
        <v>151.248065</v>
      </c>
      <c r="E36" s="5" t="n">
        <v>187.707725</v>
      </c>
      <c r="F36" s="5" t="n">
        <v>138.063359</v>
      </c>
    </row>
    <row r="38">
      <c r="A38" s="2" t="inlineStr">
        <is>
          <t>Total Equity</t>
        </is>
      </c>
      <c r="C38" s="5" t="n">
        <v>367.404917</v>
      </c>
      <c r="D38" s="5" t="n">
        <v>365.511985</v>
      </c>
      <c r="E38" s="5" t="n">
        <v>390.068969</v>
      </c>
      <c r="F38" s="5" t="n">
        <v>447.148218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186.627006</v>
      </c>
      <c r="D42" s="5" t="n">
        <v>2.329122</v>
      </c>
      <c r="E42" s="5" t="n">
        <v>184.45651</v>
      </c>
      <c r="F42" s="5" t="n">
        <v>206.013801</v>
      </c>
    </row>
    <row r="43">
      <c r="A43" s="4" t="inlineStr">
        <is>
          <t>Capital Expenditure</t>
        </is>
      </c>
      <c r="C43" s="5" t="n">
        <v>-53.446838</v>
      </c>
      <c r="D43" s="5" t="n">
        <v>-116.891902</v>
      </c>
      <c r="E43" s="5" t="n">
        <v>-49.083212</v>
      </c>
      <c r="F43" s="5" t="n">
        <v>-21.897107</v>
      </c>
    </row>
    <row r="44">
      <c r="A44" s="2" t="inlineStr">
        <is>
          <t>Free Cash Flow</t>
        </is>
      </c>
      <c r="C44" s="5" t="n">
        <v>133.180168</v>
      </c>
      <c r="D44" s="5" t="n">
        <v>-114.56278</v>
      </c>
      <c r="E44" s="5" t="n">
        <v>135.373298</v>
      </c>
      <c r="F44" s="5" t="n">
        <v>184.116694</v>
      </c>
    </row>
    <row r="46">
      <c r="A46" s="4" t="inlineStr">
        <is>
          <t>D&amp;A</t>
        </is>
      </c>
      <c r="C46" s="5" t="n">
        <v>28.805673</v>
      </c>
      <c r="D46" s="5" t="n">
        <v>31.289145</v>
      </c>
      <c r="E46" s="5" t="n">
        <v>47.19096</v>
      </c>
      <c r="F46" s="5" t="n">
        <v>57.490156</v>
      </c>
    </row>
    <row r="47">
      <c r="A47" s="4" t="inlineStr">
        <is>
          <t>Stock-Based Compensation</t>
        </is>
      </c>
      <c r="C47" s="5" t="n">
        <v>0.264752</v>
      </c>
      <c r="D47" s="5" t="n">
        <v>0.033253</v>
      </c>
      <c r="E47" s="5" t="n">
        <v>1.694294</v>
      </c>
      <c r="F47" s="5" t="n">
        <v>1.293756</v>
      </c>
    </row>
    <row r="48">
      <c r="A48" s="4" t="inlineStr">
        <is>
          <t>Change in Working Capital</t>
        </is>
      </c>
      <c r="C48" s="5" t="n">
        <v>18.832623</v>
      </c>
      <c r="D48" s="5" t="n">
        <v>-21.823858</v>
      </c>
      <c r="E48" s="5" t="n">
        <v>-39.480676</v>
      </c>
      <c r="F48" s="5" t="n">
        <v>-9.969555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Alphamin Resources Corp. (AFM.V)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Other Industrial Metals &amp; Mining</t>
        </is>
      </c>
      <c r="C8" s="5" t="n">
        <v>391.052402</v>
      </c>
      <c r="D8" s="5" t="n">
        <v>288.504726</v>
      </c>
      <c r="E8" s="5" t="n">
        <v>527.985681</v>
      </c>
      <c r="F8" s="5" t="n">
        <v>620.888174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175.283652</v>
      </c>
      <c r="D16" s="5" t="n">
        <v>161.043546</v>
      </c>
      <c r="E16" s="5" t="n">
        <v>280.401537</v>
      </c>
      <c r="F16" s="5" t="n">
        <v>310.326108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21.94779</v>
      </c>
      <c r="D20" s="5" t="n">
        <v>19.913414</v>
      </c>
      <c r="E20" s="5" t="n">
        <v>27.390816</v>
      </c>
      <c r="F20" s="5" t="n">
        <v>32.169432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28.805673</v>
      </c>
      <c r="D22" s="5" t="n">
        <v>31.289145</v>
      </c>
      <c r="E22" s="5" t="n">
        <v>47.19096</v>
      </c>
      <c r="F22" s="5" t="n">
        <v>57.490156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3.97266</v>
      </c>
      <c r="D29" s="5" t="n">
        <v>7.332536</v>
      </c>
      <c r="E29" s="5" t="n">
        <v>7.957675</v>
      </c>
      <c r="F29" s="5" t="n">
        <v>5.661339</v>
      </c>
      <c r="G29" s="5" t="n">
        <v>5.661339</v>
      </c>
      <c r="H29" s="5" t="n">
        <v>5.661339</v>
      </c>
      <c r="I29" s="5" t="n">
        <v>5.661339</v>
      </c>
      <c r="J29" s="5" t="n">
        <v>5.661339</v>
      </c>
      <c r="K29" s="5" t="n">
        <v>5.661339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62.933011</v>
      </c>
      <c r="D31" s="5" t="n">
        <v>37.502294</v>
      </c>
      <c r="E31" s="5" t="n">
        <v>79.739914</v>
      </c>
      <c r="F31" s="5" t="n">
        <v>101.249009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18.832623</v>
      </c>
      <c r="D39" s="5" t="n">
        <v>-21.823858</v>
      </c>
      <c r="E39" s="5" t="n">
        <v>-39.480676</v>
      </c>
      <c r="F39" s="5" t="n">
        <v>-9.969555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-53.446838</v>
      </c>
      <c r="D42" s="5" t="n">
        <v>-116.891902</v>
      </c>
      <c r="E42" s="5" t="n">
        <v>-49.083212</v>
      </c>
      <c r="F42" s="5" t="n">
        <v>-21.897107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Alphamin Resources Corp. (AFM.V)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1.065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K12*$C$16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-44.117171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1279.110479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C33/1.065-1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0.0566</v>
      </c>
      <c r="C39" s="22">
        <f>(G$12/(1+$A$39)^1+H$12/(1+$A$39)^2+I$12/(1+$A$39)^3+J$12/(1+$A$39)^4+K$12/(1+$A$39)^5+K$12*8/(1+$A$39)^5+$C$29)/$C$32</f>
        <v/>
      </c>
      <c r="D39" s="22">
        <f>(G$12/(1+$A$39)^1+H$12/(1+$A$39)^2+I$12/(1+$A$39)^3+J$12/(1+$A$39)^4+K$12/(1+$A$39)^5+K$12*10/(1+$A$39)^5+$C$29)/$C$32</f>
        <v/>
      </c>
      <c r="E39" s="22">
        <f>(G$12/(1+$A$39)^1+H$12/(1+$A$39)^2+I$12/(1+$A$39)^3+J$12/(1+$A$39)^4+K$12/(1+$A$39)^5+K$12*12/(1+$A$39)^5+$C$29)/$C$32</f>
        <v/>
      </c>
      <c r="F39" s="22">
        <f>(G$12/(1+$A$39)^1+H$12/(1+$A$39)^2+I$12/(1+$A$39)^3+J$12/(1+$A$39)^4+K$12/(1+$A$39)^5+K$12*14/(1+$A$39)^5+$C$29)/$C$32</f>
        <v/>
      </c>
      <c r="G39" s="22">
        <f>(G$12/(1+$A$39)^1+H$12/(1+$A$39)^2+I$12/(1+$A$39)^3+J$12/(1+$A$39)^4+K$12/(1+$A$39)^5+K$12*16/(1+$A$39)^5+$C$29)/$C$32</f>
        <v/>
      </c>
    </row>
    <row r="40">
      <c r="A40" s="21" t="n">
        <v>0.06659999999999999</v>
      </c>
      <c r="C40" s="22">
        <f>(G$12/(1+$A$40)^1+H$12/(1+$A$40)^2+I$12/(1+$A$40)^3+J$12/(1+$A$40)^4+K$12/(1+$A$40)^5+K$12*8/(1+$A$40)^5+$C$29)/$C$32</f>
        <v/>
      </c>
      <c r="D40" s="22">
        <f>(G$12/(1+$A$40)^1+H$12/(1+$A$40)^2+I$12/(1+$A$40)^3+J$12/(1+$A$40)^4+K$12/(1+$A$40)^5+K$12*10/(1+$A$40)^5+$C$29)/$C$32</f>
        <v/>
      </c>
      <c r="E40" s="22">
        <f>(G$12/(1+$A$40)^1+H$12/(1+$A$40)^2+I$12/(1+$A$40)^3+J$12/(1+$A$40)^4+K$12/(1+$A$40)^5+K$12*12/(1+$A$40)^5+$C$29)/$C$32</f>
        <v/>
      </c>
      <c r="F40" s="22">
        <f>(G$12/(1+$A$40)^1+H$12/(1+$A$40)^2+I$12/(1+$A$40)^3+J$12/(1+$A$40)^4+K$12/(1+$A$40)^5+K$12*14/(1+$A$40)^5+$C$29)/$C$32</f>
        <v/>
      </c>
      <c r="G40" s="22">
        <f>(G$12/(1+$A$40)^1+H$12/(1+$A$40)^2+I$12/(1+$A$40)^3+J$12/(1+$A$40)^4+K$12/(1+$A$40)^5+K$12*16/(1+$A$40)^5+$C$29)/$C$32</f>
        <v/>
      </c>
    </row>
    <row r="41">
      <c r="A41" s="21" t="n">
        <v>0.0766</v>
      </c>
      <c r="C41" s="22">
        <f>(G$12/(1+$A$41)^1+H$12/(1+$A$41)^2+I$12/(1+$A$41)^3+J$12/(1+$A$41)^4+K$12/(1+$A$41)^5+K$12*8/(1+$A$41)^5+$C$29)/$C$32</f>
        <v/>
      </c>
      <c r="D41" s="22">
        <f>(G$12/(1+$A$41)^1+H$12/(1+$A$41)^2+I$12/(1+$A$41)^3+J$12/(1+$A$41)^4+K$12/(1+$A$41)^5+K$12*10/(1+$A$41)^5+$C$29)/$C$32</f>
        <v/>
      </c>
      <c r="E41" s="22">
        <f>(G$12/(1+$A$41)^1+H$12/(1+$A$41)^2+I$12/(1+$A$41)^3+J$12/(1+$A$41)^4+K$12/(1+$A$41)^5+K$12*12/(1+$A$41)^5+$C$29)/$C$32</f>
        <v/>
      </c>
      <c r="F41" s="22">
        <f>(G$12/(1+$A$41)^1+H$12/(1+$A$41)^2+I$12/(1+$A$41)^3+J$12/(1+$A$41)^4+K$12/(1+$A$41)^5+K$12*14/(1+$A$41)^5+$C$29)/$C$32</f>
        <v/>
      </c>
      <c r="G41" s="22">
        <f>(G$12/(1+$A$41)^1+H$12/(1+$A$41)^2+I$12/(1+$A$41)^3+J$12/(1+$A$41)^4+K$12/(1+$A$41)^5+K$12*16/(1+$A$41)^5+$C$29)/$C$32</f>
        <v/>
      </c>
    </row>
    <row r="42">
      <c r="A42" s="21" t="n">
        <v>0.0866</v>
      </c>
      <c r="C42" s="22">
        <f>(G$12/(1+$A$42)^1+H$12/(1+$A$42)^2+I$12/(1+$A$42)^3+J$12/(1+$A$42)^4+K$12/(1+$A$42)^5+K$12*8/(1+$A$42)^5+$C$29)/$C$32</f>
        <v/>
      </c>
      <c r="D42" s="22">
        <f>(G$12/(1+$A$42)^1+H$12/(1+$A$42)^2+I$12/(1+$A$42)^3+J$12/(1+$A$42)^4+K$12/(1+$A$42)^5+K$12*10/(1+$A$42)^5+$C$29)/$C$32</f>
        <v/>
      </c>
      <c r="E42" s="23">
        <f>(G$12/(1+$A$42)^1+H$12/(1+$A$42)^2+I$12/(1+$A$42)^3+J$12/(1+$A$42)^4+K$12/(1+$A$42)^5+K$12*12/(1+$A$42)^5+$C$29)/$C$32</f>
        <v/>
      </c>
      <c r="F42" s="22">
        <f>(G$12/(1+$A$42)^1+H$12/(1+$A$42)^2+I$12/(1+$A$42)^3+J$12/(1+$A$42)^4+K$12/(1+$A$42)^5+K$12*14/(1+$A$42)^5+$C$29)/$C$32</f>
        <v/>
      </c>
      <c r="G42" s="22">
        <f>(G$12/(1+$A$42)^1+H$12/(1+$A$42)^2+I$12/(1+$A$42)^3+J$12/(1+$A$42)^4+K$12/(1+$A$42)^5+K$12*16/(1+$A$42)^5+$C$29)/$C$32</f>
        <v/>
      </c>
    </row>
    <row r="43">
      <c r="A43" s="21" t="n">
        <v>0.09659999999999999</v>
      </c>
      <c r="C43" s="22">
        <f>(G$12/(1+$A$43)^1+H$12/(1+$A$43)^2+I$12/(1+$A$43)^3+J$12/(1+$A$43)^4+K$12/(1+$A$43)^5+K$12*8/(1+$A$43)^5+$C$29)/$C$32</f>
        <v/>
      </c>
      <c r="D43" s="22">
        <f>(G$12/(1+$A$43)^1+H$12/(1+$A$43)^2+I$12/(1+$A$43)^3+J$12/(1+$A$43)^4+K$12/(1+$A$43)^5+K$12*10/(1+$A$43)^5+$C$29)/$C$32</f>
        <v/>
      </c>
      <c r="E43" s="22">
        <f>(G$12/(1+$A$43)^1+H$12/(1+$A$43)^2+I$12/(1+$A$43)^3+J$12/(1+$A$43)^4+K$12/(1+$A$43)^5+K$12*12/(1+$A$43)^5+$C$29)/$C$32</f>
        <v/>
      </c>
      <c r="F43" s="22">
        <f>(G$12/(1+$A$43)^1+H$12/(1+$A$43)^2+I$12/(1+$A$43)^3+J$12/(1+$A$43)^4+K$12/(1+$A$43)^5+K$12*14/(1+$A$43)^5+$C$29)/$C$32</f>
        <v/>
      </c>
      <c r="G43" s="22">
        <f>(G$12/(1+$A$43)^1+H$12/(1+$A$43)^2+I$12/(1+$A$43)^3+J$12/(1+$A$43)^4+K$12/(1+$A$43)^5+K$12*16/(1+$A$43)^5+$C$29)/$C$32</f>
        <v/>
      </c>
    </row>
    <row r="44">
      <c r="A44" s="21" t="n">
        <v>0.1066</v>
      </c>
      <c r="C44" s="22">
        <f>(G$12/(1+$A$44)^1+H$12/(1+$A$44)^2+I$12/(1+$A$44)^3+J$12/(1+$A$44)^4+K$12/(1+$A$44)^5+K$12*8/(1+$A$44)^5+$C$29)/$C$32</f>
        <v/>
      </c>
      <c r="D44" s="22">
        <f>(G$12/(1+$A$44)^1+H$12/(1+$A$44)^2+I$12/(1+$A$44)^3+J$12/(1+$A$44)^4+K$12/(1+$A$44)^5+K$12*10/(1+$A$44)^5+$C$29)/$C$32</f>
        <v/>
      </c>
      <c r="E44" s="22">
        <f>(G$12/(1+$A$44)^1+H$12/(1+$A$44)^2+I$12/(1+$A$44)^3+J$12/(1+$A$44)^4+K$12/(1+$A$44)^5+K$12*12/(1+$A$44)^5+$C$29)/$C$32</f>
        <v/>
      </c>
      <c r="F44" s="22">
        <f>(G$12/(1+$A$44)^1+H$12/(1+$A$44)^2+I$12/(1+$A$44)^3+J$12/(1+$A$44)^4+K$12/(1+$A$44)^5+K$12*14/(1+$A$44)^5+$C$29)/$C$32</f>
        <v/>
      </c>
      <c r="G44" s="22">
        <f>(G$12/(1+$A$44)^1+H$12/(1+$A$44)^2+I$12/(1+$A$44)^3+J$12/(1+$A$44)^4+K$12/(1+$A$44)^5+K$12*16/(1+$A$44)^5+$C$29)/$C$32</f>
        <v/>
      </c>
    </row>
    <row r="45">
      <c r="A45" s="21" t="n">
        <v>0.1166</v>
      </c>
      <c r="C45" s="22">
        <f>(G$12/(1+$A$45)^1+H$12/(1+$A$45)^2+I$12/(1+$A$45)^3+J$12/(1+$A$45)^4+K$12/(1+$A$45)^5+K$12*8/(1+$A$45)^5+$C$29)/$C$32</f>
        <v/>
      </c>
      <c r="D45" s="22">
        <f>(G$12/(1+$A$45)^1+H$12/(1+$A$45)^2+I$12/(1+$A$45)^3+J$12/(1+$A$45)^4+K$12/(1+$A$45)^5+K$12*10/(1+$A$45)^5+$C$29)/$C$32</f>
        <v/>
      </c>
      <c r="E45" s="22">
        <f>(G$12/(1+$A$45)^1+H$12/(1+$A$45)^2+I$12/(1+$A$45)^3+J$12/(1+$A$45)^4+K$12/(1+$A$45)^5+K$12*12/(1+$A$45)^5+$C$29)/$C$32</f>
        <v/>
      </c>
      <c r="F45" s="22">
        <f>(G$12/(1+$A$45)^1+H$12/(1+$A$45)^2+I$12/(1+$A$45)^3+J$12/(1+$A$45)^4+K$12/(1+$A$45)^5+K$12*14/(1+$A$45)^5+$C$29)/$C$32</f>
        <v/>
      </c>
      <c r="G45" s="22">
        <f>(G$12/(1+$A$45)^1+H$12/(1+$A$45)^2+I$12/(1+$A$45)^3+J$12/(1+$A$45)^4+K$12/(1+$A$45)^5+K$12*16/(1+$A$45)^5+$C$29)/$C$32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2026-03-20T19:14:04Z</dcterms:created>
  <dcterms:modified xmlns:dcterms="http://purl.org/dc/terms/" xmlns:xsi="http://www.w3.org/2001/XMLSchema-instance" xsi:type="dcterms:W3CDTF">2026-03-20T19:14:04Z</dcterms:modified>
</cp:coreProperties>
</file>