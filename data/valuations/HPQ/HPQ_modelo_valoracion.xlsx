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HP Inc. (HPQ)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Computer Hardware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62910</v>
      </c>
      <c r="D7" s="5" t="n">
        <v>53718</v>
      </c>
      <c r="E7" s="5" t="n">
        <v>53559</v>
      </c>
      <c r="F7" s="5" t="n">
        <v>55295</v>
      </c>
    </row>
    <row r="8">
      <c r="A8" s="4" t="inlineStr">
        <is>
          <t xml:space="preserve">  Revenue Growth - Base</t>
        </is>
      </c>
      <c r="G8" s="6" t="n">
        <v>0.06900000000000001</v>
      </c>
      <c r="H8" s="6" t="n">
        <v>0.06210000000000001</v>
      </c>
      <c r="I8" s="6" t="n">
        <v>0.05520000000000001</v>
      </c>
      <c r="J8" s="6" t="n">
        <v>0.0483</v>
      </c>
      <c r="K8" s="6" t="n">
        <v>0.0414</v>
      </c>
    </row>
    <row r="9">
      <c r="A9" s="4" t="inlineStr">
        <is>
          <t xml:space="preserve">  Revenue Growth - Bull</t>
        </is>
      </c>
      <c r="G9" s="6" t="n">
        <v>0.08400000000000001</v>
      </c>
      <c r="H9" s="6" t="n">
        <v>0.0756</v>
      </c>
      <c r="I9" s="6" t="n">
        <v>0.06720000000000001</v>
      </c>
      <c r="J9" s="6" t="n">
        <v>0.0588</v>
      </c>
      <c r="K9" s="6" t="n">
        <v>0.0504</v>
      </c>
    </row>
    <row r="10">
      <c r="A10" s="4" t="inlineStr">
        <is>
          <t xml:space="preserve">  Revenue Growth - Bear</t>
        </is>
      </c>
      <c r="G10" s="6" t="n">
        <v>0.05400000000000001</v>
      </c>
      <c r="H10" s="6" t="n">
        <v>0.0486</v>
      </c>
      <c r="I10" s="6" t="n">
        <v>0.04320000000000001</v>
      </c>
      <c r="J10" s="6" t="n">
        <v>0.0378</v>
      </c>
      <c r="K10" s="6" t="n">
        <v>0.03240000000000001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0.2089588084498327</v>
      </c>
      <c r="H15" s="6" t="n">
        <v>0.2089588084498327</v>
      </c>
      <c r="I15" s="6" t="n">
        <v>0.2089588084498327</v>
      </c>
      <c r="J15" s="6" t="n">
        <v>0.2089588084498327</v>
      </c>
      <c r="K15" s="6" t="n">
        <v>0.2089588084498327</v>
      </c>
    </row>
    <row r="16">
      <c r="A16" s="4" t="inlineStr">
        <is>
          <t>Gross Margin - Bull</t>
        </is>
      </c>
      <c r="G16" s="6" t="n">
        <v>0.2189588084498327</v>
      </c>
      <c r="H16" s="6" t="n">
        <v>0.2189588084498327</v>
      </c>
      <c r="I16" s="6" t="n">
        <v>0.2189588084498327</v>
      </c>
      <c r="J16" s="6" t="n">
        <v>0.2189588084498327</v>
      </c>
      <c r="K16" s="6" t="n">
        <v>0.2189588084498327</v>
      </c>
    </row>
    <row r="17">
      <c r="A17" s="4" t="inlineStr">
        <is>
          <t>Gross Margin - Bear</t>
        </is>
      </c>
      <c r="G17" s="6" t="n">
        <v>0.1989588084498327</v>
      </c>
      <c r="H17" s="6" t="n">
        <v>0.1989588084498327</v>
      </c>
      <c r="I17" s="6" t="n">
        <v>0.1989588084498327</v>
      </c>
      <c r="J17" s="6" t="n">
        <v>0.1989588084498327</v>
      </c>
      <c r="K17" s="6" t="n">
        <v>0.1989588084498327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0.09857795288057815</v>
      </c>
      <c r="H20" s="6" t="n">
        <v>0.09857795288057815</v>
      </c>
      <c r="I20" s="6" t="n">
        <v>0.09857795288057815</v>
      </c>
      <c r="J20" s="6" t="n">
        <v>0.09857795288057815</v>
      </c>
      <c r="K20" s="6" t="n">
        <v>0.09857795288057815</v>
      </c>
    </row>
    <row r="21">
      <c r="A21" s="4" t="inlineStr">
        <is>
          <t>SG&amp;A % Revenue - Bull</t>
        </is>
      </c>
      <c r="G21" s="6" t="n">
        <v>0.09357795288057814</v>
      </c>
      <c r="H21" s="6" t="n">
        <v>0.09357795288057814</v>
      </c>
      <c r="I21" s="6" t="n">
        <v>0.09357795288057814</v>
      </c>
      <c r="J21" s="6" t="n">
        <v>0.09357795288057814</v>
      </c>
      <c r="K21" s="6" t="n">
        <v>0.09357795288057814</v>
      </c>
    </row>
    <row r="22">
      <c r="A22" s="4" t="inlineStr">
        <is>
          <t>SG&amp;A % Revenue - Bear</t>
        </is>
      </c>
      <c r="G22" s="6" t="n">
        <v>0.1035779528805782</v>
      </c>
      <c r="H22" s="6" t="n">
        <v>0.1035779528805782</v>
      </c>
      <c r="I22" s="6" t="n">
        <v>0.1035779528805782</v>
      </c>
      <c r="J22" s="6" t="n">
        <v>0.1035779528805782</v>
      </c>
      <c r="K22" s="6" t="n">
        <v>0.1035779528805782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0.02881089387979082</v>
      </c>
      <c r="H25" s="6" t="n">
        <v>0.02881089387979082</v>
      </c>
      <c r="I25" s="6" t="n">
        <v>0.02881089387979082</v>
      </c>
      <c r="J25" s="6" t="n">
        <v>0.02881089387979082</v>
      </c>
      <c r="K25" s="6" t="n">
        <v>0.02881089387979082</v>
      </c>
    </row>
    <row r="26">
      <c r="A26" s="4" t="inlineStr">
        <is>
          <t>R&amp;D % Revenue - Bull</t>
        </is>
      </c>
      <c r="G26" s="6" t="n">
        <v>0.02881089387979082</v>
      </c>
      <c r="H26" s="6" t="n">
        <v>0.02881089387979082</v>
      </c>
      <c r="I26" s="6" t="n">
        <v>0.02881089387979082</v>
      </c>
      <c r="J26" s="6" t="n">
        <v>0.02881089387979082</v>
      </c>
      <c r="K26" s="6" t="n">
        <v>0.02881089387979082</v>
      </c>
    </row>
    <row r="27">
      <c r="A27" s="4" t="inlineStr">
        <is>
          <t>R&amp;D % Revenue - Bear</t>
        </is>
      </c>
      <c r="G27" s="6" t="n">
        <v>0.02881089387979082</v>
      </c>
      <c r="H27" s="6" t="n">
        <v>0.02881089387979082</v>
      </c>
      <c r="I27" s="6" t="n">
        <v>0.02881089387979082</v>
      </c>
      <c r="J27" s="6" t="n">
        <v>0.02881089387979082</v>
      </c>
      <c r="K27" s="6" t="n">
        <v>0.02881089387979082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0.01507116509905716</v>
      </c>
      <c r="H30" s="6" t="n">
        <v>0.01507116509905716</v>
      </c>
      <c r="I30" s="6" t="n">
        <v>0.01507116509905716</v>
      </c>
      <c r="J30" s="6" t="n">
        <v>0.01507116509905716</v>
      </c>
      <c r="K30" s="6" t="n">
        <v>0.01507116509905716</v>
      </c>
    </row>
    <row r="31">
      <c r="A31" s="4" t="inlineStr">
        <is>
          <t>CapEx % Revenue</t>
        </is>
      </c>
      <c r="G31" s="6" t="n">
        <v>0.01160672995734438</v>
      </c>
      <c r="H31" s="6" t="n">
        <v>0.01160672995734438</v>
      </c>
      <c r="I31" s="6" t="n">
        <v>0.01160672995734438</v>
      </c>
      <c r="J31" s="6" t="n">
        <v>0.01160672995734438</v>
      </c>
      <c r="K31" s="6" t="n">
        <v>0.01160672995734438</v>
      </c>
    </row>
    <row r="32">
      <c r="A32" s="4" t="inlineStr">
        <is>
          <t>Tax Rate</t>
        </is>
      </c>
      <c r="G32" s="6" t="n">
        <v>0.1171108980559654</v>
      </c>
      <c r="H32" s="6" t="n">
        <v>0.1171108980559654</v>
      </c>
      <c r="I32" s="6" t="n">
        <v>0.1171108980559654</v>
      </c>
      <c r="J32" s="6" t="n">
        <v>0.1171108980559654</v>
      </c>
      <c r="K32" s="6" t="n">
        <v>0.1171108980559654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0.0876</v>
      </c>
    </row>
    <row r="36">
      <c r="A36" s="4" t="inlineStr">
        <is>
          <t>WACC - Bull</t>
        </is>
      </c>
      <c r="C36" s="6" t="n">
        <v>0.0776</v>
      </c>
    </row>
    <row r="37">
      <c r="A37" s="4" t="inlineStr">
        <is>
          <t>WACC - Bear</t>
        </is>
      </c>
      <c r="C37" s="6" t="n">
        <v>0.09759999999999999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18</v>
      </c>
    </row>
    <row r="41">
      <c r="A41" s="4" t="inlineStr">
        <is>
          <t>Terminal Value Multiple - Bull</t>
        </is>
      </c>
      <c r="C41" s="9" t="n">
        <v>20</v>
      </c>
    </row>
    <row r="42">
      <c r="A42" s="4" t="inlineStr">
        <is>
          <t>Terminal Value Multiple - Bear</t>
        </is>
      </c>
      <c r="C42" s="9" t="n">
        <v>16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HP Inc. (HPQ)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62910</v>
      </c>
      <c r="D6" s="5" t="n">
        <v>53718</v>
      </c>
      <c r="E6" s="5" t="n">
        <v>53559</v>
      </c>
      <c r="F6" s="5" t="n">
        <v>55295</v>
      </c>
    </row>
    <row r="7">
      <c r="A7" s="4" t="inlineStr">
        <is>
          <t>Cost of Revenue</t>
        </is>
      </c>
      <c r="C7" s="5" t="n">
        <v>50647</v>
      </c>
      <c r="D7" s="5" t="n">
        <v>42210</v>
      </c>
      <c r="E7" s="5" t="n">
        <v>41741</v>
      </c>
      <c r="F7" s="5" t="n">
        <v>43903</v>
      </c>
    </row>
    <row r="8">
      <c r="A8" s="2" t="inlineStr">
        <is>
          <t>Gross Profit</t>
        </is>
      </c>
      <c r="C8" s="5" t="n">
        <v>12263</v>
      </c>
      <c r="D8" s="5" t="n">
        <v>11508</v>
      </c>
      <c r="E8" s="5" t="n">
        <v>11818</v>
      </c>
      <c r="F8" s="5" t="n">
        <v>11392</v>
      </c>
    </row>
    <row r="9">
      <c r="A9" s="4" t="inlineStr">
        <is>
          <t xml:space="preserve">  Gross Margin</t>
        </is>
      </c>
      <c r="C9" s="11" t="n">
        <v>0.1949292640279765</v>
      </c>
      <c r="D9" s="11" t="n">
        <v>0.2142298670836591</v>
      </c>
      <c r="E9" s="11" t="n">
        <v>0.2206538583618066</v>
      </c>
      <c r="F9" s="11" t="n">
        <v>0.2060222443258884</v>
      </c>
    </row>
    <row r="11">
      <c r="A11" s="4" t="inlineStr">
        <is>
          <t>R&amp;D Expense</t>
        </is>
      </c>
      <c r="C11" s="5" t="n">
        <v>1653</v>
      </c>
      <c r="D11" s="5" t="n">
        <v>1578</v>
      </c>
      <c r="E11" s="5" t="n">
        <v>1640</v>
      </c>
      <c r="F11" s="5" t="n">
        <v>1602</v>
      </c>
    </row>
    <row r="12">
      <c r="A12" s="4" t="inlineStr">
        <is>
          <t>SG&amp;A Expense</t>
        </is>
      </c>
      <c r="C12" s="5" t="n">
        <v>5264</v>
      </c>
      <c r="D12" s="5" t="n">
        <v>5357</v>
      </c>
      <c r="E12" s="5" t="n">
        <v>5658</v>
      </c>
      <c r="F12" s="5" t="n">
        <v>5821</v>
      </c>
    </row>
    <row r="13">
      <c r="A13" s="2" t="inlineStr">
        <is>
          <t>Operating Income (EBIT)</t>
        </is>
      </c>
      <c r="C13" s="5" t="n">
        <v>5117</v>
      </c>
      <c r="D13" s="5" t="n">
        <v>4223</v>
      </c>
      <c r="E13" s="5" t="n">
        <v>4202</v>
      </c>
      <c r="F13" s="5" t="n">
        <v>3624</v>
      </c>
    </row>
    <row r="14">
      <c r="A14" s="4" t="inlineStr">
        <is>
          <t xml:space="preserve">  EBIT Margin</t>
        </is>
      </c>
      <c r="C14" s="11" t="n">
        <v>0.08133841996502941</v>
      </c>
      <c r="D14" s="11" t="n">
        <v>0.07861424475967087</v>
      </c>
      <c r="E14" s="11" t="n">
        <v>0.07845553501745739</v>
      </c>
      <c r="F14" s="11" t="n">
        <v>0.06553937969074962</v>
      </c>
    </row>
    <row r="16">
      <c r="A16" s="4" t="inlineStr">
        <is>
          <t>Interest Expense</t>
        </is>
      </c>
      <c r="C16" s="5" t="n">
        <v>359</v>
      </c>
      <c r="D16" s="5" t="n">
        <v>684</v>
      </c>
      <c r="E16" s="5" t="n">
        <v>607</v>
      </c>
      <c r="F16" s="5" t="n">
        <v>555</v>
      </c>
    </row>
    <row r="17">
      <c r="A17" s="4" t="inlineStr">
        <is>
          <t>Tax Provision</t>
        </is>
      </c>
      <c r="C17" s="5" t="n">
        <v>1192</v>
      </c>
      <c r="D17" s="5" t="n">
        <v>-326</v>
      </c>
      <c r="E17" s="5" t="n">
        <v>504</v>
      </c>
      <c r="F17" s="5" t="n">
        <v>139</v>
      </c>
    </row>
    <row r="18">
      <c r="A18" s="2" t="inlineStr">
        <is>
          <t>Net Income</t>
        </is>
      </c>
      <c r="C18" s="5" t="n">
        <v>3132</v>
      </c>
      <c r="D18" s="5" t="n">
        <v>3263</v>
      </c>
      <c r="E18" s="5" t="n">
        <v>2775</v>
      </c>
      <c r="F18" s="5" t="n">
        <v>2529</v>
      </c>
    </row>
    <row r="19">
      <c r="A19" s="4" t="inlineStr">
        <is>
          <t xml:space="preserve">  Net Margin</t>
        </is>
      </c>
      <c r="C19" s="11" t="n">
        <v>0.04978540772532189</v>
      </c>
      <c r="D19" s="11" t="n">
        <v>0.06074314010201422</v>
      </c>
      <c r="E19" s="11" t="n">
        <v>0.05181202038873019</v>
      </c>
      <c r="F19" s="11" t="n">
        <v>0.04573650420472014</v>
      </c>
    </row>
    <row r="21">
      <c r="A21" s="2" t="inlineStr">
        <is>
          <t>EBITDA</t>
        </is>
      </c>
      <c r="C21" s="5" t="n">
        <v>5463</v>
      </c>
      <c r="D21" s="5" t="n">
        <v>4471</v>
      </c>
      <c r="E21" s="5" t="n">
        <v>4716</v>
      </c>
      <c r="F21" s="5" t="n">
        <v>4139</v>
      </c>
    </row>
    <row r="22">
      <c r="A22" s="4" t="inlineStr">
        <is>
          <t xml:space="preserve">  EBITDA Margin</t>
        </is>
      </c>
      <c r="C22" s="11" t="n">
        <v>0.08683834048640915</v>
      </c>
      <c r="D22" s="11" t="n">
        <v>0.08323094679623218</v>
      </c>
      <c r="E22" s="11" t="n">
        <v>0.08805242816333389</v>
      </c>
      <c r="F22" s="11" t="n">
        <v>0.07485306085541188</v>
      </c>
    </row>
    <row r="23">
      <c r="A23" s="4" t="inlineStr">
        <is>
          <t>Diluted EPS</t>
        </is>
      </c>
      <c r="C23" s="12" t="n">
        <v>3.05</v>
      </c>
      <c r="D23" s="12" t="n">
        <v>3.26</v>
      </c>
      <c r="E23" s="12" t="n">
        <v>2.81</v>
      </c>
      <c r="F23" s="12" t="n">
        <v>2.65</v>
      </c>
    </row>
    <row r="24">
      <c r="A24" s="4" t="inlineStr">
        <is>
          <t>D&amp;A</t>
        </is>
      </c>
      <c r="C24" s="5" t="n">
        <v>780</v>
      </c>
      <c r="D24" s="5" t="n">
        <v>850</v>
      </c>
      <c r="E24" s="5" t="n">
        <v>830</v>
      </c>
      <c r="F24" s="5" t="n">
        <v>916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3145</v>
      </c>
      <c r="D28" s="5" t="n">
        <v>3107</v>
      </c>
      <c r="E28" s="5" t="n">
        <v>3238</v>
      </c>
      <c r="F28" s="5" t="n">
        <v>3690</v>
      </c>
    </row>
    <row r="29">
      <c r="A29" s="4" t="inlineStr">
        <is>
          <t>Current Assets</t>
        </is>
      </c>
      <c r="C29" s="5" t="n">
        <v>19736</v>
      </c>
      <c r="D29" s="5" t="n">
        <v>17977</v>
      </c>
      <c r="E29" s="5" t="n">
        <v>20760</v>
      </c>
      <c r="F29" s="5" t="n">
        <v>22453</v>
      </c>
    </row>
    <row r="30">
      <c r="A30" s="4" t="inlineStr">
        <is>
          <t>Net PP&amp;E</t>
        </is>
      </c>
      <c r="C30" s="5" t="n">
        <v>4010</v>
      </c>
      <c r="D30" s="5" t="n">
        <v>4015</v>
      </c>
      <c r="E30" s="5" t="n">
        <v>4079</v>
      </c>
      <c r="F30" s="5" t="n">
        <v>4178</v>
      </c>
    </row>
    <row r="31">
      <c r="A31" s="4" t="inlineStr">
        <is>
          <t>Goodwill</t>
        </is>
      </c>
      <c r="C31" s="5" t="n">
        <v>8541</v>
      </c>
      <c r="D31" s="5" t="n">
        <v>8591</v>
      </c>
      <c r="E31" s="5" t="n">
        <v>8627</v>
      </c>
      <c r="F31" s="5" t="n">
        <v>8706</v>
      </c>
    </row>
    <row r="32">
      <c r="A32" s="2" t="inlineStr">
        <is>
          <t>Total Assets</t>
        </is>
      </c>
      <c r="C32" s="5" t="n">
        <v>38494</v>
      </c>
      <c r="D32" s="5" t="n">
        <v>37004</v>
      </c>
      <c r="E32" s="5" t="n">
        <v>39909</v>
      </c>
      <c r="F32" s="5" t="n">
        <v>41769</v>
      </c>
    </row>
    <row r="34">
      <c r="A34" s="4" t="inlineStr">
        <is>
          <t>Current Liabilities</t>
        </is>
      </c>
      <c r="C34" s="5" t="n">
        <v>26189</v>
      </c>
      <c r="D34" s="5" t="n">
        <v>24488</v>
      </c>
      <c r="E34" s="5" t="n">
        <v>28687</v>
      </c>
      <c r="F34" s="5" t="n">
        <v>29258</v>
      </c>
    </row>
    <row r="35">
      <c r="A35" s="4" t="inlineStr">
        <is>
          <t>Total Debt</t>
        </is>
      </c>
      <c r="C35" s="5" t="n">
        <v>12294</v>
      </c>
      <c r="D35" s="5" t="n">
        <v>10739</v>
      </c>
      <c r="E35" s="5" t="n">
        <v>10899</v>
      </c>
      <c r="F35" s="5" t="n">
        <v>10882</v>
      </c>
    </row>
    <row r="36">
      <c r="A36" s="2" t="inlineStr">
        <is>
          <t>Total Liabilities</t>
        </is>
      </c>
      <c r="C36" s="5" t="n">
        <v>41519</v>
      </c>
      <c r="D36" s="5" t="n">
        <v>38073</v>
      </c>
      <c r="E36" s="5" t="n">
        <v>41232</v>
      </c>
      <c r="F36" s="5" t="n">
        <v>42115</v>
      </c>
    </row>
    <row r="38">
      <c r="A38" s="2" t="inlineStr">
        <is>
          <t>Total Equity</t>
        </is>
      </c>
      <c r="C38" s="5" t="n">
        <v>-3025</v>
      </c>
      <c r="D38" s="5" t="n">
        <v>-1069</v>
      </c>
      <c r="E38" s="5" t="n">
        <v>-1323</v>
      </c>
      <c r="F38" s="5" t="n">
        <v>-346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4463</v>
      </c>
      <c r="D42" s="5" t="n">
        <v>3571</v>
      </c>
      <c r="E42" s="5" t="n">
        <v>3749</v>
      </c>
      <c r="F42" s="5" t="n">
        <v>3697</v>
      </c>
    </row>
    <row r="43">
      <c r="A43" s="4" t="inlineStr">
        <is>
          <t>Capital Expenditure</t>
        </is>
      </c>
      <c r="C43" s="5" t="n">
        <v>-765</v>
      </c>
      <c r="D43" s="5" t="n">
        <v>-593</v>
      </c>
      <c r="E43" s="5" t="n">
        <v>-592</v>
      </c>
      <c r="F43" s="5" t="n">
        <v>-897</v>
      </c>
    </row>
    <row r="44">
      <c r="A44" s="2" t="inlineStr">
        <is>
          <t>Free Cash Flow</t>
        </is>
      </c>
      <c r="C44" s="5" t="n">
        <v>3698</v>
      </c>
      <c r="D44" s="5" t="n">
        <v>2978</v>
      </c>
      <c r="E44" s="5" t="n">
        <v>3157</v>
      </c>
      <c r="F44" s="5" t="n">
        <v>2800</v>
      </c>
    </row>
    <row r="46">
      <c r="A46" s="4" t="inlineStr">
        <is>
          <t>D&amp;A</t>
        </is>
      </c>
      <c r="C46" s="5" t="n">
        <v>780</v>
      </c>
      <c r="D46" s="5" t="n">
        <v>850</v>
      </c>
      <c r="E46" s="5" t="n">
        <v>830</v>
      </c>
      <c r="F46" s="5" t="n">
        <v>916</v>
      </c>
    </row>
    <row r="47">
      <c r="A47" s="4" t="inlineStr">
        <is>
          <t>Stock-Based Compensation</t>
        </is>
      </c>
      <c r="C47" s="5" t="n">
        <v>343</v>
      </c>
      <c r="D47" s="5" t="n">
        <v>438</v>
      </c>
      <c r="E47" s="5" t="n">
        <v>452</v>
      </c>
      <c r="F47" s="5" t="n">
        <v>522</v>
      </c>
    </row>
    <row r="48">
      <c r="A48" s="4" t="inlineStr">
        <is>
          <t>Change in Working Capital</t>
        </is>
      </c>
      <c r="C48" s="5" t="n">
        <v>-1062</v>
      </c>
      <c r="D48" s="5" t="n">
        <v>-574</v>
      </c>
      <c r="E48" s="5" t="n">
        <v>-449</v>
      </c>
      <c r="F48" s="5" t="n">
        <v>-785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HP Inc. (HPQ)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Computer Hardware</t>
        </is>
      </c>
      <c r="C8" s="5" t="n">
        <v>62910</v>
      </c>
      <c r="D8" s="5" t="n">
        <v>53718</v>
      </c>
      <c r="E8" s="5" t="n">
        <v>53559</v>
      </c>
      <c r="F8" s="5" t="n">
        <v>55295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50647</v>
      </c>
      <c r="D16" s="5" t="n">
        <v>42210</v>
      </c>
      <c r="E16" s="5" t="n">
        <v>41741</v>
      </c>
      <c r="F16" s="5" t="n">
        <v>43903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5264</v>
      </c>
      <c r="D20" s="5" t="n">
        <v>5357</v>
      </c>
      <c r="E20" s="5" t="n">
        <v>5658</v>
      </c>
      <c r="F20" s="5" t="n">
        <v>5821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1653</v>
      </c>
      <c r="D21" s="5" t="n">
        <v>1578</v>
      </c>
      <c r="E21" s="5" t="n">
        <v>1640</v>
      </c>
      <c r="F21" s="5" t="n">
        <v>1602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780</v>
      </c>
      <c r="D22" s="5" t="n">
        <v>850</v>
      </c>
      <c r="E22" s="5" t="n">
        <v>830</v>
      </c>
      <c r="F22" s="5" t="n">
        <v>916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359</v>
      </c>
      <c r="D29" s="5" t="n">
        <v>684</v>
      </c>
      <c r="E29" s="5" t="n">
        <v>607</v>
      </c>
      <c r="F29" s="5" t="n">
        <v>555</v>
      </c>
      <c r="G29" s="5" t="n">
        <v>555</v>
      </c>
      <c r="H29" s="5" t="n">
        <v>555</v>
      </c>
      <c r="I29" s="5" t="n">
        <v>555</v>
      </c>
      <c r="J29" s="5" t="n">
        <v>555</v>
      </c>
      <c r="K29" s="5" t="n">
        <v>555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1192</v>
      </c>
      <c r="D31" s="5" t="n">
        <v>-326</v>
      </c>
      <c r="E31" s="5" t="n">
        <v>504</v>
      </c>
      <c r="F31" s="5" t="n">
        <v>139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-1062</v>
      </c>
      <c r="D39" s="5" t="n">
        <v>-574</v>
      </c>
      <c r="E39" s="5" t="n">
        <v>-449</v>
      </c>
      <c r="F39" s="5" t="n">
        <v>-785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-765</v>
      </c>
      <c r="D42" s="5" t="n">
        <v>-593</v>
      </c>
      <c r="E42" s="5" t="n">
        <v>-592</v>
      </c>
      <c r="F42" s="5" t="n">
        <v>-897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HP Inc. (HPQ)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19.44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-7192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914.550199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C33/19.44-1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14x</t>
        </is>
      </c>
      <c r="D38" s="1" t="inlineStr">
        <is>
          <t>16x</t>
        </is>
      </c>
      <c r="E38" s="1" t="inlineStr">
        <is>
          <t>18x</t>
        </is>
      </c>
      <c r="F38" s="1" t="inlineStr">
        <is>
          <t>20x</t>
        </is>
      </c>
      <c r="G38" s="1" t="inlineStr">
        <is>
          <t>22x</t>
        </is>
      </c>
    </row>
    <row r="39">
      <c r="A39" s="21" t="n">
        <v>0.0576</v>
      </c>
      <c r="C39" s="22">
        <f>(G$12/(1+$A$39)^1+H$12/(1+$A$39)^2+I$12/(1+$A$39)^3+J$12/(1+$A$39)^4+K$12/(1+$A$39)^5+K$8*14/(1+$A$39)^5+$C$29)/$C$32</f>
        <v/>
      </c>
      <c r="D39" s="22">
        <f>(G$12/(1+$A$39)^1+H$12/(1+$A$39)^2+I$12/(1+$A$39)^3+J$12/(1+$A$39)^4+K$12/(1+$A$39)^5+K$8*16/(1+$A$39)^5+$C$29)/$C$32</f>
        <v/>
      </c>
      <c r="E39" s="22">
        <f>(G$12/(1+$A$39)^1+H$12/(1+$A$39)^2+I$12/(1+$A$39)^3+J$12/(1+$A$39)^4+K$12/(1+$A$39)^5+K$8*18/(1+$A$39)^5+$C$29)/$C$32</f>
        <v/>
      </c>
      <c r="F39" s="22">
        <f>(G$12/(1+$A$39)^1+H$12/(1+$A$39)^2+I$12/(1+$A$39)^3+J$12/(1+$A$39)^4+K$12/(1+$A$39)^5+K$8*20/(1+$A$39)^5+$C$29)/$C$32</f>
        <v/>
      </c>
      <c r="G39" s="22">
        <f>(G$12/(1+$A$39)^1+H$12/(1+$A$39)^2+I$12/(1+$A$39)^3+J$12/(1+$A$39)^4+K$12/(1+$A$39)^5+K$8*22/(1+$A$39)^5+$C$29)/$C$32</f>
        <v/>
      </c>
    </row>
    <row r="40">
      <c r="A40" s="21" t="n">
        <v>0.06759999999999999</v>
      </c>
      <c r="C40" s="22">
        <f>(G$12/(1+$A$40)^1+H$12/(1+$A$40)^2+I$12/(1+$A$40)^3+J$12/(1+$A$40)^4+K$12/(1+$A$40)^5+K$8*14/(1+$A$40)^5+$C$29)/$C$32</f>
        <v/>
      </c>
      <c r="D40" s="22">
        <f>(G$12/(1+$A$40)^1+H$12/(1+$A$40)^2+I$12/(1+$A$40)^3+J$12/(1+$A$40)^4+K$12/(1+$A$40)^5+K$8*16/(1+$A$40)^5+$C$29)/$C$32</f>
        <v/>
      </c>
      <c r="E40" s="22">
        <f>(G$12/(1+$A$40)^1+H$12/(1+$A$40)^2+I$12/(1+$A$40)^3+J$12/(1+$A$40)^4+K$12/(1+$A$40)^5+K$8*18/(1+$A$40)^5+$C$29)/$C$32</f>
        <v/>
      </c>
      <c r="F40" s="22">
        <f>(G$12/(1+$A$40)^1+H$12/(1+$A$40)^2+I$12/(1+$A$40)^3+J$12/(1+$A$40)^4+K$12/(1+$A$40)^5+K$8*20/(1+$A$40)^5+$C$29)/$C$32</f>
        <v/>
      </c>
      <c r="G40" s="22">
        <f>(G$12/(1+$A$40)^1+H$12/(1+$A$40)^2+I$12/(1+$A$40)^3+J$12/(1+$A$40)^4+K$12/(1+$A$40)^5+K$8*22/(1+$A$40)^5+$C$29)/$C$32</f>
        <v/>
      </c>
    </row>
    <row r="41">
      <c r="A41" s="21" t="n">
        <v>0.0776</v>
      </c>
      <c r="C41" s="22">
        <f>(G$12/(1+$A$41)^1+H$12/(1+$A$41)^2+I$12/(1+$A$41)^3+J$12/(1+$A$41)^4+K$12/(1+$A$41)^5+K$8*14/(1+$A$41)^5+$C$29)/$C$32</f>
        <v/>
      </c>
      <c r="D41" s="22">
        <f>(G$12/(1+$A$41)^1+H$12/(1+$A$41)^2+I$12/(1+$A$41)^3+J$12/(1+$A$41)^4+K$12/(1+$A$41)^5+K$8*16/(1+$A$41)^5+$C$29)/$C$32</f>
        <v/>
      </c>
      <c r="E41" s="22">
        <f>(G$12/(1+$A$41)^1+H$12/(1+$A$41)^2+I$12/(1+$A$41)^3+J$12/(1+$A$41)^4+K$12/(1+$A$41)^5+K$8*18/(1+$A$41)^5+$C$29)/$C$32</f>
        <v/>
      </c>
      <c r="F41" s="22">
        <f>(G$12/(1+$A$41)^1+H$12/(1+$A$41)^2+I$12/(1+$A$41)^3+J$12/(1+$A$41)^4+K$12/(1+$A$41)^5+K$8*20/(1+$A$41)^5+$C$29)/$C$32</f>
        <v/>
      </c>
      <c r="G41" s="22">
        <f>(G$12/(1+$A$41)^1+H$12/(1+$A$41)^2+I$12/(1+$A$41)^3+J$12/(1+$A$41)^4+K$12/(1+$A$41)^5+K$8*22/(1+$A$41)^5+$C$29)/$C$32</f>
        <v/>
      </c>
    </row>
    <row r="42">
      <c r="A42" s="21" t="n">
        <v>0.0876</v>
      </c>
      <c r="C42" s="22">
        <f>(G$12/(1+$A$42)^1+H$12/(1+$A$42)^2+I$12/(1+$A$42)^3+J$12/(1+$A$42)^4+K$12/(1+$A$42)^5+K$8*14/(1+$A$42)^5+$C$29)/$C$32</f>
        <v/>
      </c>
      <c r="D42" s="22">
        <f>(G$12/(1+$A$42)^1+H$12/(1+$A$42)^2+I$12/(1+$A$42)^3+J$12/(1+$A$42)^4+K$12/(1+$A$42)^5+K$8*16/(1+$A$42)^5+$C$29)/$C$32</f>
        <v/>
      </c>
      <c r="E42" s="23">
        <f>(G$12/(1+$A$42)^1+H$12/(1+$A$42)^2+I$12/(1+$A$42)^3+J$12/(1+$A$42)^4+K$12/(1+$A$42)^5+K$8*18/(1+$A$42)^5+$C$29)/$C$32</f>
        <v/>
      </c>
      <c r="F42" s="22">
        <f>(G$12/(1+$A$42)^1+H$12/(1+$A$42)^2+I$12/(1+$A$42)^3+J$12/(1+$A$42)^4+K$12/(1+$A$42)^5+K$8*20/(1+$A$42)^5+$C$29)/$C$32</f>
        <v/>
      </c>
      <c r="G42" s="22">
        <f>(G$12/(1+$A$42)^1+H$12/(1+$A$42)^2+I$12/(1+$A$42)^3+J$12/(1+$A$42)^4+K$12/(1+$A$42)^5+K$8*22/(1+$A$42)^5+$C$29)/$C$32</f>
        <v/>
      </c>
    </row>
    <row r="43">
      <c r="A43" s="21" t="n">
        <v>0.09759999999999999</v>
      </c>
      <c r="C43" s="22">
        <f>(G$12/(1+$A$43)^1+H$12/(1+$A$43)^2+I$12/(1+$A$43)^3+J$12/(1+$A$43)^4+K$12/(1+$A$43)^5+K$8*14/(1+$A$43)^5+$C$29)/$C$32</f>
        <v/>
      </c>
      <c r="D43" s="22">
        <f>(G$12/(1+$A$43)^1+H$12/(1+$A$43)^2+I$12/(1+$A$43)^3+J$12/(1+$A$43)^4+K$12/(1+$A$43)^5+K$8*16/(1+$A$43)^5+$C$29)/$C$32</f>
        <v/>
      </c>
      <c r="E43" s="22">
        <f>(G$12/(1+$A$43)^1+H$12/(1+$A$43)^2+I$12/(1+$A$43)^3+J$12/(1+$A$43)^4+K$12/(1+$A$43)^5+K$8*18/(1+$A$43)^5+$C$29)/$C$32</f>
        <v/>
      </c>
      <c r="F43" s="22">
        <f>(G$12/(1+$A$43)^1+H$12/(1+$A$43)^2+I$12/(1+$A$43)^3+J$12/(1+$A$43)^4+K$12/(1+$A$43)^5+K$8*20/(1+$A$43)^5+$C$29)/$C$32</f>
        <v/>
      </c>
      <c r="G43" s="22">
        <f>(G$12/(1+$A$43)^1+H$12/(1+$A$43)^2+I$12/(1+$A$43)^3+J$12/(1+$A$43)^4+K$12/(1+$A$43)^5+K$8*22/(1+$A$43)^5+$C$29)/$C$32</f>
        <v/>
      </c>
    </row>
    <row r="44">
      <c r="A44" s="21" t="n">
        <v>0.1076</v>
      </c>
      <c r="C44" s="22">
        <f>(G$12/(1+$A$44)^1+H$12/(1+$A$44)^2+I$12/(1+$A$44)^3+J$12/(1+$A$44)^4+K$12/(1+$A$44)^5+K$8*14/(1+$A$44)^5+$C$29)/$C$32</f>
        <v/>
      </c>
      <c r="D44" s="22">
        <f>(G$12/(1+$A$44)^1+H$12/(1+$A$44)^2+I$12/(1+$A$44)^3+J$12/(1+$A$44)^4+K$12/(1+$A$44)^5+K$8*16/(1+$A$44)^5+$C$29)/$C$32</f>
        <v/>
      </c>
      <c r="E44" s="22">
        <f>(G$12/(1+$A$44)^1+H$12/(1+$A$44)^2+I$12/(1+$A$44)^3+J$12/(1+$A$44)^4+K$12/(1+$A$44)^5+K$8*18/(1+$A$44)^5+$C$29)/$C$32</f>
        <v/>
      </c>
      <c r="F44" s="22">
        <f>(G$12/(1+$A$44)^1+H$12/(1+$A$44)^2+I$12/(1+$A$44)^3+J$12/(1+$A$44)^4+K$12/(1+$A$44)^5+K$8*20/(1+$A$44)^5+$C$29)/$C$32</f>
        <v/>
      </c>
      <c r="G44" s="22">
        <f>(G$12/(1+$A$44)^1+H$12/(1+$A$44)^2+I$12/(1+$A$44)^3+J$12/(1+$A$44)^4+K$12/(1+$A$44)^5+K$8*22/(1+$A$44)^5+$C$29)/$C$32</f>
        <v/>
      </c>
    </row>
    <row r="45">
      <c r="A45" s="21" t="n">
        <v>0.1176</v>
      </c>
      <c r="C45" s="22">
        <f>(G$12/(1+$A$45)^1+H$12/(1+$A$45)^2+I$12/(1+$A$45)^3+J$12/(1+$A$45)^4+K$12/(1+$A$45)^5+K$8*14/(1+$A$45)^5+$C$29)/$C$32</f>
        <v/>
      </c>
      <c r="D45" s="22">
        <f>(G$12/(1+$A$45)^1+H$12/(1+$A$45)^2+I$12/(1+$A$45)^3+J$12/(1+$A$45)^4+K$12/(1+$A$45)^5+K$8*16/(1+$A$45)^5+$C$29)/$C$32</f>
        <v/>
      </c>
      <c r="E45" s="22">
        <f>(G$12/(1+$A$45)^1+H$12/(1+$A$45)^2+I$12/(1+$A$45)^3+J$12/(1+$A$45)^4+K$12/(1+$A$45)^5+K$8*18/(1+$A$45)^5+$C$29)/$C$32</f>
        <v/>
      </c>
      <c r="F45" s="22">
        <f>(G$12/(1+$A$45)^1+H$12/(1+$A$45)^2+I$12/(1+$A$45)^3+J$12/(1+$A$45)^4+K$12/(1+$A$45)^5+K$8*20/(1+$A$45)^5+$C$29)/$C$32</f>
        <v/>
      </c>
      <c r="G45" s="22">
        <f>(G$12/(1+$A$45)^1+H$12/(1+$A$45)^2+I$12/(1+$A$45)^3+J$12/(1+$A$45)^4+K$12/(1+$A$45)^5+K$8*22/(1+$A$45)^5+$C$29)/$C$32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2026-03-28T17:03:21Z</dcterms:created>
  <dcterms:modified xmlns:dcterms="http://purl.org/dc/terms/" xmlns:xsi="http://www.w3.org/2001/XMLSchema-instance" xsi:type="dcterms:W3CDTF">2026-03-28T17:03:21Z</dcterms:modified>
</cp:coreProperties>
</file>