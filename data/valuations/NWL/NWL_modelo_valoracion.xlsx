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Newell Brands Inc. (NWL)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Household &amp; Personal Products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9459</v>
      </c>
      <c r="D7" s="5" t="n">
        <v>8133</v>
      </c>
      <c r="E7" s="5" t="n">
        <v>7582</v>
      </c>
      <c r="F7" s="5" t="n">
        <v>7204</v>
      </c>
    </row>
    <row r="8">
      <c r="A8" s="4" t="inlineStr">
        <is>
          <t xml:space="preserve">  Revenue Growth - Base</t>
        </is>
      </c>
      <c r="G8" s="6" t="n">
        <v>-0.017</v>
      </c>
      <c r="H8" s="6" t="n">
        <v>-0.006999999999999999</v>
      </c>
      <c r="I8" s="6" t="n">
        <v>0.002999999999999999</v>
      </c>
      <c r="J8" s="6" t="n">
        <v>0.013</v>
      </c>
      <c r="K8" s="6" t="n">
        <v>0.023</v>
      </c>
    </row>
    <row r="9">
      <c r="A9" s="4" t="inlineStr">
        <is>
          <t xml:space="preserve">  Revenue Growth - Bull</t>
        </is>
      </c>
      <c r="G9" s="6" t="n">
        <v>0.002999999999999999</v>
      </c>
      <c r="H9" s="6" t="n">
        <v>0.002699999999999999</v>
      </c>
      <c r="I9" s="6" t="n">
        <v>0.002399999999999999</v>
      </c>
      <c r="J9" s="6" t="n">
        <v>0.002099999999999999</v>
      </c>
      <c r="K9" s="6" t="n">
        <v>0.0018</v>
      </c>
    </row>
    <row r="10">
      <c r="A10" s="4" t="inlineStr">
        <is>
          <t xml:space="preserve">  Revenue Growth - Bear</t>
        </is>
      </c>
      <c r="G10" s="6" t="n">
        <v>-0.04699999999999999</v>
      </c>
      <c r="H10" s="6" t="n">
        <v>-0.03699999999999999</v>
      </c>
      <c r="I10" s="6" t="n">
        <v>-0.027</v>
      </c>
      <c r="J10" s="6" t="n">
        <v>-0.01699999999999999</v>
      </c>
      <c r="K10" s="6" t="n">
        <v>-0.006999999999999992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0.3156433222432877</v>
      </c>
      <c r="H15" s="6" t="n">
        <v>0.3156433222432877</v>
      </c>
      <c r="I15" s="6" t="n">
        <v>0.3156433222432877</v>
      </c>
      <c r="J15" s="6" t="n">
        <v>0.3156433222432877</v>
      </c>
      <c r="K15" s="6" t="n">
        <v>0.3156433222432877</v>
      </c>
    </row>
    <row r="16">
      <c r="A16" s="4" t="inlineStr">
        <is>
          <t>Gross Margin - Bull</t>
        </is>
      </c>
      <c r="G16" s="6" t="n">
        <v>0.3356433222432877</v>
      </c>
      <c r="H16" s="6" t="n">
        <v>0.3356433222432877</v>
      </c>
      <c r="I16" s="6" t="n">
        <v>0.3356433222432877</v>
      </c>
      <c r="J16" s="6" t="n">
        <v>0.3356433222432877</v>
      </c>
      <c r="K16" s="6" t="n">
        <v>0.3356433222432877</v>
      </c>
    </row>
    <row r="17">
      <c r="A17" s="4" t="inlineStr">
        <is>
          <t>Gross Margin - Bear</t>
        </is>
      </c>
      <c r="G17" s="6" t="n">
        <v>0.2956433222432877</v>
      </c>
      <c r="H17" s="6" t="n">
        <v>0.2956433222432877</v>
      </c>
      <c r="I17" s="6" t="n">
        <v>0.2956433222432877</v>
      </c>
      <c r="J17" s="6" t="n">
        <v>0.2956433222432877</v>
      </c>
      <c r="K17" s="6" t="n">
        <v>0.2956433222432877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0.2514939339791246</v>
      </c>
      <c r="H20" s="6" t="n">
        <v>0.2514939339791246</v>
      </c>
      <c r="I20" s="6" t="n">
        <v>0.2514939339791246</v>
      </c>
      <c r="J20" s="6" t="n">
        <v>0.2514939339791246</v>
      </c>
      <c r="K20" s="6" t="n">
        <v>0.2514939339791246</v>
      </c>
    </row>
    <row r="21">
      <c r="A21" s="4" t="inlineStr">
        <is>
          <t>SG&amp;A % Revenue - Bull</t>
        </is>
      </c>
      <c r="G21" s="6" t="n">
        <v>0.2414939339791246</v>
      </c>
      <c r="H21" s="6" t="n">
        <v>0.2414939339791246</v>
      </c>
      <c r="I21" s="6" t="n">
        <v>0.2414939339791246</v>
      </c>
      <c r="J21" s="6" t="n">
        <v>0.2414939339791246</v>
      </c>
      <c r="K21" s="6" t="n">
        <v>0.2414939339791246</v>
      </c>
    </row>
    <row r="22">
      <c r="A22" s="4" t="inlineStr">
        <is>
          <t>SG&amp;A % Revenue - Bear</t>
        </is>
      </c>
      <c r="G22" s="6" t="n">
        <v>0.2614939339791246</v>
      </c>
      <c r="H22" s="6" t="n">
        <v>0.2614939339791246</v>
      </c>
      <c r="I22" s="6" t="n">
        <v>0.2614939339791246</v>
      </c>
      <c r="J22" s="6" t="n">
        <v>0.2614939339791246</v>
      </c>
      <c r="K22" s="6" t="n">
        <v>0.2614939339791246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0.05</v>
      </c>
      <c r="H25" s="6" t="n">
        <v>0.05</v>
      </c>
      <c r="I25" s="6" t="n">
        <v>0.05</v>
      </c>
      <c r="J25" s="6" t="n">
        <v>0.05</v>
      </c>
      <c r="K25" s="6" t="n">
        <v>0.05</v>
      </c>
    </row>
    <row r="26">
      <c r="A26" s="4" t="inlineStr">
        <is>
          <t>R&amp;D % Revenue - Bull</t>
        </is>
      </c>
      <c r="G26" s="6" t="n">
        <v>0.05</v>
      </c>
      <c r="H26" s="6" t="n">
        <v>0.05</v>
      </c>
      <c r="I26" s="6" t="n">
        <v>0.05</v>
      </c>
      <c r="J26" s="6" t="n">
        <v>0.05</v>
      </c>
      <c r="K26" s="6" t="n">
        <v>0.05</v>
      </c>
    </row>
    <row r="27">
      <c r="A27" s="4" t="inlineStr">
        <is>
          <t>R&amp;D % Revenue - Bear</t>
        </is>
      </c>
      <c r="G27" s="6" t="n">
        <v>0.055</v>
      </c>
      <c r="H27" s="6" t="n">
        <v>0.055</v>
      </c>
      <c r="I27" s="6" t="n">
        <v>0.055</v>
      </c>
      <c r="J27" s="6" t="n">
        <v>0.055</v>
      </c>
      <c r="K27" s="6" t="n">
        <v>0.055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0.03953289077137458</v>
      </c>
      <c r="H30" s="6" t="n">
        <v>0.03953289077137458</v>
      </c>
      <c r="I30" s="6" t="n">
        <v>0.03953289077137458</v>
      </c>
      <c r="J30" s="6" t="n">
        <v>0.03953289077137458</v>
      </c>
      <c r="K30" s="6" t="n">
        <v>0.03953289077137458</v>
      </c>
    </row>
    <row r="31">
      <c r="A31" s="4" t="inlineStr">
        <is>
          <t>CapEx % Revenue</t>
        </is>
      </c>
      <c r="G31" s="6" t="n">
        <v>0.03408757073379357</v>
      </c>
      <c r="H31" s="6" t="n">
        <v>0.03408757073379357</v>
      </c>
      <c r="I31" s="6" t="n">
        <v>0.03408757073379357</v>
      </c>
      <c r="J31" s="6" t="n">
        <v>0.03408757073379357</v>
      </c>
      <c r="K31" s="6" t="n">
        <v>0.03408757073379357</v>
      </c>
    </row>
    <row r="32">
      <c r="A32" s="4" t="inlineStr">
        <is>
          <t>Tax Rate</t>
        </is>
      </c>
      <c r="G32" s="6" t="n">
        <v>0.1540436487006386</v>
      </c>
      <c r="H32" s="6" t="n">
        <v>0.1540436487006386</v>
      </c>
      <c r="I32" s="6" t="n">
        <v>0.1540436487006386</v>
      </c>
      <c r="J32" s="6" t="n">
        <v>0.1540436487006386</v>
      </c>
      <c r="K32" s="6" t="n">
        <v>0.1540436487006386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0.052</v>
      </c>
    </row>
    <row r="36">
      <c r="A36" s="4" t="inlineStr">
        <is>
          <t>WACC - Bull</t>
        </is>
      </c>
      <c r="C36" s="6" t="n">
        <v>0.042</v>
      </c>
    </row>
    <row r="37">
      <c r="A37" s="4" t="inlineStr">
        <is>
          <t>WACC - Bear</t>
        </is>
      </c>
      <c r="C37" s="6" t="n">
        <v>0.07199999999999999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9</v>
      </c>
    </row>
    <row r="41">
      <c r="A41" s="4" t="inlineStr">
        <is>
          <t>Terminal Value Multiple - Bull</t>
        </is>
      </c>
      <c r="C41" s="9" t="n">
        <v>11</v>
      </c>
    </row>
    <row r="42">
      <c r="A42" s="4" t="inlineStr">
        <is>
          <t>Terminal Value Multiple - Bear</t>
        </is>
      </c>
      <c r="C42" s="9" t="n">
        <v>6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Newell Brands Inc. (NWL)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9459</v>
      </c>
      <c r="D6" s="5" t="n">
        <v>8133</v>
      </c>
      <c r="E6" s="5" t="n">
        <v>7582</v>
      </c>
      <c r="F6" s="5" t="n">
        <v>7204</v>
      </c>
    </row>
    <row r="7">
      <c r="A7" s="4" t="inlineStr">
        <is>
          <t>Cost of Revenue</t>
        </is>
      </c>
      <c r="C7" s="5" t="n">
        <v>6625</v>
      </c>
      <c r="D7" s="5" t="n">
        <v>5780</v>
      </c>
      <c r="E7" s="5" t="n">
        <v>5034</v>
      </c>
      <c r="F7" s="5" t="n">
        <v>4772</v>
      </c>
    </row>
    <row r="8">
      <c r="A8" s="2" t="inlineStr">
        <is>
          <t>Gross Profit</t>
        </is>
      </c>
      <c r="C8" s="5" t="n">
        <v>2834</v>
      </c>
      <c r="D8" s="5" t="n">
        <v>2353</v>
      </c>
      <c r="E8" s="5" t="n">
        <v>2548</v>
      </c>
      <c r="F8" s="5" t="n">
        <v>2432</v>
      </c>
    </row>
    <row r="9">
      <c r="A9" s="4" t="inlineStr">
        <is>
          <t xml:space="preserve">  Gross Margin</t>
        </is>
      </c>
      <c r="C9" s="11" t="n">
        <v>0.299608838143567</v>
      </c>
      <c r="D9" s="11" t="n">
        <v>0.289315135866224</v>
      </c>
      <c r="E9" s="11" t="n">
        <v>0.3360590873120549</v>
      </c>
      <c r="F9" s="11" t="n">
        <v>0.3375902276513048</v>
      </c>
    </row>
    <row r="11">
      <c r="A11" s="4" t="inlineStr">
        <is>
          <t>R&amp;D Expense</t>
        </is>
      </c>
      <c r="C11" s="5" t="n">
        <v>0</v>
      </c>
      <c r="D11" s="5" t="n">
        <v>0</v>
      </c>
      <c r="E11" s="5" t="n">
        <v>0</v>
      </c>
      <c r="F11" s="5" t="n">
        <v>0</v>
      </c>
    </row>
    <row r="12">
      <c r="A12" s="4" t="inlineStr">
        <is>
          <t>SG&amp;A Expense</t>
        </is>
      </c>
      <c r="C12" s="5" t="n">
        <v>2031</v>
      </c>
      <c r="D12" s="5" t="n">
        <v>2001</v>
      </c>
      <c r="E12" s="5" t="n">
        <v>2070</v>
      </c>
      <c r="F12" s="5" t="n">
        <v>1961</v>
      </c>
    </row>
    <row r="13">
      <c r="A13" s="2" t="inlineStr">
        <is>
          <t>Operating Income (EBIT)</t>
        </is>
      </c>
      <c r="C13" s="5" t="n">
        <v>803</v>
      </c>
      <c r="D13" s="5" t="n">
        <v>352</v>
      </c>
      <c r="E13" s="5" t="n">
        <v>478</v>
      </c>
      <c r="F13" s="5" t="n">
        <v>471</v>
      </c>
    </row>
    <row r="14">
      <c r="A14" s="4" t="inlineStr">
        <is>
          <t xml:space="preserve">  EBIT Margin</t>
        </is>
      </c>
      <c r="C14" s="11" t="n">
        <v>0.08489269478803256</v>
      </c>
      <c r="D14" s="11" t="n">
        <v>0.04328046231402927</v>
      </c>
      <c r="E14" s="11" t="n">
        <v>0.06304405170139805</v>
      </c>
      <c r="F14" s="11" t="n">
        <v>0.06538034425319267</v>
      </c>
    </row>
    <row r="16">
      <c r="A16" s="4" t="inlineStr">
        <is>
          <t>Interest Expense</t>
        </is>
      </c>
      <c r="C16" s="5" t="n">
        <v>235</v>
      </c>
      <c r="D16" s="5" t="n">
        <v>283</v>
      </c>
      <c r="E16" s="5" t="n">
        <v>295</v>
      </c>
      <c r="F16" s="5" t="n">
        <v>321</v>
      </c>
    </row>
    <row r="17">
      <c r="A17" s="4" t="inlineStr">
        <is>
          <t>Tax Provision</t>
        </is>
      </c>
      <c r="C17" s="5" t="n">
        <v>-40</v>
      </c>
      <c r="D17" s="5" t="n">
        <v>-155</v>
      </c>
      <c r="E17" s="5" t="n">
        <v>-44</v>
      </c>
      <c r="F17" s="5" t="n">
        <v>-16</v>
      </c>
    </row>
    <row r="18">
      <c r="A18" s="2" t="inlineStr">
        <is>
          <t>Net Income</t>
        </is>
      </c>
      <c r="C18" s="5" t="n">
        <v>197</v>
      </c>
      <c r="D18" s="5" t="n">
        <v>-388</v>
      </c>
      <c r="E18" s="5" t="n">
        <v>-216</v>
      </c>
      <c r="F18" s="5" t="n">
        <v>-285</v>
      </c>
    </row>
    <row r="19">
      <c r="A19" s="4" t="inlineStr">
        <is>
          <t xml:space="preserve">  Net Margin</t>
        </is>
      </c>
      <c r="C19" s="11" t="n">
        <v>0.02082672586954223</v>
      </c>
      <c r="D19" s="11" t="n">
        <v>-0.04770687323250953</v>
      </c>
      <c r="E19" s="11" t="n">
        <v>-0.02848852545502506</v>
      </c>
      <c r="F19" s="11" t="n">
        <v>-0.03956135480288728</v>
      </c>
    </row>
    <row r="21">
      <c r="A21" s="2" t="inlineStr">
        <is>
          <t>EBITDA</t>
        </is>
      </c>
      <c r="C21" s="5" t="n">
        <v>688</v>
      </c>
      <c r="D21" s="5" t="n">
        <v>74</v>
      </c>
      <c r="E21" s="5" t="n">
        <v>358</v>
      </c>
      <c r="F21" s="5" t="n">
        <v>331</v>
      </c>
    </row>
    <row r="22">
      <c r="A22" s="4" t="inlineStr">
        <is>
          <t xml:space="preserve">  EBITDA Margin</t>
        </is>
      </c>
      <c r="C22" s="11" t="n">
        <v>0.07273496141241147</v>
      </c>
      <c r="D22" s="11" t="n">
        <v>0.00909873355465388</v>
      </c>
      <c r="E22" s="11" t="n">
        <v>0.04721709311527302</v>
      </c>
      <c r="F22" s="11" t="n">
        <v>0.04594669627984453</v>
      </c>
    </row>
    <row r="23">
      <c r="A23" s="4" t="inlineStr">
        <is>
          <t>Diluted EPS</t>
        </is>
      </c>
      <c r="C23" s="12" t="n">
        <v>0.47</v>
      </c>
      <c r="D23" s="12" t="n">
        <v>-0.9399999999999999</v>
      </c>
      <c r="E23" s="12" t="n">
        <v>-0.52</v>
      </c>
      <c r="F23" s="12" t="n">
        <v>-0.68</v>
      </c>
    </row>
    <row r="24">
      <c r="A24" s="4" t="inlineStr">
        <is>
          <t>D&amp;A</t>
        </is>
      </c>
      <c r="C24" s="5" t="n">
        <v>296</v>
      </c>
      <c r="D24" s="5" t="n">
        <v>334</v>
      </c>
      <c r="E24" s="5" t="n">
        <v>323</v>
      </c>
      <c r="F24" s="5" t="n">
        <v>311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287</v>
      </c>
      <c r="D28" s="5" t="n">
        <v>332</v>
      </c>
      <c r="E28" s="5" t="n">
        <v>198</v>
      </c>
      <c r="F28" s="5" t="n">
        <v>203</v>
      </c>
    </row>
    <row r="29">
      <c r="A29" s="4" t="inlineStr">
        <is>
          <t>Current Assets</t>
        </is>
      </c>
      <c r="C29" s="5" t="n">
        <v>4052</v>
      </c>
      <c r="D29" s="5" t="n">
        <v>3354</v>
      </c>
      <c r="E29" s="5" t="n">
        <v>2775</v>
      </c>
      <c r="F29" s="5" t="n">
        <v>2708</v>
      </c>
    </row>
    <row r="30">
      <c r="A30" s="4" t="inlineStr">
        <is>
          <t>Net PP&amp;E</t>
        </is>
      </c>
      <c r="C30" s="5" t="n">
        <v>1762</v>
      </c>
      <c r="D30" s="5" t="n">
        <v>1727</v>
      </c>
      <c r="E30" s="5" t="n">
        <v>1623</v>
      </c>
      <c r="F30" s="5" t="n">
        <v>1662</v>
      </c>
    </row>
    <row r="31">
      <c r="A31" s="4" t="inlineStr">
        <is>
          <t>Goodwill</t>
        </is>
      </c>
      <c r="C31" s="5" t="n">
        <v>3298</v>
      </c>
      <c r="D31" s="5" t="n">
        <v>3071</v>
      </c>
      <c r="E31" s="5" t="n">
        <v>3038</v>
      </c>
      <c r="F31" s="5" t="n">
        <v>3101</v>
      </c>
    </row>
    <row r="32">
      <c r="A32" s="2" t="inlineStr">
        <is>
          <t>Total Assets</t>
        </is>
      </c>
      <c r="C32" s="5" t="n">
        <v>13262</v>
      </c>
      <c r="D32" s="5" t="n">
        <v>12163</v>
      </c>
      <c r="E32" s="5" t="n">
        <v>11004</v>
      </c>
      <c r="F32" s="5" t="n">
        <v>10715</v>
      </c>
    </row>
    <row r="34">
      <c r="A34" s="4" t="inlineStr">
        <is>
          <t>Current Liabilities</t>
        </is>
      </c>
      <c r="C34" s="5" t="n">
        <v>3078</v>
      </c>
      <c r="D34" s="5" t="n">
        <v>2897</v>
      </c>
      <c r="E34" s="5" t="n">
        <v>2437</v>
      </c>
      <c r="F34" s="5" t="n">
        <v>2525</v>
      </c>
    </row>
    <row r="35">
      <c r="A35" s="4" t="inlineStr">
        <is>
          <t>Total Debt</t>
        </is>
      </c>
      <c r="C35" s="5" t="n">
        <v>6010</v>
      </c>
      <c r="D35" s="5" t="n">
        <v>5472</v>
      </c>
      <c r="E35" s="5" t="n">
        <v>5123</v>
      </c>
      <c r="F35" s="5" t="n">
        <v>5219</v>
      </c>
    </row>
    <row r="36">
      <c r="A36" s="2" t="inlineStr">
        <is>
          <t>Total Liabilities</t>
        </is>
      </c>
      <c r="C36" s="5" t="n">
        <v>9743</v>
      </c>
      <c r="D36" s="5" t="n">
        <v>9051</v>
      </c>
      <c r="E36" s="5" t="n">
        <v>8253</v>
      </c>
      <c r="F36" s="5" t="n">
        <v>8324</v>
      </c>
    </row>
    <row r="38">
      <c r="A38" s="2" t="inlineStr">
        <is>
          <t>Total Equity</t>
        </is>
      </c>
      <c r="C38" s="5" t="n">
        <v>3519</v>
      </c>
      <c r="D38" s="5" t="n">
        <v>3112</v>
      </c>
      <c r="E38" s="5" t="n">
        <v>2751</v>
      </c>
      <c r="F38" s="5" t="n">
        <v>2391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-272</v>
      </c>
      <c r="D42" s="5" t="n">
        <v>930</v>
      </c>
      <c r="E42" s="5" t="n">
        <v>496</v>
      </c>
      <c r="F42" s="5" t="n">
        <v>264</v>
      </c>
    </row>
    <row r="43">
      <c r="A43" s="4" t="inlineStr">
        <is>
          <t>Capital Expenditure</t>
        </is>
      </c>
      <c r="C43" s="5" t="n">
        <v>-312</v>
      </c>
      <c r="D43" s="5" t="n">
        <v>-284</v>
      </c>
      <c r="E43" s="5" t="n">
        <v>-259</v>
      </c>
      <c r="F43" s="5" t="n">
        <v>-247</v>
      </c>
    </row>
    <row r="44">
      <c r="A44" s="2" t="inlineStr">
        <is>
          <t>Free Cash Flow</t>
        </is>
      </c>
      <c r="C44" s="5" t="n">
        <v>-584</v>
      </c>
      <c r="D44" s="5" t="n">
        <v>646</v>
      </c>
      <c r="E44" s="5" t="n">
        <v>237</v>
      </c>
      <c r="F44" s="5" t="n">
        <v>17</v>
      </c>
    </row>
    <row r="46">
      <c r="A46" s="4" t="inlineStr">
        <is>
          <t>D&amp;A</t>
        </is>
      </c>
      <c r="C46" s="5" t="n">
        <v>296</v>
      </c>
      <c r="D46" s="5" t="n">
        <v>334</v>
      </c>
      <c r="E46" s="5" t="n">
        <v>323</v>
      </c>
      <c r="F46" s="5" t="n">
        <v>311</v>
      </c>
    </row>
    <row r="47">
      <c r="A47" s="4" t="inlineStr">
        <is>
          <t>Stock-Based Compensation</t>
        </is>
      </c>
      <c r="C47" s="5" t="n">
        <v>12</v>
      </c>
      <c r="D47" s="5" t="n">
        <v>50</v>
      </c>
      <c r="E47" s="5" t="n">
        <v>74</v>
      </c>
      <c r="F47" s="5" t="n">
        <v>68</v>
      </c>
    </row>
    <row r="48">
      <c r="A48" s="4" t="inlineStr">
        <is>
          <t>Change in Working Capital</t>
        </is>
      </c>
      <c r="C48" s="5" t="n">
        <v>-1189</v>
      </c>
      <c r="D48" s="5" t="n">
        <v>783</v>
      </c>
      <c r="E48" s="5" t="n">
        <v>79</v>
      </c>
      <c r="F48" s="5" t="n">
        <v>-101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Newell Brands Inc. (NWL)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Household &amp; Personal Products</t>
        </is>
      </c>
      <c r="C8" s="5" t="n">
        <v>9459</v>
      </c>
      <c r="D8" s="5" t="n">
        <v>8133</v>
      </c>
      <c r="E8" s="5" t="n">
        <v>7582</v>
      </c>
      <c r="F8" s="5" t="n">
        <v>7204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6625</v>
      </c>
      <c r="D16" s="5" t="n">
        <v>5780</v>
      </c>
      <c r="E16" s="5" t="n">
        <v>5034</v>
      </c>
      <c r="F16" s="5" t="n">
        <v>4772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2031</v>
      </c>
      <c r="D20" s="5" t="n">
        <v>2001</v>
      </c>
      <c r="E20" s="5" t="n">
        <v>2070</v>
      </c>
      <c r="F20" s="5" t="n">
        <v>1961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296</v>
      </c>
      <c r="D22" s="5" t="n">
        <v>334</v>
      </c>
      <c r="E22" s="5" t="n">
        <v>323</v>
      </c>
      <c r="F22" s="5" t="n">
        <v>311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235</v>
      </c>
      <c r="D29" s="5" t="n">
        <v>283</v>
      </c>
      <c r="E29" s="5" t="n">
        <v>295</v>
      </c>
      <c r="F29" s="5" t="n">
        <v>321</v>
      </c>
      <c r="G29" s="5" t="n">
        <v>321</v>
      </c>
      <c r="H29" s="5" t="n">
        <v>321</v>
      </c>
      <c r="I29" s="5" t="n">
        <v>321</v>
      </c>
      <c r="J29" s="5" t="n">
        <v>321</v>
      </c>
      <c r="K29" s="5" t="n">
        <v>321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-40</v>
      </c>
      <c r="D31" s="5" t="n">
        <v>-155</v>
      </c>
      <c r="E31" s="5" t="n">
        <v>-44</v>
      </c>
      <c r="F31" s="5" t="n">
        <v>-16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-1189</v>
      </c>
      <c r="D39" s="5" t="n">
        <v>783</v>
      </c>
      <c r="E39" s="5" t="n">
        <v>79</v>
      </c>
      <c r="F39" s="5" t="n">
        <v>-101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-312</v>
      </c>
      <c r="D42" s="5" t="n">
        <v>-284</v>
      </c>
      <c r="E42" s="5" t="n">
        <v>-259</v>
      </c>
      <c r="F42" s="5" t="n">
        <v>-247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Newell Brands Inc. (NWL)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3.96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K12*$C$16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-5016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419.2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C33/3.96-1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5x</t>
        </is>
      </c>
      <c r="D38" s="1" t="inlineStr">
        <is>
          <t>7x</t>
        </is>
      </c>
      <c r="E38" s="1" t="inlineStr">
        <is>
          <t>9x</t>
        </is>
      </c>
      <c r="F38" s="1" t="inlineStr">
        <is>
          <t>11x</t>
        </is>
      </c>
      <c r="G38" s="1" t="inlineStr">
        <is>
          <t>13x</t>
        </is>
      </c>
    </row>
    <row r="39">
      <c r="A39" s="21" t="n">
        <v>0.022</v>
      </c>
      <c r="C39" s="22">
        <f>(G$12/(1+$A$39)^1+H$12/(1+$A$39)^2+I$12/(1+$A$39)^3+J$12/(1+$A$39)^4+K$12/(1+$A$39)^5+K$12*5/(1+$A$39)^5+$C$29)/$C$32</f>
        <v/>
      </c>
      <c r="D39" s="22">
        <f>(G$12/(1+$A$39)^1+H$12/(1+$A$39)^2+I$12/(1+$A$39)^3+J$12/(1+$A$39)^4+K$12/(1+$A$39)^5+K$12*7/(1+$A$39)^5+$C$29)/$C$32</f>
        <v/>
      </c>
      <c r="E39" s="22">
        <f>(G$12/(1+$A$39)^1+H$12/(1+$A$39)^2+I$12/(1+$A$39)^3+J$12/(1+$A$39)^4+K$12/(1+$A$39)^5+K$12*9/(1+$A$39)^5+$C$29)/$C$32</f>
        <v/>
      </c>
      <c r="F39" s="22">
        <f>(G$12/(1+$A$39)^1+H$12/(1+$A$39)^2+I$12/(1+$A$39)^3+J$12/(1+$A$39)^4+K$12/(1+$A$39)^5+K$12*11/(1+$A$39)^5+$C$29)/$C$32</f>
        <v/>
      </c>
      <c r="G39" s="22">
        <f>(G$12/(1+$A$39)^1+H$12/(1+$A$39)^2+I$12/(1+$A$39)^3+J$12/(1+$A$39)^4+K$12/(1+$A$39)^5+K$12*13/(1+$A$39)^5+$C$29)/$C$32</f>
        <v/>
      </c>
    </row>
    <row r="40">
      <c r="A40" s="21" t="n">
        <v>0.032</v>
      </c>
      <c r="C40" s="22">
        <f>(G$12/(1+$A$40)^1+H$12/(1+$A$40)^2+I$12/(1+$A$40)^3+J$12/(1+$A$40)^4+K$12/(1+$A$40)^5+K$12*5/(1+$A$40)^5+$C$29)/$C$32</f>
        <v/>
      </c>
      <c r="D40" s="22">
        <f>(G$12/(1+$A$40)^1+H$12/(1+$A$40)^2+I$12/(1+$A$40)^3+J$12/(1+$A$40)^4+K$12/(1+$A$40)^5+K$12*7/(1+$A$40)^5+$C$29)/$C$32</f>
        <v/>
      </c>
      <c r="E40" s="22">
        <f>(G$12/(1+$A$40)^1+H$12/(1+$A$40)^2+I$12/(1+$A$40)^3+J$12/(1+$A$40)^4+K$12/(1+$A$40)^5+K$12*9/(1+$A$40)^5+$C$29)/$C$32</f>
        <v/>
      </c>
      <c r="F40" s="22">
        <f>(G$12/(1+$A$40)^1+H$12/(1+$A$40)^2+I$12/(1+$A$40)^3+J$12/(1+$A$40)^4+K$12/(1+$A$40)^5+K$12*11/(1+$A$40)^5+$C$29)/$C$32</f>
        <v/>
      </c>
      <c r="G40" s="22">
        <f>(G$12/(1+$A$40)^1+H$12/(1+$A$40)^2+I$12/(1+$A$40)^3+J$12/(1+$A$40)^4+K$12/(1+$A$40)^5+K$12*13/(1+$A$40)^5+$C$29)/$C$32</f>
        <v/>
      </c>
    </row>
    <row r="41">
      <c r="A41" s="21" t="n">
        <v>0.042</v>
      </c>
      <c r="C41" s="22">
        <f>(G$12/(1+$A$41)^1+H$12/(1+$A$41)^2+I$12/(1+$A$41)^3+J$12/(1+$A$41)^4+K$12/(1+$A$41)^5+K$12*5/(1+$A$41)^5+$C$29)/$C$32</f>
        <v/>
      </c>
      <c r="D41" s="22">
        <f>(G$12/(1+$A$41)^1+H$12/(1+$A$41)^2+I$12/(1+$A$41)^3+J$12/(1+$A$41)^4+K$12/(1+$A$41)^5+K$12*7/(1+$A$41)^5+$C$29)/$C$32</f>
        <v/>
      </c>
      <c r="E41" s="22">
        <f>(G$12/(1+$A$41)^1+H$12/(1+$A$41)^2+I$12/(1+$A$41)^3+J$12/(1+$A$41)^4+K$12/(1+$A$41)^5+K$12*9/(1+$A$41)^5+$C$29)/$C$32</f>
        <v/>
      </c>
      <c r="F41" s="22">
        <f>(G$12/(1+$A$41)^1+H$12/(1+$A$41)^2+I$12/(1+$A$41)^3+J$12/(1+$A$41)^4+K$12/(1+$A$41)^5+K$12*11/(1+$A$41)^5+$C$29)/$C$32</f>
        <v/>
      </c>
      <c r="G41" s="22">
        <f>(G$12/(1+$A$41)^1+H$12/(1+$A$41)^2+I$12/(1+$A$41)^3+J$12/(1+$A$41)^4+K$12/(1+$A$41)^5+K$12*13/(1+$A$41)^5+$C$29)/$C$32</f>
        <v/>
      </c>
    </row>
    <row r="42">
      <c r="A42" s="21" t="n">
        <v>0.052</v>
      </c>
      <c r="C42" s="22">
        <f>(G$12/(1+$A$42)^1+H$12/(1+$A$42)^2+I$12/(1+$A$42)^3+J$12/(1+$A$42)^4+K$12/(1+$A$42)^5+K$12*5/(1+$A$42)^5+$C$29)/$C$32</f>
        <v/>
      </c>
      <c r="D42" s="22">
        <f>(G$12/(1+$A$42)^1+H$12/(1+$A$42)^2+I$12/(1+$A$42)^3+J$12/(1+$A$42)^4+K$12/(1+$A$42)^5+K$12*7/(1+$A$42)^5+$C$29)/$C$32</f>
        <v/>
      </c>
      <c r="E42" s="23">
        <f>(G$12/(1+$A$42)^1+H$12/(1+$A$42)^2+I$12/(1+$A$42)^3+J$12/(1+$A$42)^4+K$12/(1+$A$42)^5+K$12*9/(1+$A$42)^5+$C$29)/$C$32</f>
        <v/>
      </c>
      <c r="F42" s="22">
        <f>(G$12/(1+$A$42)^1+H$12/(1+$A$42)^2+I$12/(1+$A$42)^3+J$12/(1+$A$42)^4+K$12/(1+$A$42)^5+K$12*11/(1+$A$42)^5+$C$29)/$C$32</f>
        <v/>
      </c>
      <c r="G42" s="22">
        <f>(G$12/(1+$A$42)^1+H$12/(1+$A$42)^2+I$12/(1+$A$42)^3+J$12/(1+$A$42)^4+K$12/(1+$A$42)^5+K$12*13/(1+$A$42)^5+$C$29)/$C$32</f>
        <v/>
      </c>
    </row>
    <row r="43">
      <c r="A43" s="21" t="n">
        <v>0.062</v>
      </c>
      <c r="C43" s="22">
        <f>(G$12/(1+$A$43)^1+H$12/(1+$A$43)^2+I$12/(1+$A$43)^3+J$12/(1+$A$43)^4+K$12/(1+$A$43)^5+K$12*5/(1+$A$43)^5+$C$29)/$C$32</f>
        <v/>
      </c>
      <c r="D43" s="22">
        <f>(G$12/(1+$A$43)^1+H$12/(1+$A$43)^2+I$12/(1+$A$43)^3+J$12/(1+$A$43)^4+K$12/(1+$A$43)^5+K$12*7/(1+$A$43)^5+$C$29)/$C$32</f>
        <v/>
      </c>
      <c r="E43" s="22">
        <f>(G$12/(1+$A$43)^1+H$12/(1+$A$43)^2+I$12/(1+$A$43)^3+J$12/(1+$A$43)^4+K$12/(1+$A$43)^5+K$12*9/(1+$A$43)^5+$C$29)/$C$32</f>
        <v/>
      </c>
      <c r="F43" s="22">
        <f>(G$12/(1+$A$43)^1+H$12/(1+$A$43)^2+I$12/(1+$A$43)^3+J$12/(1+$A$43)^4+K$12/(1+$A$43)^5+K$12*11/(1+$A$43)^5+$C$29)/$C$32</f>
        <v/>
      </c>
      <c r="G43" s="22">
        <f>(G$12/(1+$A$43)^1+H$12/(1+$A$43)^2+I$12/(1+$A$43)^3+J$12/(1+$A$43)^4+K$12/(1+$A$43)^5+K$12*13/(1+$A$43)^5+$C$29)/$C$32</f>
        <v/>
      </c>
    </row>
    <row r="44">
      <c r="A44" s="21" t="n">
        <v>0.07199999999999999</v>
      </c>
      <c r="C44" s="22">
        <f>(G$12/(1+$A$44)^1+H$12/(1+$A$44)^2+I$12/(1+$A$44)^3+J$12/(1+$A$44)^4+K$12/(1+$A$44)^5+K$12*5/(1+$A$44)^5+$C$29)/$C$32</f>
        <v/>
      </c>
      <c r="D44" s="22">
        <f>(G$12/(1+$A$44)^1+H$12/(1+$A$44)^2+I$12/(1+$A$44)^3+J$12/(1+$A$44)^4+K$12/(1+$A$44)^5+K$12*7/(1+$A$44)^5+$C$29)/$C$32</f>
        <v/>
      </c>
      <c r="E44" s="22">
        <f>(G$12/(1+$A$44)^1+H$12/(1+$A$44)^2+I$12/(1+$A$44)^3+J$12/(1+$A$44)^4+K$12/(1+$A$44)^5+K$12*9/(1+$A$44)^5+$C$29)/$C$32</f>
        <v/>
      </c>
      <c r="F44" s="22">
        <f>(G$12/(1+$A$44)^1+H$12/(1+$A$44)^2+I$12/(1+$A$44)^3+J$12/(1+$A$44)^4+K$12/(1+$A$44)^5+K$12*11/(1+$A$44)^5+$C$29)/$C$32</f>
        <v/>
      </c>
      <c r="G44" s="22">
        <f>(G$12/(1+$A$44)^1+H$12/(1+$A$44)^2+I$12/(1+$A$44)^3+J$12/(1+$A$44)^4+K$12/(1+$A$44)^5+K$12*13/(1+$A$44)^5+$C$29)/$C$32</f>
        <v/>
      </c>
    </row>
    <row r="45">
      <c r="A45" s="21" t="n">
        <v>0.08199999999999999</v>
      </c>
      <c r="C45" s="22">
        <f>(G$12/(1+$A$45)^1+H$12/(1+$A$45)^2+I$12/(1+$A$45)^3+J$12/(1+$A$45)^4+K$12/(1+$A$45)^5+K$12*5/(1+$A$45)^5+$C$29)/$C$32</f>
        <v/>
      </c>
      <c r="D45" s="22">
        <f>(G$12/(1+$A$45)^1+H$12/(1+$A$45)^2+I$12/(1+$A$45)^3+J$12/(1+$A$45)^4+K$12/(1+$A$45)^5+K$12*7/(1+$A$45)^5+$C$29)/$C$32</f>
        <v/>
      </c>
      <c r="E45" s="22">
        <f>(G$12/(1+$A$45)^1+H$12/(1+$A$45)^2+I$12/(1+$A$45)^3+J$12/(1+$A$45)^4+K$12/(1+$A$45)^5+K$12*9/(1+$A$45)^5+$C$29)/$C$32</f>
        <v/>
      </c>
      <c r="F45" s="22">
        <f>(G$12/(1+$A$45)^1+H$12/(1+$A$45)^2+I$12/(1+$A$45)^3+J$12/(1+$A$45)^4+K$12/(1+$A$45)^5+K$12*11/(1+$A$45)^5+$C$29)/$C$32</f>
        <v/>
      </c>
      <c r="G45" s="22">
        <f>(G$12/(1+$A$45)^1+H$12/(1+$A$45)^2+I$12/(1+$A$45)^3+J$12/(1+$A$45)^4+K$12/(1+$A$45)^5+K$12*13/(1+$A$45)^5+$C$29)/$C$32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2026-03-16T17:58:53Z</dcterms:created>
  <dcterms:modified xmlns:dcterms="http://purl.org/dc/terms/" xmlns:xsi="http://www.w3.org/2001/XMLSchema-instance" xsi:type="dcterms:W3CDTF">2026-03-16T17:58:53Z</dcterms:modified>
</cp:coreProperties>
</file>