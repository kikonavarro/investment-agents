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Occidental Petroleum Corporation (OXY)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Oil &amp; Gas E&amp;P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36634</v>
      </c>
      <c r="D7" s="5" t="n">
        <v>23156</v>
      </c>
      <c r="E7" s="5" t="n">
        <v>22019</v>
      </c>
      <c r="F7" s="5" t="n">
        <v>21593</v>
      </c>
    </row>
    <row r="8">
      <c r="A8" s="4" t="inlineStr">
        <is>
          <t xml:space="preserve">  Revenue Growth - Base</t>
        </is>
      </c>
      <c r="G8" s="6" t="n">
        <v>0.4</v>
      </c>
      <c r="H8" s="6" t="n">
        <v>0.36</v>
      </c>
      <c r="I8" s="6" t="n">
        <v>0.3200000000000001</v>
      </c>
      <c r="J8" s="6" t="n">
        <v>0.28</v>
      </c>
      <c r="K8" s="6" t="n">
        <v>0.24</v>
      </c>
    </row>
    <row r="9">
      <c r="A9" s="4" t="inlineStr">
        <is>
          <t xml:space="preserve">  Revenue Growth - Bull</t>
        </is>
      </c>
      <c r="G9" s="6" t="n">
        <v>0.46</v>
      </c>
      <c r="H9" s="6" t="n">
        <v>0.414</v>
      </c>
      <c r="I9" s="6" t="n">
        <v>0.368</v>
      </c>
      <c r="J9" s="6" t="n">
        <v>0.322</v>
      </c>
      <c r="K9" s="6" t="n">
        <v>0.276</v>
      </c>
    </row>
    <row r="10">
      <c r="A10" s="4" t="inlineStr">
        <is>
          <t xml:space="preserve">  Revenue Growth - Bear</t>
        </is>
      </c>
      <c r="G10" s="6" t="n">
        <v>0.34</v>
      </c>
      <c r="H10" s="6" t="n">
        <v>0.306</v>
      </c>
      <c r="I10" s="6" t="n">
        <v>0.272</v>
      </c>
      <c r="J10" s="6" t="n">
        <v>0.238</v>
      </c>
      <c r="K10" s="6" t="n">
        <v>0.204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0.3929257672026163</v>
      </c>
      <c r="H15" s="6" t="n">
        <v>0.3929257672026163</v>
      </c>
      <c r="I15" s="6" t="n">
        <v>0.3929257672026163</v>
      </c>
      <c r="J15" s="6" t="n">
        <v>0.3929257672026163</v>
      </c>
      <c r="K15" s="6" t="n">
        <v>0.3929257672026163</v>
      </c>
    </row>
    <row r="16">
      <c r="A16" s="4" t="inlineStr">
        <is>
          <t>Gross Margin - Bull</t>
        </is>
      </c>
      <c r="G16" s="6" t="n">
        <v>0.4029257672026163</v>
      </c>
      <c r="H16" s="6" t="n">
        <v>0.4029257672026163</v>
      </c>
      <c r="I16" s="6" t="n">
        <v>0.4029257672026163</v>
      </c>
      <c r="J16" s="6" t="n">
        <v>0.4029257672026163</v>
      </c>
      <c r="K16" s="6" t="n">
        <v>0.4029257672026163</v>
      </c>
    </row>
    <row r="17">
      <c r="A17" s="4" t="inlineStr">
        <is>
          <t>Gross Margin - Bear</t>
        </is>
      </c>
      <c r="G17" s="6" t="n">
        <v>0.3829257672026163</v>
      </c>
      <c r="H17" s="6" t="n">
        <v>0.3829257672026163</v>
      </c>
      <c r="I17" s="6" t="n">
        <v>0.3829257672026163</v>
      </c>
      <c r="J17" s="6" t="n">
        <v>0.3829257672026163</v>
      </c>
      <c r="K17" s="6" t="n">
        <v>0.3829257672026163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0.2205550915206823</v>
      </c>
      <c r="H20" s="6" t="n">
        <v>0.2205550915206823</v>
      </c>
      <c r="I20" s="6" t="n">
        <v>0.2205550915206823</v>
      </c>
      <c r="J20" s="6" t="n">
        <v>0.2205550915206823</v>
      </c>
      <c r="K20" s="6" t="n">
        <v>0.2205550915206823</v>
      </c>
    </row>
    <row r="21">
      <c r="A21" s="4" t="inlineStr">
        <is>
          <t>SG&amp;A % Revenue - Bull</t>
        </is>
      </c>
      <c r="G21" s="6" t="n">
        <v>0.2155550915206823</v>
      </c>
      <c r="H21" s="6" t="n">
        <v>0.2155550915206823</v>
      </c>
      <c r="I21" s="6" t="n">
        <v>0.2155550915206823</v>
      </c>
      <c r="J21" s="6" t="n">
        <v>0.2155550915206823</v>
      </c>
      <c r="K21" s="6" t="n">
        <v>0.2155550915206823</v>
      </c>
    </row>
    <row r="22">
      <c r="A22" s="4" t="inlineStr">
        <is>
          <t>SG&amp;A % Revenue - Bear</t>
        </is>
      </c>
      <c r="G22" s="6" t="n">
        <v>0.2255550915206823</v>
      </c>
      <c r="H22" s="6" t="n">
        <v>0.2255550915206823</v>
      </c>
      <c r="I22" s="6" t="n">
        <v>0.2255550915206823</v>
      </c>
      <c r="J22" s="6" t="n">
        <v>0.2255550915206823</v>
      </c>
      <c r="K22" s="6" t="n">
        <v>0.2255550915206823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0.283026661084278</v>
      </c>
      <c r="H30" s="6" t="n">
        <v>0.283026661084278</v>
      </c>
      <c r="I30" s="6" t="n">
        <v>0.283026661084278</v>
      </c>
      <c r="J30" s="6" t="n">
        <v>0.283026661084278</v>
      </c>
      <c r="K30" s="6" t="n">
        <v>0.283026661084278</v>
      </c>
    </row>
    <row r="31">
      <c r="A31" s="4" t="inlineStr">
        <is>
          <t>CapEx % Revenue</t>
        </is>
      </c>
      <c r="G31" s="6" t="n">
        <v>0.265209965535583</v>
      </c>
      <c r="H31" s="6" t="n">
        <v>0.265209965535583</v>
      </c>
      <c r="I31" s="6" t="n">
        <v>0.265209965535583</v>
      </c>
      <c r="J31" s="6" t="n">
        <v>0.265209965535583</v>
      </c>
      <c r="K31" s="6" t="n">
        <v>0.265209965535583</v>
      </c>
    </row>
    <row r="32">
      <c r="A32" s="4" t="inlineStr">
        <is>
          <t>Tax Rate</t>
        </is>
      </c>
      <c r="G32" s="6" t="n">
        <v>0.2150302703838611</v>
      </c>
      <c r="H32" s="6" t="n">
        <v>0.2150302703838611</v>
      </c>
      <c r="I32" s="6" t="n">
        <v>0.2150302703838611</v>
      </c>
      <c r="J32" s="6" t="n">
        <v>0.2150302703838611</v>
      </c>
      <c r="K32" s="6" t="n">
        <v>0.2150302703838611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0.07000000000000001</v>
      </c>
    </row>
    <row r="36">
      <c r="A36" s="4" t="inlineStr">
        <is>
          <t>WACC - Bull</t>
        </is>
      </c>
      <c r="C36" s="6" t="n">
        <v>0.06</v>
      </c>
    </row>
    <row r="37">
      <c r="A37" s="4" t="inlineStr">
        <is>
          <t>WACC - Bear</t>
        </is>
      </c>
      <c r="C37" s="6" t="n">
        <v>0.08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8</v>
      </c>
    </row>
    <row r="41">
      <c r="A41" s="4" t="inlineStr">
        <is>
          <t>Terminal Value Multiple - Bull</t>
        </is>
      </c>
      <c r="C41" s="9" t="n">
        <v>8</v>
      </c>
    </row>
    <row r="42">
      <c r="A42" s="4" t="inlineStr">
        <is>
          <t>Terminal Value Multiple - Bear</t>
        </is>
      </c>
      <c r="C42" s="9" t="n">
        <v>8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Occidental Petroleum Corporation (OXY)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36634</v>
      </c>
      <c r="D6" s="5" t="n">
        <v>23156</v>
      </c>
      <c r="E6" s="5" t="n">
        <v>22019</v>
      </c>
      <c r="F6" s="5" t="n">
        <v>21593</v>
      </c>
    </row>
    <row r="7">
      <c r="A7" s="4" t="inlineStr">
        <is>
          <t>Cost of Revenue</t>
        </is>
      </c>
      <c r="C7" s="5" t="n">
        <v>18989</v>
      </c>
      <c r="D7" s="5" t="n">
        <v>14723</v>
      </c>
      <c r="E7" s="5" t="n">
        <v>13728</v>
      </c>
      <c r="F7" s="5" t="n">
        <v>14050</v>
      </c>
    </row>
    <row r="8">
      <c r="A8" s="2" t="inlineStr">
        <is>
          <t>Gross Profit</t>
        </is>
      </c>
      <c r="C8" s="5" t="n">
        <v>17645</v>
      </c>
      <c r="D8" s="5" t="n">
        <v>8433</v>
      </c>
      <c r="E8" s="5" t="n">
        <v>8291</v>
      </c>
      <c r="F8" s="5" t="n">
        <v>7543</v>
      </c>
    </row>
    <row r="9">
      <c r="A9" s="4" t="inlineStr">
        <is>
          <t xml:space="preserve">  Gross Margin</t>
        </is>
      </c>
      <c r="C9" s="11" t="n">
        <v>0.4816563847791669</v>
      </c>
      <c r="D9" s="11" t="n">
        <v>0.3641820694420452</v>
      </c>
      <c r="E9" s="11" t="n">
        <v>0.3765384440710295</v>
      </c>
      <c r="F9" s="11" t="n">
        <v>0.3493261705182235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945</v>
      </c>
      <c r="D12" s="5" t="n">
        <v>987</v>
      </c>
      <c r="E12" s="5" t="n">
        <v>960</v>
      </c>
      <c r="F12" s="5" t="n">
        <v>986</v>
      </c>
    </row>
    <row r="13">
      <c r="A13" s="2" t="inlineStr">
        <is>
          <t>Operating Income (EBIT)</t>
        </is>
      </c>
      <c r="C13" s="5" t="n">
        <v>13665</v>
      </c>
      <c r="D13" s="5" t="n">
        <v>4753</v>
      </c>
      <c r="E13" s="5" t="n">
        <v>4698</v>
      </c>
      <c r="F13" s="5" t="n">
        <v>3722</v>
      </c>
    </row>
    <row r="14">
      <c r="A14" s="4" t="inlineStr">
        <is>
          <t xml:space="preserve">  EBIT Margin</t>
        </is>
      </c>
      <c r="C14" s="11" t="n">
        <v>0.373014139870066</v>
      </c>
      <c r="D14" s="11" t="n">
        <v>0.2052599758162031</v>
      </c>
      <c r="E14" s="11" t="n">
        <v>0.2133611880648531</v>
      </c>
      <c r="F14" s="11" t="n">
        <v>0.172370675681934</v>
      </c>
    </row>
    <row r="16">
      <c r="A16" s="4" t="inlineStr">
        <is>
          <t>Interest Expense</t>
        </is>
      </c>
      <c r="C16" s="5" t="n">
        <v>1030</v>
      </c>
      <c r="D16" s="5" t="n">
        <v>957</v>
      </c>
      <c r="E16" s="5" t="n">
        <v>1169</v>
      </c>
      <c r="F16" s="5" t="n">
        <v>1079</v>
      </c>
    </row>
    <row r="17">
      <c r="A17" s="4" t="inlineStr">
        <is>
          <t>Tax Provision</t>
        </is>
      </c>
      <c r="C17" s="5" t="n">
        <v>813</v>
      </c>
      <c r="D17" s="5" t="n">
        <v>1330</v>
      </c>
      <c r="E17" s="5" t="n">
        <v>1158</v>
      </c>
      <c r="F17" s="5" t="n">
        <v>1021</v>
      </c>
    </row>
    <row r="18">
      <c r="A18" s="2" t="inlineStr">
        <is>
          <t>Net Income</t>
        </is>
      </c>
      <c r="C18" s="5" t="n">
        <v>13304</v>
      </c>
      <c r="D18" s="5" t="n">
        <v>4696</v>
      </c>
      <c r="E18" s="5" t="n">
        <v>3056</v>
      </c>
      <c r="F18" s="5" t="n">
        <v>2326</v>
      </c>
    </row>
    <row r="19">
      <c r="A19" s="4" t="inlineStr">
        <is>
          <t xml:space="preserve">  Net Margin</t>
        </is>
      </c>
      <c r="C19" s="11" t="n">
        <v>0.3631599060981602</v>
      </c>
      <c r="D19" s="11" t="n">
        <v>0.2027984107790637</v>
      </c>
      <c r="E19" s="11" t="n">
        <v>0.1387892274853536</v>
      </c>
      <c r="F19" s="11" t="n">
        <v>0.1077200944750614</v>
      </c>
    </row>
    <row r="21">
      <c r="A21" s="2" t="inlineStr">
        <is>
          <t>EBITDA</t>
        </is>
      </c>
      <c r="C21" s="5" t="n">
        <v>22073</v>
      </c>
      <c r="D21" s="5" t="n">
        <v>11642</v>
      </c>
      <c r="E21" s="5" t="n">
        <v>11385</v>
      </c>
      <c r="F21" s="5" t="n">
        <v>11664</v>
      </c>
    </row>
    <row r="22">
      <c r="A22" s="4" t="inlineStr">
        <is>
          <t xml:space="preserve">  EBITDA Margin</t>
        </is>
      </c>
      <c r="C22" s="11" t="n">
        <v>0.6025277065021565</v>
      </c>
      <c r="D22" s="11" t="n">
        <v>0.5027638624978408</v>
      </c>
      <c r="E22" s="11" t="n">
        <v>0.5170534538353241</v>
      </c>
      <c r="F22" s="11" t="n">
        <v>0.5401750567313481</v>
      </c>
    </row>
    <row r="23">
      <c r="A23" s="4" t="inlineStr">
        <is>
          <t>Diluted EPS</t>
        </is>
      </c>
      <c r="C23" s="12" t="n">
        <v>12.4</v>
      </c>
      <c r="D23" s="12" t="n">
        <v>3.9</v>
      </c>
      <c r="E23" s="12" t="n">
        <v>2.44</v>
      </c>
      <c r="F23" s="12" t="n">
        <v>1.61</v>
      </c>
    </row>
    <row r="24">
      <c r="A24" s="4" t="inlineStr">
        <is>
          <t>D&amp;A</t>
        </is>
      </c>
      <c r="C24" s="5" t="n">
        <v>6926</v>
      </c>
      <c r="D24" s="5" t="n">
        <v>6449</v>
      </c>
      <c r="E24" s="5" t="n">
        <v>6951</v>
      </c>
      <c r="F24" s="5" t="n">
        <v>7533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984</v>
      </c>
      <c r="D28" s="5" t="n">
        <v>1426</v>
      </c>
      <c r="E28" s="5" t="n">
        <v>2125</v>
      </c>
      <c r="F28" s="5" t="n">
        <v>1968</v>
      </c>
    </row>
    <row r="29">
      <c r="A29" s="4" t="inlineStr">
        <is>
          <t>Current Assets</t>
        </is>
      </c>
      <c r="C29" s="5" t="n">
        <v>8886</v>
      </c>
      <c r="D29" s="5" t="n">
        <v>8375</v>
      </c>
      <c r="E29" s="5" t="n">
        <v>9070</v>
      </c>
      <c r="F29" s="5" t="n">
        <v>8827</v>
      </c>
    </row>
    <row r="30">
      <c r="A30" s="4" t="inlineStr">
        <is>
          <t>Net PP&amp;E</t>
        </is>
      </c>
      <c r="C30" s="5" t="n">
        <v>59287</v>
      </c>
      <c r="D30" s="5" t="n">
        <v>59659</v>
      </c>
      <c r="E30" s="5" t="n">
        <v>66618</v>
      </c>
      <c r="F30" s="5" t="n">
        <v>64551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72609</v>
      </c>
      <c r="D32" s="5" t="n">
        <v>74008</v>
      </c>
      <c r="E32" s="5" t="n">
        <v>85445</v>
      </c>
      <c r="F32" s="5" t="n">
        <v>84186</v>
      </c>
    </row>
    <row r="34">
      <c r="A34" s="4" t="inlineStr">
        <is>
          <t>Current Liabilities</t>
        </is>
      </c>
      <c r="C34" s="5" t="n">
        <v>7757</v>
      </c>
      <c r="D34" s="5" t="n">
        <v>9148</v>
      </c>
      <c r="E34" s="5" t="n">
        <v>9521</v>
      </c>
      <c r="F34" s="5" t="n">
        <v>9428</v>
      </c>
    </row>
    <row r="35">
      <c r="A35" s="4" t="inlineStr">
        <is>
          <t>Total Debt</t>
        </is>
      </c>
      <c r="C35" s="5" t="n">
        <v>20765</v>
      </c>
      <c r="D35" s="5" t="n">
        <v>20911</v>
      </c>
      <c r="E35" s="5" t="n">
        <v>26920</v>
      </c>
      <c r="F35" s="5" t="n">
        <v>23351</v>
      </c>
    </row>
    <row r="36">
      <c r="A36" s="2" t="inlineStr">
        <is>
          <t>Total Liabilities</t>
        </is>
      </c>
      <c r="C36" s="5" t="n">
        <v>42524</v>
      </c>
      <c r="D36" s="5" t="n">
        <v>43659</v>
      </c>
      <c r="E36" s="5" t="n">
        <v>50965</v>
      </c>
      <c r="F36" s="5" t="n">
        <v>47588</v>
      </c>
    </row>
    <row r="38">
      <c r="A38" s="2" t="inlineStr">
        <is>
          <t>Total Equity</t>
        </is>
      </c>
      <c r="C38" s="5" t="n">
        <v>30085</v>
      </c>
      <c r="D38" s="5" t="n">
        <v>30349</v>
      </c>
      <c r="E38" s="5" t="n">
        <v>34480</v>
      </c>
      <c r="F38" s="5" t="n">
        <v>36598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16810</v>
      </c>
      <c r="D42" s="5" t="n">
        <v>12308</v>
      </c>
      <c r="E42" s="5" t="n">
        <v>11439</v>
      </c>
      <c r="F42" s="5" t="n">
        <v>10532</v>
      </c>
    </row>
    <row r="43">
      <c r="A43" s="4" t="inlineStr">
        <is>
          <t>Capital Expenditure</t>
        </is>
      </c>
      <c r="C43" s="5" t="n">
        <v>-4497</v>
      </c>
      <c r="D43" s="5" t="n">
        <v>-5696</v>
      </c>
      <c r="E43" s="5" t="n">
        <v>-6263</v>
      </c>
      <c r="F43" s="5" t="n">
        <v>-6427</v>
      </c>
    </row>
    <row r="44">
      <c r="A44" s="2" t="inlineStr">
        <is>
          <t>Free Cash Flow</t>
        </is>
      </c>
      <c r="C44" s="5" t="n">
        <v>12313</v>
      </c>
      <c r="D44" s="5" t="n">
        <v>6612</v>
      </c>
      <c r="E44" s="5" t="n">
        <v>5176</v>
      </c>
      <c r="F44" s="5" t="n">
        <v>4105</v>
      </c>
    </row>
    <row r="46">
      <c r="A46" s="4" t="inlineStr">
        <is>
          <t>D&amp;A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-1325</v>
      </c>
      <c r="D48" s="5" t="n">
        <v>140</v>
      </c>
      <c r="E48" s="5" t="n">
        <v>75</v>
      </c>
      <c r="F48" s="5" t="n">
        <v>-1067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Occidental Petroleum Corporation (OXY)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Oil &amp; Gas E&amp;P</t>
        </is>
      </c>
      <c r="C8" s="5" t="n">
        <v>36634</v>
      </c>
      <c r="D8" s="5" t="n">
        <v>23156</v>
      </c>
      <c r="E8" s="5" t="n">
        <v>22019</v>
      </c>
      <c r="F8" s="5" t="n">
        <v>21593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18989</v>
      </c>
      <c r="D16" s="5" t="n">
        <v>14723</v>
      </c>
      <c r="E16" s="5" t="n">
        <v>13728</v>
      </c>
      <c r="F16" s="5" t="n">
        <v>14050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945</v>
      </c>
      <c r="D20" s="5" t="n">
        <v>987</v>
      </c>
      <c r="E20" s="5" t="n">
        <v>960</v>
      </c>
      <c r="F20" s="5" t="n">
        <v>986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6926</v>
      </c>
      <c r="D22" s="5" t="n">
        <v>6449</v>
      </c>
      <c r="E22" s="5" t="n">
        <v>6951</v>
      </c>
      <c r="F22" s="5" t="n">
        <v>7533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1030</v>
      </c>
      <c r="D29" s="5" t="n">
        <v>957</v>
      </c>
      <c r="E29" s="5" t="n">
        <v>1169</v>
      </c>
      <c r="F29" s="5" t="n">
        <v>1079</v>
      </c>
      <c r="G29" s="5" t="n">
        <v>1079</v>
      </c>
      <c r="H29" s="5" t="n">
        <v>1079</v>
      </c>
      <c r="I29" s="5" t="n">
        <v>1079</v>
      </c>
      <c r="J29" s="5" t="n">
        <v>1079</v>
      </c>
      <c r="K29" s="5" t="n">
        <v>1079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813</v>
      </c>
      <c r="D31" s="5" t="n">
        <v>1330</v>
      </c>
      <c r="E31" s="5" t="n">
        <v>1158</v>
      </c>
      <c r="F31" s="5" t="n">
        <v>1021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-1325</v>
      </c>
      <c r="D39" s="5" t="n">
        <v>140</v>
      </c>
      <c r="E39" s="5" t="n">
        <v>75</v>
      </c>
      <c r="F39" s="5" t="n">
        <v>-1067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-4497</v>
      </c>
      <c r="D42" s="5" t="n">
        <v>-5696</v>
      </c>
      <c r="E42" s="5" t="n">
        <v>-6263</v>
      </c>
      <c r="F42" s="5" t="n">
        <v>-6427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Occidental Petroleum Corporation (OXY)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62.97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-21383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991.695181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C33/62.97-1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4x</t>
        </is>
      </c>
      <c r="D38" s="1" t="inlineStr">
        <is>
          <t>6x</t>
        </is>
      </c>
      <c r="E38" s="1" t="inlineStr">
        <is>
          <t>8x</t>
        </is>
      </c>
      <c r="F38" s="1" t="inlineStr">
        <is>
          <t>10x</t>
        </is>
      </c>
      <c r="G38" s="1" t="inlineStr">
        <is>
          <t>12x</t>
        </is>
      </c>
    </row>
    <row r="39">
      <c r="A39" s="21" t="n">
        <v>0.04000000000000001</v>
      </c>
      <c r="C39" s="22">
        <f>(G$12/(1+$A$39)^1+H$12/(1+$A$39)^2+I$12/(1+$A$39)^3+J$12/(1+$A$39)^4+K$12/(1+$A$39)^5+K$8*4/(1+$A$39)^5+$C$29)/$C$32</f>
        <v/>
      </c>
      <c r="D39" s="22">
        <f>(G$12/(1+$A$39)^1+H$12/(1+$A$39)^2+I$12/(1+$A$39)^3+J$12/(1+$A$39)^4+K$12/(1+$A$39)^5+K$8*6/(1+$A$39)^5+$C$29)/$C$32</f>
        <v/>
      </c>
      <c r="E39" s="22">
        <f>(G$12/(1+$A$39)^1+H$12/(1+$A$39)^2+I$12/(1+$A$39)^3+J$12/(1+$A$39)^4+K$12/(1+$A$39)^5+K$8*8/(1+$A$39)^5+$C$29)/$C$32</f>
        <v/>
      </c>
      <c r="F39" s="22">
        <f>(G$12/(1+$A$39)^1+H$12/(1+$A$39)^2+I$12/(1+$A$39)^3+J$12/(1+$A$39)^4+K$12/(1+$A$39)^5+K$8*10/(1+$A$39)^5+$C$29)/$C$32</f>
        <v/>
      </c>
      <c r="G39" s="22">
        <f>(G$12/(1+$A$39)^1+H$12/(1+$A$39)^2+I$12/(1+$A$39)^3+J$12/(1+$A$39)^4+K$12/(1+$A$39)^5+K$8*12/(1+$A$39)^5+$C$29)/$C$32</f>
        <v/>
      </c>
    </row>
    <row r="40">
      <c r="A40" s="21" t="n">
        <v>0.05</v>
      </c>
      <c r="C40" s="22">
        <f>(G$12/(1+$A$40)^1+H$12/(1+$A$40)^2+I$12/(1+$A$40)^3+J$12/(1+$A$40)^4+K$12/(1+$A$40)^5+K$8*4/(1+$A$40)^5+$C$29)/$C$32</f>
        <v/>
      </c>
      <c r="D40" s="22">
        <f>(G$12/(1+$A$40)^1+H$12/(1+$A$40)^2+I$12/(1+$A$40)^3+J$12/(1+$A$40)^4+K$12/(1+$A$40)^5+K$8*6/(1+$A$40)^5+$C$29)/$C$32</f>
        <v/>
      </c>
      <c r="E40" s="22">
        <f>(G$12/(1+$A$40)^1+H$12/(1+$A$40)^2+I$12/(1+$A$40)^3+J$12/(1+$A$40)^4+K$12/(1+$A$40)^5+K$8*8/(1+$A$40)^5+$C$29)/$C$32</f>
        <v/>
      </c>
      <c r="F40" s="22">
        <f>(G$12/(1+$A$40)^1+H$12/(1+$A$40)^2+I$12/(1+$A$40)^3+J$12/(1+$A$40)^4+K$12/(1+$A$40)^5+K$8*10/(1+$A$40)^5+$C$29)/$C$32</f>
        <v/>
      </c>
      <c r="G40" s="22">
        <f>(G$12/(1+$A$40)^1+H$12/(1+$A$40)^2+I$12/(1+$A$40)^3+J$12/(1+$A$40)^4+K$12/(1+$A$40)^5+K$8*12/(1+$A$40)^5+$C$29)/$C$32</f>
        <v/>
      </c>
    </row>
    <row r="41">
      <c r="A41" s="21" t="n">
        <v>0.06</v>
      </c>
      <c r="C41" s="22">
        <f>(G$12/(1+$A$41)^1+H$12/(1+$A$41)^2+I$12/(1+$A$41)^3+J$12/(1+$A$41)^4+K$12/(1+$A$41)^5+K$8*4/(1+$A$41)^5+$C$29)/$C$32</f>
        <v/>
      </c>
      <c r="D41" s="22">
        <f>(G$12/(1+$A$41)^1+H$12/(1+$A$41)^2+I$12/(1+$A$41)^3+J$12/(1+$A$41)^4+K$12/(1+$A$41)^5+K$8*6/(1+$A$41)^5+$C$29)/$C$32</f>
        <v/>
      </c>
      <c r="E41" s="22">
        <f>(G$12/(1+$A$41)^1+H$12/(1+$A$41)^2+I$12/(1+$A$41)^3+J$12/(1+$A$41)^4+K$12/(1+$A$41)^5+K$8*8/(1+$A$41)^5+$C$29)/$C$32</f>
        <v/>
      </c>
      <c r="F41" s="22">
        <f>(G$12/(1+$A$41)^1+H$12/(1+$A$41)^2+I$12/(1+$A$41)^3+J$12/(1+$A$41)^4+K$12/(1+$A$41)^5+K$8*10/(1+$A$41)^5+$C$29)/$C$32</f>
        <v/>
      </c>
      <c r="G41" s="22">
        <f>(G$12/(1+$A$41)^1+H$12/(1+$A$41)^2+I$12/(1+$A$41)^3+J$12/(1+$A$41)^4+K$12/(1+$A$41)^5+K$8*12/(1+$A$41)^5+$C$29)/$C$32</f>
        <v/>
      </c>
    </row>
    <row r="42">
      <c r="A42" s="21" t="n">
        <v>0.07000000000000001</v>
      </c>
      <c r="C42" s="22">
        <f>(G$12/(1+$A$42)^1+H$12/(1+$A$42)^2+I$12/(1+$A$42)^3+J$12/(1+$A$42)^4+K$12/(1+$A$42)^5+K$8*4/(1+$A$42)^5+$C$29)/$C$32</f>
        <v/>
      </c>
      <c r="D42" s="22">
        <f>(G$12/(1+$A$42)^1+H$12/(1+$A$42)^2+I$12/(1+$A$42)^3+J$12/(1+$A$42)^4+K$12/(1+$A$42)^5+K$8*6/(1+$A$42)^5+$C$29)/$C$32</f>
        <v/>
      </c>
      <c r="E42" s="23">
        <f>(G$12/(1+$A$42)^1+H$12/(1+$A$42)^2+I$12/(1+$A$42)^3+J$12/(1+$A$42)^4+K$12/(1+$A$42)^5+K$8*8/(1+$A$42)^5+$C$29)/$C$32</f>
        <v/>
      </c>
      <c r="F42" s="22">
        <f>(G$12/(1+$A$42)^1+H$12/(1+$A$42)^2+I$12/(1+$A$42)^3+J$12/(1+$A$42)^4+K$12/(1+$A$42)^5+K$8*10/(1+$A$42)^5+$C$29)/$C$32</f>
        <v/>
      </c>
      <c r="G42" s="22">
        <f>(G$12/(1+$A$42)^1+H$12/(1+$A$42)^2+I$12/(1+$A$42)^3+J$12/(1+$A$42)^4+K$12/(1+$A$42)^5+K$8*12/(1+$A$42)^5+$C$29)/$C$32</f>
        <v/>
      </c>
    </row>
    <row r="43">
      <c r="A43" s="21" t="n">
        <v>0.08</v>
      </c>
      <c r="C43" s="22">
        <f>(G$12/(1+$A$43)^1+H$12/(1+$A$43)^2+I$12/(1+$A$43)^3+J$12/(1+$A$43)^4+K$12/(1+$A$43)^5+K$8*4/(1+$A$43)^5+$C$29)/$C$32</f>
        <v/>
      </c>
      <c r="D43" s="22">
        <f>(G$12/(1+$A$43)^1+H$12/(1+$A$43)^2+I$12/(1+$A$43)^3+J$12/(1+$A$43)^4+K$12/(1+$A$43)^5+K$8*6/(1+$A$43)^5+$C$29)/$C$32</f>
        <v/>
      </c>
      <c r="E43" s="22">
        <f>(G$12/(1+$A$43)^1+H$12/(1+$A$43)^2+I$12/(1+$A$43)^3+J$12/(1+$A$43)^4+K$12/(1+$A$43)^5+K$8*8/(1+$A$43)^5+$C$29)/$C$32</f>
        <v/>
      </c>
      <c r="F43" s="22">
        <f>(G$12/(1+$A$43)^1+H$12/(1+$A$43)^2+I$12/(1+$A$43)^3+J$12/(1+$A$43)^4+K$12/(1+$A$43)^5+K$8*10/(1+$A$43)^5+$C$29)/$C$32</f>
        <v/>
      </c>
      <c r="G43" s="22">
        <f>(G$12/(1+$A$43)^1+H$12/(1+$A$43)^2+I$12/(1+$A$43)^3+J$12/(1+$A$43)^4+K$12/(1+$A$43)^5+K$8*12/(1+$A$43)^5+$C$29)/$C$32</f>
        <v/>
      </c>
    </row>
    <row r="44">
      <c r="A44" s="21" t="n">
        <v>0.09000000000000001</v>
      </c>
      <c r="C44" s="22">
        <f>(G$12/(1+$A$44)^1+H$12/(1+$A$44)^2+I$12/(1+$A$44)^3+J$12/(1+$A$44)^4+K$12/(1+$A$44)^5+K$8*4/(1+$A$44)^5+$C$29)/$C$32</f>
        <v/>
      </c>
      <c r="D44" s="22">
        <f>(G$12/(1+$A$44)^1+H$12/(1+$A$44)^2+I$12/(1+$A$44)^3+J$12/(1+$A$44)^4+K$12/(1+$A$44)^5+K$8*6/(1+$A$44)^5+$C$29)/$C$32</f>
        <v/>
      </c>
      <c r="E44" s="22">
        <f>(G$12/(1+$A$44)^1+H$12/(1+$A$44)^2+I$12/(1+$A$44)^3+J$12/(1+$A$44)^4+K$12/(1+$A$44)^5+K$8*8/(1+$A$44)^5+$C$29)/$C$32</f>
        <v/>
      </c>
      <c r="F44" s="22">
        <f>(G$12/(1+$A$44)^1+H$12/(1+$A$44)^2+I$12/(1+$A$44)^3+J$12/(1+$A$44)^4+K$12/(1+$A$44)^5+K$8*10/(1+$A$44)^5+$C$29)/$C$32</f>
        <v/>
      </c>
      <c r="G44" s="22">
        <f>(G$12/(1+$A$44)^1+H$12/(1+$A$44)^2+I$12/(1+$A$44)^3+J$12/(1+$A$44)^4+K$12/(1+$A$44)^5+K$8*12/(1+$A$44)^5+$C$29)/$C$32</f>
        <v/>
      </c>
    </row>
    <row r="45">
      <c r="A45" s="21" t="n">
        <v>0.1</v>
      </c>
      <c r="C45" s="22">
        <f>(G$12/(1+$A$45)^1+H$12/(1+$A$45)^2+I$12/(1+$A$45)^3+J$12/(1+$A$45)^4+K$12/(1+$A$45)^5+K$8*4/(1+$A$45)^5+$C$29)/$C$32</f>
        <v/>
      </c>
      <c r="D45" s="22">
        <f>(G$12/(1+$A$45)^1+H$12/(1+$A$45)^2+I$12/(1+$A$45)^3+J$12/(1+$A$45)^4+K$12/(1+$A$45)^5+K$8*6/(1+$A$45)^5+$C$29)/$C$32</f>
        <v/>
      </c>
      <c r="E45" s="22">
        <f>(G$12/(1+$A$45)^1+H$12/(1+$A$45)^2+I$12/(1+$A$45)^3+J$12/(1+$A$45)^4+K$12/(1+$A$45)^5+K$8*8/(1+$A$45)^5+$C$29)/$C$32</f>
        <v/>
      </c>
      <c r="F45" s="22">
        <f>(G$12/(1+$A$45)^1+H$12/(1+$A$45)^2+I$12/(1+$A$45)^3+J$12/(1+$A$45)^4+K$12/(1+$A$45)^5+K$8*10/(1+$A$45)^5+$C$29)/$C$32</f>
        <v/>
      </c>
      <c r="G45" s="22">
        <f>(G$12/(1+$A$45)^1+H$12/(1+$A$45)^2+I$12/(1+$A$45)^3+J$12/(1+$A$45)^4+K$12/(1+$A$45)^5+K$8*12/(1+$A$45)^5+$C$29)/$C$32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2026-04-04T15:28:56Z</dcterms:created>
  <dcterms:modified xmlns:dcterms="http://purl.org/dc/terms/" xmlns:xsi="http://www.w3.org/2001/XMLSchema-instance" xsi:type="dcterms:W3CDTF">2026-04-04T15:28:56Z</dcterms:modified>
</cp:coreProperties>
</file>