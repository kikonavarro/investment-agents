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Visa Inc. (V)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Credit Services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29310</v>
      </c>
      <c r="D7" s="5" t="n">
        <v>32653</v>
      </c>
      <c r="E7" s="5" t="n">
        <v>35926</v>
      </c>
      <c r="F7" s="5" t="n">
        <v>40000</v>
      </c>
    </row>
    <row r="8">
      <c r="A8" s="4" t="inlineStr">
        <is>
          <t xml:space="preserve">  Revenue Growth - Base</t>
        </is>
      </c>
      <c r="G8" s="6" t="n">
        <v>0.146</v>
      </c>
      <c r="H8" s="6" t="n">
        <v>0.1314</v>
      </c>
      <c r="I8" s="6" t="n">
        <v>0.1168</v>
      </c>
      <c r="J8" s="6" t="n">
        <v>0.1022</v>
      </c>
      <c r="K8" s="6" t="n">
        <v>0.0876</v>
      </c>
    </row>
    <row r="9">
      <c r="A9" s="4" t="inlineStr">
        <is>
          <t xml:space="preserve">  Revenue Growth - Bull</t>
        </is>
      </c>
      <c r="G9" s="6" t="n">
        <v>0.1679</v>
      </c>
      <c r="H9" s="6" t="n">
        <v>0.15111</v>
      </c>
      <c r="I9" s="6" t="n">
        <v>0.13432</v>
      </c>
      <c r="J9" s="6" t="n">
        <v>0.11753</v>
      </c>
      <c r="K9" s="6" t="n">
        <v>0.10074</v>
      </c>
    </row>
    <row r="10">
      <c r="A10" s="4" t="inlineStr">
        <is>
          <t xml:space="preserve">  Revenue Growth - Bear</t>
        </is>
      </c>
      <c r="G10" s="6" t="n">
        <v>0.1241</v>
      </c>
      <c r="H10" s="6" t="n">
        <v>0.11169</v>
      </c>
      <c r="I10" s="6" t="n">
        <v>0.09927999999999999</v>
      </c>
      <c r="J10" s="6" t="n">
        <v>0.08686999999999999</v>
      </c>
      <c r="K10" s="6" t="n">
        <v>0.07445999999999998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0.8027243618306326</v>
      </c>
      <c r="H15" s="6" t="n">
        <v>0.8027243618306326</v>
      </c>
      <c r="I15" s="6" t="n">
        <v>0.8027243618306326</v>
      </c>
      <c r="J15" s="6" t="n">
        <v>0.8027243618306326</v>
      </c>
      <c r="K15" s="6" t="n">
        <v>0.8027243618306326</v>
      </c>
    </row>
    <row r="16">
      <c r="A16" s="4" t="inlineStr">
        <is>
          <t>Gross Margin - Bull</t>
        </is>
      </c>
      <c r="G16" s="6" t="n">
        <v>0.8127243618306326</v>
      </c>
      <c r="H16" s="6" t="n">
        <v>0.8127243618306326</v>
      </c>
      <c r="I16" s="6" t="n">
        <v>0.8127243618306326</v>
      </c>
      <c r="J16" s="6" t="n">
        <v>0.8127243618306326</v>
      </c>
      <c r="K16" s="6" t="n">
        <v>0.8127243618306326</v>
      </c>
    </row>
    <row r="17">
      <c r="A17" s="4" t="inlineStr">
        <is>
          <t>Gross Margin - Bear</t>
        </is>
      </c>
      <c r="G17" s="6" t="n">
        <v>0.7927243618306326</v>
      </c>
      <c r="H17" s="6" t="n">
        <v>0.7927243618306326</v>
      </c>
      <c r="I17" s="6" t="n">
        <v>0.7927243618306326</v>
      </c>
      <c r="J17" s="6" t="n">
        <v>0.7927243618306326</v>
      </c>
      <c r="K17" s="6" t="n">
        <v>0.7927243618306326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0.1042103986340605</v>
      </c>
      <c r="H20" s="6" t="n">
        <v>0.1042103986340605</v>
      </c>
      <c r="I20" s="6" t="n">
        <v>0.1042103986340605</v>
      </c>
      <c r="J20" s="6" t="n">
        <v>0.1042103986340605</v>
      </c>
      <c r="K20" s="6" t="n">
        <v>0.1042103986340605</v>
      </c>
    </row>
    <row r="21">
      <c r="A21" s="4" t="inlineStr">
        <is>
          <t>SG&amp;A % Revenue - Bull</t>
        </is>
      </c>
      <c r="G21" s="6" t="n">
        <v>0.09921039863406045</v>
      </c>
      <c r="H21" s="6" t="n">
        <v>0.09921039863406045</v>
      </c>
      <c r="I21" s="6" t="n">
        <v>0.09921039863406045</v>
      </c>
      <c r="J21" s="6" t="n">
        <v>0.09921039863406045</v>
      </c>
      <c r="K21" s="6" t="n">
        <v>0.09921039863406045</v>
      </c>
    </row>
    <row r="22">
      <c r="A22" s="4" t="inlineStr">
        <is>
          <t>SG&amp;A % Revenue - Bear</t>
        </is>
      </c>
      <c r="G22" s="6" t="n">
        <v>0.1092103986340605</v>
      </c>
      <c r="H22" s="6" t="n">
        <v>0.1092103986340605</v>
      </c>
      <c r="I22" s="6" t="n">
        <v>0.1092103986340605</v>
      </c>
      <c r="J22" s="6" t="n">
        <v>0.1092103986340605</v>
      </c>
      <c r="K22" s="6" t="n">
        <v>0.1092103986340605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0.02938411320456185</v>
      </c>
      <c r="H30" s="6" t="n">
        <v>0.02938411320456185</v>
      </c>
      <c r="I30" s="6" t="n">
        <v>0.02938411320456185</v>
      </c>
      <c r="J30" s="6" t="n">
        <v>0.02938411320456185</v>
      </c>
      <c r="K30" s="6" t="n">
        <v>0.02938411320456185</v>
      </c>
    </row>
    <row r="31">
      <c r="A31" s="4" t="inlineStr">
        <is>
          <t>CapEx % Revenue</t>
        </is>
      </c>
      <c r="G31" s="6" t="n">
        <v>0.03404154732329826</v>
      </c>
      <c r="H31" s="6" t="n">
        <v>0.03404154732329826</v>
      </c>
      <c r="I31" s="6" t="n">
        <v>0.03404154732329826</v>
      </c>
      <c r="J31" s="6" t="n">
        <v>0.03404154732329826</v>
      </c>
      <c r="K31" s="6" t="n">
        <v>0.03404154732329826</v>
      </c>
    </row>
    <row r="32">
      <c r="A32" s="4" t="inlineStr">
        <is>
          <t>Tax Rate</t>
        </is>
      </c>
      <c r="G32" s="6" t="n">
        <v>0.1655990569340131</v>
      </c>
      <c r="H32" s="6" t="n">
        <v>0.1655990569340131</v>
      </c>
      <c r="I32" s="6" t="n">
        <v>0.1655990569340131</v>
      </c>
      <c r="J32" s="6" t="n">
        <v>0.1655990569340131</v>
      </c>
      <c r="K32" s="6" t="n">
        <v>0.1655990569340131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0.0872</v>
      </c>
    </row>
    <row r="36">
      <c r="A36" s="4" t="inlineStr">
        <is>
          <t>WACC - Bull</t>
        </is>
      </c>
      <c r="C36" s="6" t="n">
        <v>0.0772</v>
      </c>
    </row>
    <row r="37">
      <c r="A37" s="4" t="inlineStr">
        <is>
          <t>WACC - Bear</t>
        </is>
      </c>
      <c r="C37" s="6" t="n">
        <v>0.09719999999999999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11</v>
      </c>
    </row>
    <row r="41">
      <c r="A41" s="4" t="inlineStr">
        <is>
          <t>Terminal Value Multiple - Bull</t>
        </is>
      </c>
      <c r="C41" s="9" t="n">
        <v>13</v>
      </c>
    </row>
    <row r="42">
      <c r="A42" s="4" t="inlineStr">
        <is>
          <t>Terminal Value Multiple - Bear</t>
        </is>
      </c>
      <c r="C42" s="9" t="n">
        <v>9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Visa Inc. (V)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29310</v>
      </c>
      <c r="D6" s="5" t="n">
        <v>32653</v>
      </c>
      <c r="E6" s="5" t="n">
        <v>35926</v>
      </c>
      <c r="F6" s="5" t="n">
        <v>40000</v>
      </c>
    </row>
    <row r="7">
      <c r="A7" s="4" t="inlineStr">
        <is>
          <t>Cost of Revenue</t>
        </is>
      </c>
      <c r="C7" s="5" t="n">
        <v>5733</v>
      </c>
      <c r="D7" s="5" t="n">
        <v>6567</v>
      </c>
      <c r="E7" s="5" t="n">
        <v>7042</v>
      </c>
      <c r="F7" s="5" t="n">
        <v>7855</v>
      </c>
    </row>
    <row r="8">
      <c r="A8" s="2" t="inlineStr">
        <is>
          <t>Gross Profit</t>
        </is>
      </c>
      <c r="C8" s="5" t="n">
        <v>23577</v>
      </c>
      <c r="D8" s="5" t="n">
        <v>26086</v>
      </c>
      <c r="E8" s="5" t="n">
        <v>28884</v>
      </c>
      <c r="F8" s="5" t="n">
        <v>32145</v>
      </c>
    </row>
    <row r="9">
      <c r="A9" s="4" t="inlineStr">
        <is>
          <t xml:space="preserve">  Gross Margin</t>
        </is>
      </c>
      <c r="C9" s="11" t="n">
        <v>0.8044012282497441</v>
      </c>
      <c r="D9" s="11" t="n">
        <v>0.7988852479098398</v>
      </c>
      <c r="E9" s="11" t="n">
        <v>0.803985971162946</v>
      </c>
      <c r="F9" s="11" t="n">
        <v>0.803625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3035</v>
      </c>
      <c r="D12" s="5" t="n">
        <v>3216</v>
      </c>
      <c r="E12" s="5" t="n">
        <v>3793</v>
      </c>
      <c r="F12" s="5" t="n">
        <v>4369</v>
      </c>
    </row>
    <row r="13">
      <c r="A13" s="2" t="inlineStr">
        <is>
          <t>Operating Income (EBIT)</t>
        </is>
      </c>
      <c r="C13" s="5" t="n">
        <v>19681</v>
      </c>
      <c r="D13" s="5" t="n">
        <v>21927</v>
      </c>
      <c r="E13" s="5" t="n">
        <v>24057</v>
      </c>
      <c r="F13" s="5" t="n">
        <v>26556</v>
      </c>
    </row>
    <row r="14">
      <c r="A14" s="4" t="inlineStr">
        <is>
          <t xml:space="preserve">  EBIT Margin</t>
        </is>
      </c>
      <c r="C14" s="11" t="n">
        <v>0.6714773114977823</v>
      </c>
      <c r="D14" s="11" t="n">
        <v>0.6715156340918139</v>
      </c>
      <c r="E14" s="11" t="n">
        <v>0.6696264543784446</v>
      </c>
      <c r="F14" s="11" t="n">
        <v>0.6639</v>
      </c>
    </row>
    <row r="16">
      <c r="A16" s="4" t="inlineStr">
        <is>
          <t>Interest Expense</t>
        </is>
      </c>
      <c r="C16" s="5" t="n">
        <v>538</v>
      </c>
      <c r="D16" s="5" t="n">
        <v>644</v>
      </c>
      <c r="E16" s="5" t="n">
        <v>641</v>
      </c>
      <c r="F16" s="5" t="n">
        <v>589</v>
      </c>
    </row>
    <row r="17">
      <c r="A17" s="4" t="inlineStr">
        <is>
          <t>Tax Provision</t>
        </is>
      </c>
      <c r="C17" s="5" t="n">
        <v>3179</v>
      </c>
      <c r="D17" s="5" t="n">
        <v>3764</v>
      </c>
      <c r="E17" s="5" t="n">
        <v>4173</v>
      </c>
      <c r="F17" s="5" t="n">
        <v>4136</v>
      </c>
    </row>
    <row r="18">
      <c r="A18" s="2" t="inlineStr">
        <is>
          <t>Net Income</t>
        </is>
      </c>
      <c r="C18" s="5" t="n">
        <v>14957</v>
      </c>
      <c r="D18" s="5" t="n">
        <v>17273</v>
      </c>
      <c r="E18" s="5" t="n">
        <v>19743</v>
      </c>
      <c r="F18" s="5" t="n">
        <v>20058</v>
      </c>
    </row>
    <row r="19">
      <c r="A19" s="4" t="inlineStr">
        <is>
          <t xml:space="preserve">  Net Margin</t>
        </is>
      </c>
      <c r="C19" s="11" t="n">
        <v>0.5103036506311839</v>
      </c>
      <c r="D19" s="11" t="n">
        <v>0.5289866168499066</v>
      </c>
      <c r="E19" s="11" t="n">
        <v>0.5495462895952792</v>
      </c>
      <c r="F19" s="11" t="n">
        <v>0.50145</v>
      </c>
    </row>
    <row r="21">
      <c r="A21" s="2" t="inlineStr">
        <is>
          <t>EBITDA</t>
        </is>
      </c>
      <c r="C21" s="5" t="n">
        <v>19535</v>
      </c>
      <c r="D21" s="5" t="n">
        <v>22624</v>
      </c>
      <c r="E21" s="5" t="n">
        <v>25591</v>
      </c>
      <c r="F21" s="5" t="n">
        <v>26003</v>
      </c>
    </row>
    <row r="22">
      <c r="A22" s="4" t="inlineStr">
        <is>
          <t xml:space="preserve">  EBITDA Margin</t>
        </is>
      </c>
      <c r="C22" s="11" t="n">
        <v>0.6664960764244285</v>
      </c>
      <c r="D22" s="11" t="n">
        <v>0.6928612991149359</v>
      </c>
      <c r="E22" s="11" t="n">
        <v>0.7123253354116795</v>
      </c>
      <c r="F22" s="11" t="n">
        <v>0.650075</v>
      </c>
    </row>
    <row r="23">
      <c r="A23" s="4" t="inlineStr">
        <is>
          <t>Diluted EPS</t>
        </is>
      </c>
      <c r="C23" s="12" t="n">
        <v>7</v>
      </c>
      <c r="D23" s="12" t="n">
        <v>8.279999999999999</v>
      </c>
      <c r="E23" s="12" t="n">
        <v>9.73</v>
      </c>
      <c r="F23" s="12" t="n">
        <v>10.2</v>
      </c>
    </row>
    <row r="24">
      <c r="A24" s="4" t="inlineStr">
        <is>
          <t>D&amp;A</t>
        </is>
      </c>
      <c r="C24" s="5" t="n">
        <v>861</v>
      </c>
      <c r="D24" s="5" t="n">
        <v>943</v>
      </c>
      <c r="E24" s="5" t="n">
        <v>1034</v>
      </c>
      <c r="F24" s="5" t="n">
        <v>1220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15689</v>
      </c>
      <c r="D28" s="5" t="n">
        <v>16286</v>
      </c>
      <c r="E28" s="5" t="n">
        <v>11975</v>
      </c>
      <c r="F28" s="5" t="n">
        <v>17164</v>
      </c>
    </row>
    <row r="29">
      <c r="A29" s="4" t="inlineStr">
        <is>
          <t>Current Assets</t>
        </is>
      </c>
      <c r="C29" s="5" t="n">
        <v>30205</v>
      </c>
      <c r="D29" s="5" t="n">
        <v>33532</v>
      </c>
      <c r="E29" s="5" t="n">
        <v>34033</v>
      </c>
      <c r="F29" s="5" t="n">
        <v>37766</v>
      </c>
    </row>
    <row r="30">
      <c r="A30" s="4" t="inlineStr">
        <is>
          <t>Net PP&amp;E</t>
        </is>
      </c>
      <c r="C30" s="5" t="n">
        <v>3223</v>
      </c>
      <c r="D30" s="5" t="n">
        <v>3425</v>
      </c>
      <c r="E30" s="5" t="n">
        <v>3824</v>
      </c>
      <c r="F30" s="5" t="n">
        <v>4236</v>
      </c>
    </row>
    <row r="31">
      <c r="A31" s="4" t="inlineStr">
        <is>
          <t>Goodwill</t>
        </is>
      </c>
      <c r="C31" s="5" t="n">
        <v>17787</v>
      </c>
      <c r="D31" s="5" t="n">
        <v>17997</v>
      </c>
      <c r="E31" s="5" t="n">
        <v>18941</v>
      </c>
      <c r="F31" s="5" t="n">
        <v>19879</v>
      </c>
    </row>
    <row r="32">
      <c r="A32" s="2" t="inlineStr">
        <is>
          <t>Total Assets</t>
        </is>
      </c>
      <c r="C32" s="5" t="n">
        <v>85501</v>
      </c>
      <c r="D32" s="5" t="n">
        <v>90499</v>
      </c>
      <c r="E32" s="5" t="n">
        <v>94511</v>
      </c>
      <c r="F32" s="5" t="n">
        <v>99627</v>
      </c>
    </row>
    <row r="34">
      <c r="A34" s="4" t="inlineStr">
        <is>
          <t>Current Liabilities</t>
        </is>
      </c>
      <c r="C34" s="5" t="n">
        <v>20853</v>
      </c>
      <c r="D34" s="5" t="n">
        <v>23098</v>
      </c>
      <c r="E34" s="5" t="n">
        <v>26517</v>
      </c>
      <c r="F34" s="5" t="n">
        <v>35048</v>
      </c>
    </row>
    <row r="35">
      <c r="A35" s="4" t="inlineStr">
        <is>
          <t>Total Debt</t>
        </is>
      </c>
      <c r="C35" s="5" t="n">
        <v>22450</v>
      </c>
      <c r="D35" s="5" t="n">
        <v>20463</v>
      </c>
      <c r="E35" s="5" t="n">
        <v>20836</v>
      </c>
      <c r="F35" s="5" t="n">
        <v>25171</v>
      </c>
    </row>
    <row r="36">
      <c r="A36" s="2" t="inlineStr">
        <is>
          <t>Total Liabilities</t>
        </is>
      </c>
      <c r="C36" s="5" t="n">
        <v>49920</v>
      </c>
      <c r="D36" s="5" t="n">
        <v>51766</v>
      </c>
      <c r="E36" s="5" t="n">
        <v>55374</v>
      </c>
      <c r="F36" s="5" t="n">
        <v>61718</v>
      </c>
    </row>
    <row r="38">
      <c r="A38" s="2" t="inlineStr">
        <is>
          <t>Total Equity</t>
        </is>
      </c>
      <c r="C38" s="5" t="n">
        <v>35581</v>
      </c>
      <c r="D38" s="5" t="n">
        <v>38733</v>
      </c>
      <c r="E38" s="5" t="n">
        <v>39137</v>
      </c>
      <c r="F38" s="5" t="n">
        <v>37909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18849</v>
      </c>
      <c r="D42" s="5" t="n">
        <v>20755</v>
      </c>
      <c r="E42" s="5" t="n">
        <v>19950</v>
      </c>
      <c r="F42" s="5" t="n">
        <v>23059</v>
      </c>
    </row>
    <row r="43">
      <c r="A43" s="4" t="inlineStr">
        <is>
          <t>Capital Expenditure</t>
        </is>
      </c>
      <c r="C43" s="5" t="n">
        <v>-970</v>
      </c>
      <c r="D43" s="5" t="n">
        <v>-1059</v>
      </c>
      <c r="E43" s="5" t="n">
        <v>-1257</v>
      </c>
      <c r="F43" s="5" t="n">
        <v>-1482</v>
      </c>
    </row>
    <row r="44">
      <c r="A44" s="2" t="inlineStr">
        <is>
          <t>Free Cash Flow</t>
        </is>
      </c>
      <c r="C44" s="5" t="n">
        <v>17879</v>
      </c>
      <c r="D44" s="5" t="n">
        <v>19696</v>
      </c>
      <c r="E44" s="5" t="n">
        <v>18693</v>
      </c>
      <c r="F44" s="5" t="n">
        <v>21577</v>
      </c>
    </row>
    <row r="46">
      <c r="A46" s="4" t="inlineStr">
        <is>
          <t>D&amp;A</t>
        </is>
      </c>
      <c r="C46" s="5" t="n">
        <v>861</v>
      </c>
      <c r="D46" s="5" t="n">
        <v>943</v>
      </c>
      <c r="E46" s="5" t="n">
        <v>1034</v>
      </c>
      <c r="F46" s="5" t="n">
        <v>1220</v>
      </c>
    </row>
    <row r="47">
      <c r="A47" s="4" t="inlineStr">
        <is>
          <t>Stock-Based Compensation</t>
        </is>
      </c>
      <c r="C47" s="5" t="n">
        <v>602</v>
      </c>
      <c r="D47" s="5" t="n">
        <v>765</v>
      </c>
      <c r="E47" s="5" t="n">
        <v>850</v>
      </c>
      <c r="F47" s="5" t="n">
        <v>897</v>
      </c>
    </row>
    <row r="48">
      <c r="A48" s="4" t="inlineStr">
        <is>
          <t>Change in Working Capital</t>
        </is>
      </c>
      <c r="C48" s="5" t="n">
        <v>-7657</v>
      </c>
      <c r="D48" s="5" t="n">
        <v>-10022</v>
      </c>
      <c r="E48" s="5" t="n">
        <v>-15432</v>
      </c>
      <c r="F48" s="5" t="n">
        <v>-15172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Visa Inc. (V)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Credit Services</t>
        </is>
      </c>
      <c r="C8" s="5" t="n">
        <v>29310</v>
      </c>
      <c r="D8" s="5" t="n">
        <v>32653</v>
      </c>
      <c r="E8" s="5" t="n">
        <v>35926</v>
      </c>
      <c r="F8" s="5" t="n">
        <v>40000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5733</v>
      </c>
      <c r="D16" s="5" t="n">
        <v>6567</v>
      </c>
      <c r="E16" s="5" t="n">
        <v>7042</v>
      </c>
      <c r="F16" s="5" t="n">
        <v>7855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3035</v>
      </c>
      <c r="D20" s="5" t="n">
        <v>3216</v>
      </c>
      <c r="E20" s="5" t="n">
        <v>3793</v>
      </c>
      <c r="F20" s="5" t="n">
        <v>4369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861</v>
      </c>
      <c r="D22" s="5" t="n">
        <v>943</v>
      </c>
      <c r="E22" s="5" t="n">
        <v>1034</v>
      </c>
      <c r="F22" s="5" t="n">
        <v>1220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538</v>
      </c>
      <c r="D29" s="5" t="n">
        <v>644</v>
      </c>
      <c r="E29" s="5" t="n">
        <v>641</v>
      </c>
      <c r="F29" s="5" t="n">
        <v>589</v>
      </c>
      <c r="G29" s="5" t="n">
        <v>589</v>
      </c>
      <c r="H29" s="5" t="n">
        <v>589</v>
      </c>
      <c r="I29" s="5" t="n">
        <v>589</v>
      </c>
      <c r="J29" s="5" t="n">
        <v>589</v>
      </c>
      <c r="K29" s="5" t="n">
        <v>589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3179</v>
      </c>
      <c r="D31" s="5" t="n">
        <v>3764</v>
      </c>
      <c r="E31" s="5" t="n">
        <v>4173</v>
      </c>
      <c r="F31" s="5" t="n">
        <v>4136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-7657</v>
      </c>
      <c r="D39" s="5" t="n">
        <v>-10022</v>
      </c>
      <c r="E39" s="5" t="n">
        <v>-15432</v>
      </c>
      <c r="F39" s="5" t="n">
        <v>-15172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-970</v>
      </c>
      <c r="D42" s="5" t="n">
        <v>-1059</v>
      </c>
      <c r="E42" s="5" t="n">
        <v>-1257</v>
      </c>
      <c r="F42" s="5" t="n">
        <v>-1482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Visa Inc. (V)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295.52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-8007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1681.093942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C33/295.52-1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7x</t>
        </is>
      </c>
      <c r="D38" s="1" t="inlineStr">
        <is>
          <t>9x</t>
        </is>
      </c>
      <c r="E38" s="1" t="inlineStr">
        <is>
          <t>11x</t>
        </is>
      </c>
      <c r="F38" s="1" t="inlineStr">
        <is>
          <t>13x</t>
        </is>
      </c>
      <c r="G38" s="1" t="inlineStr">
        <is>
          <t>15x</t>
        </is>
      </c>
    </row>
    <row r="39">
      <c r="A39" s="21" t="n">
        <v>0.0572</v>
      </c>
      <c r="C39" s="22">
        <f>(G$12/(1+$A$39)^1+H$12/(1+$A$39)^2+I$12/(1+$A$39)^3+J$12/(1+$A$39)^4+K$12/(1+$A$39)^5+K$8*7/(1+$A$39)^5+$C$29)/$C$32</f>
        <v/>
      </c>
      <c r="D39" s="22">
        <f>(G$12/(1+$A$39)^1+H$12/(1+$A$39)^2+I$12/(1+$A$39)^3+J$12/(1+$A$39)^4+K$12/(1+$A$39)^5+K$8*9/(1+$A$39)^5+$C$29)/$C$32</f>
        <v/>
      </c>
      <c r="E39" s="22">
        <f>(G$12/(1+$A$39)^1+H$12/(1+$A$39)^2+I$12/(1+$A$39)^3+J$12/(1+$A$39)^4+K$12/(1+$A$39)^5+K$8*11/(1+$A$39)^5+$C$29)/$C$32</f>
        <v/>
      </c>
      <c r="F39" s="22">
        <f>(G$12/(1+$A$39)^1+H$12/(1+$A$39)^2+I$12/(1+$A$39)^3+J$12/(1+$A$39)^4+K$12/(1+$A$39)^5+K$8*13/(1+$A$39)^5+$C$29)/$C$32</f>
        <v/>
      </c>
      <c r="G39" s="22">
        <f>(G$12/(1+$A$39)^1+H$12/(1+$A$39)^2+I$12/(1+$A$39)^3+J$12/(1+$A$39)^4+K$12/(1+$A$39)^5+K$8*15/(1+$A$39)^5+$C$29)/$C$32</f>
        <v/>
      </c>
    </row>
    <row r="40">
      <c r="A40" s="21" t="n">
        <v>0.0672</v>
      </c>
      <c r="C40" s="22">
        <f>(G$12/(1+$A$40)^1+H$12/(1+$A$40)^2+I$12/(1+$A$40)^3+J$12/(1+$A$40)^4+K$12/(1+$A$40)^5+K$8*7/(1+$A$40)^5+$C$29)/$C$32</f>
        <v/>
      </c>
      <c r="D40" s="22">
        <f>(G$12/(1+$A$40)^1+H$12/(1+$A$40)^2+I$12/(1+$A$40)^3+J$12/(1+$A$40)^4+K$12/(1+$A$40)^5+K$8*9/(1+$A$40)^5+$C$29)/$C$32</f>
        <v/>
      </c>
      <c r="E40" s="22">
        <f>(G$12/(1+$A$40)^1+H$12/(1+$A$40)^2+I$12/(1+$A$40)^3+J$12/(1+$A$40)^4+K$12/(1+$A$40)^5+K$8*11/(1+$A$40)^5+$C$29)/$C$32</f>
        <v/>
      </c>
      <c r="F40" s="22">
        <f>(G$12/(1+$A$40)^1+H$12/(1+$A$40)^2+I$12/(1+$A$40)^3+J$12/(1+$A$40)^4+K$12/(1+$A$40)^5+K$8*13/(1+$A$40)^5+$C$29)/$C$32</f>
        <v/>
      </c>
      <c r="G40" s="22">
        <f>(G$12/(1+$A$40)^1+H$12/(1+$A$40)^2+I$12/(1+$A$40)^3+J$12/(1+$A$40)^4+K$12/(1+$A$40)^5+K$8*15/(1+$A$40)^5+$C$29)/$C$32</f>
        <v/>
      </c>
    </row>
    <row r="41">
      <c r="A41" s="21" t="n">
        <v>0.0772</v>
      </c>
      <c r="C41" s="22">
        <f>(G$12/(1+$A$41)^1+H$12/(1+$A$41)^2+I$12/(1+$A$41)^3+J$12/(1+$A$41)^4+K$12/(1+$A$41)^5+K$8*7/(1+$A$41)^5+$C$29)/$C$32</f>
        <v/>
      </c>
      <c r="D41" s="22">
        <f>(G$12/(1+$A$41)^1+H$12/(1+$A$41)^2+I$12/(1+$A$41)^3+J$12/(1+$A$41)^4+K$12/(1+$A$41)^5+K$8*9/(1+$A$41)^5+$C$29)/$C$32</f>
        <v/>
      </c>
      <c r="E41" s="22">
        <f>(G$12/(1+$A$41)^1+H$12/(1+$A$41)^2+I$12/(1+$A$41)^3+J$12/(1+$A$41)^4+K$12/(1+$A$41)^5+K$8*11/(1+$A$41)^5+$C$29)/$C$32</f>
        <v/>
      </c>
      <c r="F41" s="22">
        <f>(G$12/(1+$A$41)^1+H$12/(1+$A$41)^2+I$12/(1+$A$41)^3+J$12/(1+$A$41)^4+K$12/(1+$A$41)^5+K$8*13/(1+$A$41)^5+$C$29)/$C$32</f>
        <v/>
      </c>
      <c r="G41" s="22">
        <f>(G$12/(1+$A$41)^1+H$12/(1+$A$41)^2+I$12/(1+$A$41)^3+J$12/(1+$A$41)^4+K$12/(1+$A$41)^5+K$8*15/(1+$A$41)^5+$C$29)/$C$32</f>
        <v/>
      </c>
    </row>
    <row r="42">
      <c r="A42" s="21" t="n">
        <v>0.0872</v>
      </c>
      <c r="C42" s="22">
        <f>(G$12/(1+$A$42)^1+H$12/(1+$A$42)^2+I$12/(1+$A$42)^3+J$12/(1+$A$42)^4+K$12/(1+$A$42)^5+K$8*7/(1+$A$42)^5+$C$29)/$C$32</f>
        <v/>
      </c>
      <c r="D42" s="22">
        <f>(G$12/(1+$A$42)^1+H$12/(1+$A$42)^2+I$12/(1+$A$42)^3+J$12/(1+$A$42)^4+K$12/(1+$A$42)^5+K$8*9/(1+$A$42)^5+$C$29)/$C$32</f>
        <v/>
      </c>
      <c r="E42" s="23">
        <f>(G$12/(1+$A$42)^1+H$12/(1+$A$42)^2+I$12/(1+$A$42)^3+J$12/(1+$A$42)^4+K$12/(1+$A$42)^5+K$8*11/(1+$A$42)^5+$C$29)/$C$32</f>
        <v/>
      </c>
      <c r="F42" s="22">
        <f>(G$12/(1+$A$42)^1+H$12/(1+$A$42)^2+I$12/(1+$A$42)^3+J$12/(1+$A$42)^4+K$12/(1+$A$42)^5+K$8*13/(1+$A$42)^5+$C$29)/$C$32</f>
        <v/>
      </c>
      <c r="G42" s="22">
        <f>(G$12/(1+$A$42)^1+H$12/(1+$A$42)^2+I$12/(1+$A$42)^3+J$12/(1+$A$42)^4+K$12/(1+$A$42)^5+K$8*15/(1+$A$42)^5+$C$29)/$C$32</f>
        <v/>
      </c>
    </row>
    <row r="43">
      <c r="A43" s="21" t="n">
        <v>0.09719999999999999</v>
      </c>
      <c r="C43" s="22">
        <f>(G$12/(1+$A$43)^1+H$12/(1+$A$43)^2+I$12/(1+$A$43)^3+J$12/(1+$A$43)^4+K$12/(1+$A$43)^5+K$8*7/(1+$A$43)^5+$C$29)/$C$32</f>
        <v/>
      </c>
      <c r="D43" s="22">
        <f>(G$12/(1+$A$43)^1+H$12/(1+$A$43)^2+I$12/(1+$A$43)^3+J$12/(1+$A$43)^4+K$12/(1+$A$43)^5+K$8*9/(1+$A$43)^5+$C$29)/$C$32</f>
        <v/>
      </c>
      <c r="E43" s="22">
        <f>(G$12/(1+$A$43)^1+H$12/(1+$A$43)^2+I$12/(1+$A$43)^3+J$12/(1+$A$43)^4+K$12/(1+$A$43)^5+K$8*11/(1+$A$43)^5+$C$29)/$C$32</f>
        <v/>
      </c>
      <c r="F43" s="22">
        <f>(G$12/(1+$A$43)^1+H$12/(1+$A$43)^2+I$12/(1+$A$43)^3+J$12/(1+$A$43)^4+K$12/(1+$A$43)^5+K$8*13/(1+$A$43)^5+$C$29)/$C$32</f>
        <v/>
      </c>
      <c r="G43" s="22">
        <f>(G$12/(1+$A$43)^1+H$12/(1+$A$43)^2+I$12/(1+$A$43)^3+J$12/(1+$A$43)^4+K$12/(1+$A$43)^5+K$8*15/(1+$A$43)^5+$C$29)/$C$32</f>
        <v/>
      </c>
    </row>
    <row r="44">
      <c r="A44" s="21" t="n">
        <v>0.1072</v>
      </c>
      <c r="C44" s="22">
        <f>(G$12/(1+$A$44)^1+H$12/(1+$A$44)^2+I$12/(1+$A$44)^3+J$12/(1+$A$44)^4+K$12/(1+$A$44)^5+K$8*7/(1+$A$44)^5+$C$29)/$C$32</f>
        <v/>
      </c>
      <c r="D44" s="22">
        <f>(G$12/(1+$A$44)^1+H$12/(1+$A$44)^2+I$12/(1+$A$44)^3+J$12/(1+$A$44)^4+K$12/(1+$A$44)^5+K$8*9/(1+$A$44)^5+$C$29)/$C$32</f>
        <v/>
      </c>
      <c r="E44" s="22">
        <f>(G$12/(1+$A$44)^1+H$12/(1+$A$44)^2+I$12/(1+$A$44)^3+J$12/(1+$A$44)^4+K$12/(1+$A$44)^5+K$8*11/(1+$A$44)^5+$C$29)/$C$32</f>
        <v/>
      </c>
      <c r="F44" s="22">
        <f>(G$12/(1+$A$44)^1+H$12/(1+$A$44)^2+I$12/(1+$A$44)^3+J$12/(1+$A$44)^4+K$12/(1+$A$44)^5+K$8*13/(1+$A$44)^5+$C$29)/$C$32</f>
        <v/>
      </c>
      <c r="G44" s="22">
        <f>(G$12/(1+$A$44)^1+H$12/(1+$A$44)^2+I$12/(1+$A$44)^3+J$12/(1+$A$44)^4+K$12/(1+$A$44)^5+K$8*15/(1+$A$44)^5+$C$29)/$C$32</f>
        <v/>
      </c>
    </row>
    <row r="45">
      <c r="A45" s="21" t="n">
        <v>0.1172</v>
      </c>
      <c r="C45" s="22">
        <f>(G$12/(1+$A$45)^1+H$12/(1+$A$45)^2+I$12/(1+$A$45)^3+J$12/(1+$A$45)^4+K$12/(1+$A$45)^5+K$8*7/(1+$A$45)^5+$C$29)/$C$32</f>
        <v/>
      </c>
      <c r="D45" s="22">
        <f>(G$12/(1+$A$45)^1+H$12/(1+$A$45)^2+I$12/(1+$A$45)^3+J$12/(1+$A$45)^4+K$12/(1+$A$45)^5+K$8*9/(1+$A$45)^5+$C$29)/$C$32</f>
        <v/>
      </c>
      <c r="E45" s="22">
        <f>(G$12/(1+$A$45)^1+H$12/(1+$A$45)^2+I$12/(1+$A$45)^3+J$12/(1+$A$45)^4+K$12/(1+$A$45)^5+K$8*11/(1+$A$45)^5+$C$29)/$C$32</f>
        <v/>
      </c>
      <c r="F45" s="22">
        <f>(G$12/(1+$A$45)^1+H$12/(1+$A$45)^2+I$12/(1+$A$45)^3+J$12/(1+$A$45)^4+K$12/(1+$A$45)^5+K$8*13/(1+$A$45)^5+$C$29)/$C$32</f>
        <v/>
      </c>
      <c r="G45" s="22">
        <f>(G$12/(1+$A$45)^1+H$12/(1+$A$45)^2+I$12/(1+$A$45)^3+J$12/(1+$A$45)^4+K$12/(1+$A$45)^5+K$8*15/(1+$A$45)^5+$C$29)/$C$32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2026-03-28T17:35:49Z</dcterms:created>
  <dcterms:modified xmlns:dcterms="http://purl.org/dc/terms/" xmlns:xsi="http://www.w3.org/2001/XMLSchema-instance" xsi:type="dcterms:W3CDTF">2026-03-28T17:35:49Z</dcterms:modified>
</cp:coreProperties>
</file>