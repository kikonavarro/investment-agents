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SK hynix Inc. (000660_KS)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Semiconductors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44621568</v>
      </c>
      <c r="D7" s="5" t="n">
        <v>32765719</v>
      </c>
      <c r="E7" s="5" t="n">
        <v>66192960</v>
      </c>
      <c r="F7" s="5" t="n">
        <v>97146675</v>
      </c>
    </row>
    <row r="8">
      <c r="A8" s="4" t="inlineStr">
        <is>
          <t xml:space="preserve">  Revenue Growth - Base</t>
        </is>
      </c>
      <c r="G8" s="6" t="n">
        <v>0</v>
      </c>
      <c r="H8" s="6" t="n">
        <v>-0.05</v>
      </c>
      <c r="I8" s="6" t="n">
        <v>0.05</v>
      </c>
      <c r="J8" s="6" t="n">
        <v>0.05</v>
      </c>
      <c r="K8" s="6" t="n">
        <v>0.04</v>
      </c>
    </row>
    <row r="9">
      <c r="A9" s="4" t="inlineStr">
        <is>
          <t xml:space="preserve">  Revenue Growth - Bull</t>
        </is>
      </c>
      <c r="G9" s="6" t="n">
        <v>0.15</v>
      </c>
      <c r="H9" s="6" t="n">
        <v>0.08</v>
      </c>
      <c r="I9" s="6" t="n">
        <v>0.06</v>
      </c>
      <c r="J9" s="6" t="n">
        <v>0.04</v>
      </c>
      <c r="K9" s="6" t="n">
        <v>0.03</v>
      </c>
    </row>
    <row r="10">
      <c r="A10" s="4" t="inlineStr">
        <is>
          <t xml:space="preserve">  Revenue Growth - Bear</t>
        </is>
      </c>
      <c r="G10" s="6" t="n">
        <v>-0.05</v>
      </c>
      <c r="H10" s="6" t="n">
        <v>-0.12</v>
      </c>
      <c r="I10" s="6" t="n">
        <v>0.03</v>
      </c>
      <c r="J10" s="6" t="n">
        <v>0.08</v>
      </c>
      <c r="K10" s="6" t="n">
        <v>0.05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0.55</v>
      </c>
      <c r="H15" s="6" t="n">
        <v>0.55</v>
      </c>
      <c r="I15" s="6" t="n">
        <v>0.55</v>
      </c>
      <c r="J15" s="6" t="n">
        <v>0.55</v>
      </c>
      <c r="K15" s="6" t="n">
        <v>0.55</v>
      </c>
    </row>
    <row r="16">
      <c r="A16" s="4" t="inlineStr">
        <is>
          <t>Gross Margin - Bull</t>
        </is>
      </c>
      <c r="G16" s="6" t="n">
        <v>0.6</v>
      </c>
      <c r="H16" s="6" t="n">
        <v>0.6</v>
      </c>
      <c r="I16" s="6" t="n">
        <v>0.6</v>
      </c>
      <c r="J16" s="6" t="n">
        <v>0.6</v>
      </c>
      <c r="K16" s="6" t="n">
        <v>0.6</v>
      </c>
    </row>
    <row r="17">
      <c r="A17" s="4" t="inlineStr">
        <is>
          <t>Gross Margin - Bear</t>
        </is>
      </c>
      <c r="G17" s="6" t="n">
        <v>0.45</v>
      </c>
      <c r="H17" s="6" t="n">
        <v>0.45</v>
      </c>
      <c r="I17" s="6" t="n">
        <v>0.45</v>
      </c>
      <c r="J17" s="6" t="n">
        <v>0.45</v>
      </c>
      <c r="K17" s="6" t="n">
        <v>0.45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0.04</v>
      </c>
      <c r="H20" s="6" t="n">
        <v>0.04</v>
      </c>
      <c r="I20" s="6" t="n">
        <v>0.04</v>
      </c>
      <c r="J20" s="6" t="n">
        <v>0.04</v>
      </c>
      <c r="K20" s="6" t="n">
        <v>0.04</v>
      </c>
    </row>
    <row r="21">
      <c r="A21" s="4" t="inlineStr">
        <is>
          <t>SG&amp;A % Revenue - Bull</t>
        </is>
      </c>
      <c r="G21" s="6" t="n">
        <v>0.04</v>
      </c>
      <c r="H21" s="6" t="n">
        <v>0.04</v>
      </c>
      <c r="I21" s="6" t="n">
        <v>0.04</v>
      </c>
      <c r="J21" s="6" t="n">
        <v>0.04</v>
      </c>
      <c r="K21" s="6" t="n">
        <v>0.04</v>
      </c>
    </row>
    <row r="22">
      <c r="A22" s="4" t="inlineStr">
        <is>
          <t>SG&amp;A % Revenue - Bear</t>
        </is>
      </c>
      <c r="G22" s="6" t="n">
        <v>0.04</v>
      </c>
      <c r="H22" s="6" t="n">
        <v>0.04</v>
      </c>
      <c r="I22" s="6" t="n">
        <v>0.04</v>
      </c>
      <c r="J22" s="6" t="n">
        <v>0.04</v>
      </c>
      <c r="K22" s="6" t="n">
        <v>0.04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</v>
      </c>
      <c r="H25" s="6" t="n">
        <v>0.1</v>
      </c>
      <c r="I25" s="6" t="n">
        <v>0.1</v>
      </c>
      <c r="J25" s="6" t="n">
        <v>0.1</v>
      </c>
      <c r="K25" s="6" t="n">
        <v>0.1</v>
      </c>
    </row>
    <row r="26">
      <c r="A26" s="4" t="inlineStr">
        <is>
          <t>R&amp;D % Revenue - Bull</t>
        </is>
      </c>
      <c r="G26" s="6" t="n">
        <v>0.1</v>
      </c>
      <c r="H26" s="6" t="n">
        <v>0.1</v>
      </c>
      <c r="I26" s="6" t="n">
        <v>0.1</v>
      </c>
      <c r="J26" s="6" t="n">
        <v>0.1</v>
      </c>
      <c r="K26" s="6" t="n">
        <v>0.1</v>
      </c>
    </row>
    <row r="27">
      <c r="A27" s="4" t="inlineStr">
        <is>
          <t>R&amp;D % Revenue - Bear</t>
        </is>
      </c>
      <c r="G27" s="6" t="n">
        <v>0.1</v>
      </c>
      <c r="H27" s="6" t="n">
        <v>0.1</v>
      </c>
      <c r="I27" s="6" t="n">
        <v>0.1</v>
      </c>
      <c r="J27" s="6" t="n">
        <v>0.1</v>
      </c>
      <c r="K27" s="6" t="n">
        <v>0.1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0.27</v>
      </c>
      <c r="H30" s="6" t="n">
        <v>0.27</v>
      </c>
      <c r="I30" s="6" t="n">
        <v>0.27</v>
      </c>
      <c r="J30" s="6" t="n">
        <v>0.27</v>
      </c>
      <c r="K30" s="6" t="n">
        <v>0.27</v>
      </c>
    </row>
    <row r="31">
      <c r="A31" s="4" t="inlineStr">
        <is>
          <t>CapEx % Revenue</t>
        </is>
      </c>
      <c r="G31" s="6" t="n">
        <v>0.28</v>
      </c>
      <c r="H31" s="6" t="n">
        <v>0.28</v>
      </c>
      <c r="I31" s="6" t="n">
        <v>0.28</v>
      </c>
      <c r="J31" s="6" t="n">
        <v>0.28</v>
      </c>
      <c r="K31" s="6" t="n">
        <v>0.28</v>
      </c>
    </row>
    <row r="32">
      <c r="A32" s="4" t="inlineStr">
        <is>
          <t>Tax Rate</t>
        </is>
      </c>
      <c r="G32" s="6" t="n">
        <v>0.2</v>
      </c>
      <c r="H32" s="6" t="n">
        <v>0.2</v>
      </c>
      <c r="I32" s="6" t="n">
        <v>0.2</v>
      </c>
      <c r="J32" s="6" t="n">
        <v>0.2</v>
      </c>
      <c r="K32" s="6" t="n">
        <v>0.2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0.105</v>
      </c>
    </row>
    <row r="36">
      <c r="A36" s="4" t="inlineStr">
        <is>
          <t>WACC - Bull</t>
        </is>
      </c>
      <c r="C36" s="6" t="n">
        <v>0.09</v>
      </c>
    </row>
    <row r="37">
      <c r="A37" s="4" t="inlineStr">
        <is>
          <t>WACC - Bear</t>
        </is>
      </c>
      <c r="C37" s="6" t="n">
        <v>0.115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9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7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SK hynix Inc. (000660_KS)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44621568</v>
      </c>
      <c r="D6" s="5" t="n">
        <v>32765719</v>
      </c>
      <c r="E6" s="5" t="n">
        <v>66192960</v>
      </c>
      <c r="F6" s="5" t="n">
        <v>97146675</v>
      </c>
    </row>
    <row r="7">
      <c r="A7" s="4" t="inlineStr">
        <is>
          <t>Cost of Revenue</t>
        </is>
      </c>
      <c r="C7" s="5" t="n">
        <v>28993713</v>
      </c>
      <c r="D7" s="5" t="n">
        <v>33299167</v>
      </c>
      <c r="E7" s="5" t="n">
        <v>34364814</v>
      </c>
      <c r="F7" s="5" t="n">
        <v>38455885</v>
      </c>
    </row>
    <row r="8">
      <c r="A8" s="2" t="inlineStr">
        <is>
          <t>Gross Profit</t>
        </is>
      </c>
      <c r="C8" s="5" t="n">
        <v>15627855</v>
      </c>
      <c r="D8" s="5" t="n">
        <v>-533448</v>
      </c>
      <c r="E8" s="5" t="n">
        <v>31828146</v>
      </c>
      <c r="F8" s="5" t="n">
        <v>58690790</v>
      </c>
    </row>
    <row r="9">
      <c r="A9" s="4" t="inlineStr">
        <is>
          <t xml:space="preserve">  Gross Margin</t>
        </is>
      </c>
      <c r="C9" s="11" t="n">
        <v>0.3502309690237689</v>
      </c>
      <c r="D9" s="11" t="n">
        <v>-0.01628067432306308</v>
      </c>
      <c r="E9" s="11" t="n">
        <v>0.4808388384504939</v>
      </c>
      <c r="F9" s="11" t="n">
        <v>0.6041461532265515</v>
      </c>
    </row>
    <row r="11">
      <c r="A11" s="4" t="inlineStr">
        <is>
          <t>R&amp;D Expense</t>
        </is>
      </c>
      <c r="C11" s="5" t="n">
        <v>4474553</v>
      </c>
      <c r="D11" s="5" t="n">
        <v>3750707</v>
      </c>
      <c r="E11" s="5" t="n">
        <v>4436341</v>
      </c>
      <c r="F11" s="5" t="n">
        <v>6465637</v>
      </c>
    </row>
    <row r="12">
      <c r="A12" s="4" t="inlineStr">
        <is>
          <t>SG&amp;A Expense</t>
        </is>
      </c>
      <c r="C12" s="5" t="n">
        <v>2201083</v>
      </c>
      <c r="D12" s="5" t="n">
        <v>1687940</v>
      </c>
      <c r="E12" s="5" t="n">
        <v>1730058</v>
      </c>
      <c r="F12" s="5" t="n">
        <v>1916619</v>
      </c>
    </row>
    <row r="13">
      <c r="A13" s="2" t="inlineStr">
        <is>
          <t>Operating Income (EBIT)</t>
        </is>
      </c>
      <c r="C13" s="5" t="n">
        <v>6809417</v>
      </c>
      <c r="D13" s="5" t="n">
        <v>-7730313</v>
      </c>
      <c r="E13" s="5" t="n">
        <v>23467319</v>
      </c>
      <c r="F13" s="5" t="n">
        <v>47206319</v>
      </c>
    </row>
    <row r="14">
      <c r="A14" s="4" t="inlineStr">
        <is>
          <t xml:space="preserve">  EBIT Margin</t>
        </is>
      </c>
      <c r="C14" s="11" t="n">
        <v>0.1526037139707865</v>
      </c>
      <c r="D14" s="11" t="n">
        <v>-0.2359268539170467</v>
      </c>
      <c r="E14" s="11" t="n">
        <v>0.3545289257347005</v>
      </c>
      <c r="F14" s="11" t="n">
        <v>0.4859283037736495</v>
      </c>
    </row>
    <row r="16">
      <c r="A16" s="4" t="inlineStr">
        <is>
          <t>Interest Expense</t>
        </is>
      </c>
      <c r="C16" s="5" t="n">
        <v>533114</v>
      </c>
      <c r="D16" s="5" t="n">
        <v>1468273</v>
      </c>
      <c r="E16" s="5" t="n">
        <v>1345239</v>
      </c>
      <c r="F16" s="5" t="n">
        <v>923703</v>
      </c>
    </row>
    <row r="17">
      <c r="A17" s="4" t="inlineStr">
        <is>
          <t>Tax Provision</t>
        </is>
      </c>
      <c r="C17" s="5" t="n">
        <v>1761111</v>
      </c>
      <c r="D17" s="5" t="n">
        <v>-2520269</v>
      </c>
      <c r="E17" s="5" t="n">
        <v>4088448</v>
      </c>
      <c r="F17" s="5" t="n">
        <v>7517650</v>
      </c>
    </row>
    <row r="18">
      <c r="A18" s="2" t="inlineStr">
        <is>
          <t>Net Income</t>
        </is>
      </c>
      <c r="C18" s="5" t="n">
        <v>2229560</v>
      </c>
      <c r="D18" s="5" t="n">
        <v>-9112428</v>
      </c>
      <c r="E18" s="5" t="n">
        <v>19788681</v>
      </c>
      <c r="F18" s="5" t="n">
        <v>42919287</v>
      </c>
    </row>
    <row r="19">
      <c r="A19" s="4" t="inlineStr">
        <is>
          <t xml:space="preserve">  Net Margin</t>
        </is>
      </c>
      <c r="C19" s="11" t="n">
        <v>0.04996597161265153</v>
      </c>
      <c r="D19" s="11" t="n">
        <v>-0.2781085927032457</v>
      </c>
      <c r="E19" s="11" t="n">
        <v>0.298954465852562</v>
      </c>
      <c r="F19" s="11" t="n">
        <v>0.4417988263623022</v>
      </c>
    </row>
    <row r="21">
      <c r="A21" s="2" t="inlineStr">
        <is>
          <t>EBITDA</t>
        </is>
      </c>
      <c r="C21" s="5" t="n">
        <v>18687364</v>
      </c>
      <c r="D21" s="5" t="n">
        <v>3484133</v>
      </c>
      <c r="E21" s="5" t="n">
        <v>37812126</v>
      </c>
      <c r="F21" s="5" t="n">
        <v>65319385</v>
      </c>
    </row>
    <row r="22">
      <c r="A22" s="4" t="inlineStr">
        <is>
          <t xml:space="preserve">  EBITDA Margin</t>
        </is>
      </c>
      <c r="C22" s="11" t="n">
        <v>0.4187966680148936</v>
      </c>
      <c r="D22" s="11" t="n">
        <v>0.1063347030474137</v>
      </c>
      <c r="E22" s="11" t="n">
        <v>0.5712408993343099</v>
      </c>
      <c r="F22" s="11" t="n">
        <v>0.672379008339709</v>
      </c>
    </row>
    <row r="23">
      <c r="A23" s="4" t="inlineStr">
        <is>
          <t>Diluted EPS</t>
        </is>
      </c>
      <c r="C23" s="12" t="n">
        <v>0.003242</v>
      </c>
      <c r="D23" s="12" t="n">
        <v>-0.013244</v>
      </c>
      <c r="E23" s="12" t="n">
        <v>0.028419</v>
      </c>
      <c r="F23" s="12" t="n">
        <v>0</v>
      </c>
    </row>
    <row r="24">
      <c r="A24" s="4" t="inlineStr">
        <is>
          <t>D&amp;A</t>
        </is>
      </c>
      <c r="C24" s="5" t="n">
        <v>14151470</v>
      </c>
      <c r="D24" s="5" t="n">
        <v>13673676</v>
      </c>
      <c r="E24" s="5" t="n">
        <v>12581537</v>
      </c>
      <c r="F24" s="5" t="n">
        <v>13930130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4977007</v>
      </c>
      <c r="D28" s="5" t="n">
        <v>7587329</v>
      </c>
      <c r="E28" s="5" t="n">
        <v>11205117</v>
      </c>
      <c r="F28" s="5" t="n">
        <v>14923766</v>
      </c>
    </row>
    <row r="29">
      <c r="A29" s="4" t="inlineStr">
        <is>
          <t>Current Assets</t>
        </is>
      </c>
      <c r="C29" s="5" t="n">
        <v>28733332</v>
      </c>
      <c r="D29" s="5" t="n">
        <v>30468100</v>
      </c>
      <c r="E29" s="5" t="n">
        <v>42278887</v>
      </c>
      <c r="F29" s="5" t="n">
        <v>69458073</v>
      </c>
    </row>
    <row r="30">
      <c r="A30" s="4" t="inlineStr">
        <is>
          <t>Net PP&amp;E</t>
        </is>
      </c>
      <c r="C30" s="5" t="n">
        <v>62008513</v>
      </c>
      <c r="D30" s="5" t="n">
        <v>55399697</v>
      </c>
      <c r="E30" s="5" t="n">
        <v>62644345</v>
      </c>
      <c r="F30" s="5" t="n">
        <v>79839161</v>
      </c>
    </row>
    <row r="31">
      <c r="A31" s="4" t="inlineStr">
        <is>
          <t>Goodwill</t>
        </is>
      </c>
      <c r="C31" s="5" t="n">
        <v>798723</v>
      </c>
      <c r="D31" s="5" t="n">
        <v>803348</v>
      </c>
      <c r="E31" s="5" t="n">
        <v>848828</v>
      </c>
      <c r="F31" s="5" t="n">
        <v>807523</v>
      </c>
    </row>
    <row r="32">
      <c r="A32" s="2" t="inlineStr">
        <is>
          <t>Total Assets</t>
        </is>
      </c>
      <c r="C32" s="5" t="n">
        <v>103871512</v>
      </c>
      <c r="D32" s="5" t="n">
        <v>100330165</v>
      </c>
      <c r="E32" s="5" t="n">
        <v>119855209</v>
      </c>
      <c r="F32" s="5" t="n">
        <v>176107659</v>
      </c>
    </row>
    <row r="34">
      <c r="A34" s="4" t="inlineStr">
        <is>
          <t>Current Liabilities</t>
        </is>
      </c>
      <c r="C34" s="5" t="n">
        <v>19843696</v>
      </c>
      <c r="D34" s="5" t="n">
        <v>21007810</v>
      </c>
      <c r="E34" s="5" t="n">
        <v>24965444</v>
      </c>
      <c r="F34" s="5" t="n">
        <v>37378999</v>
      </c>
    </row>
    <row r="35">
      <c r="A35" s="4" t="inlineStr">
        <is>
          <t>Total Debt</t>
        </is>
      </c>
      <c r="C35" s="5" t="n">
        <v>24791685</v>
      </c>
      <c r="D35" s="5" t="n">
        <v>32498506</v>
      </c>
      <c r="E35" s="5" t="n">
        <v>25452109</v>
      </c>
      <c r="F35" s="5" t="n">
        <v>24757848</v>
      </c>
    </row>
    <row r="36">
      <c r="A36" s="2" t="inlineStr">
        <is>
          <t>Total Liabilities</t>
        </is>
      </c>
      <c r="C36" s="5" t="n">
        <v>40580970</v>
      </c>
      <c r="D36" s="5" t="n">
        <v>46826413</v>
      </c>
      <c r="E36" s="5" t="n">
        <v>45939505</v>
      </c>
      <c r="F36" s="5" t="n">
        <v>55440908</v>
      </c>
    </row>
    <row r="38">
      <c r="A38" s="2" t="inlineStr">
        <is>
          <t>Total Equity</t>
        </is>
      </c>
      <c r="C38" s="5" t="n">
        <v>63290542</v>
      </c>
      <c r="D38" s="5" t="n">
        <v>53503752</v>
      </c>
      <c r="E38" s="5" t="n">
        <v>73915704</v>
      </c>
      <c r="F38" s="5" t="n">
        <v>120666751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14780517</v>
      </c>
      <c r="D42" s="5" t="n">
        <v>4278191</v>
      </c>
      <c r="E42" s="5" t="n">
        <v>29795885</v>
      </c>
      <c r="F42" s="5" t="n">
        <v>53373126</v>
      </c>
    </row>
    <row r="43">
      <c r="A43" s="4" t="inlineStr">
        <is>
          <t>Capital Expenditure</t>
        </is>
      </c>
      <c r="C43" s="5" t="n">
        <v>-19748882</v>
      </c>
      <c r="D43" s="5" t="n">
        <v>-8779848</v>
      </c>
      <c r="E43" s="5" t="n">
        <v>-16662640</v>
      </c>
      <c r="F43" s="5" t="n">
        <v>-28579343</v>
      </c>
    </row>
    <row r="44">
      <c r="A44" s="2" t="inlineStr">
        <is>
          <t>Free Cash Flow</t>
        </is>
      </c>
      <c r="C44" s="5" t="n">
        <v>-4968365</v>
      </c>
      <c r="D44" s="5" t="n">
        <v>-4501657</v>
      </c>
      <c r="E44" s="5" t="n">
        <v>13133245</v>
      </c>
      <c r="F44" s="5" t="n">
        <v>24793783</v>
      </c>
    </row>
    <row r="46">
      <c r="A46" s="4" t="inlineStr">
        <is>
          <t>D&amp;A</t>
        </is>
      </c>
      <c r="C46" s="5" t="n">
        <v>14151470</v>
      </c>
      <c r="D46" s="5" t="n">
        <v>13673676</v>
      </c>
      <c r="E46" s="5" t="n">
        <v>12581537</v>
      </c>
      <c r="F46" s="5" t="n">
        <v>13930130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104110</v>
      </c>
      <c r="F47" s="5" t="n">
        <v>414114</v>
      </c>
    </row>
    <row r="48">
      <c r="A48" s="4" t="inlineStr">
        <is>
          <t>Change in Working Capital</t>
        </is>
      </c>
      <c r="C48" s="5" t="n">
        <v>-2689717</v>
      </c>
      <c r="D48" s="5" t="n">
        <v>793788</v>
      </c>
      <c r="E48" s="5" t="n">
        <v>-5599819</v>
      </c>
      <c r="F48" s="5" t="n">
        <v>-2880977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SK hynix Inc. (000660_KS)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Semiconductors</t>
        </is>
      </c>
      <c r="C8" s="5" t="n">
        <v>44621568</v>
      </c>
      <c r="D8" s="5" t="n">
        <v>32765719</v>
      </c>
      <c r="E8" s="5" t="n">
        <v>66192960</v>
      </c>
      <c r="F8" s="5" t="n">
        <v>97146675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28993713</v>
      </c>
      <c r="D16" s="5" t="n">
        <v>33299167</v>
      </c>
      <c r="E16" s="5" t="n">
        <v>34364814</v>
      </c>
      <c r="F16" s="5" t="n">
        <v>38455885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2201083</v>
      </c>
      <c r="D20" s="5" t="n">
        <v>1687940</v>
      </c>
      <c r="E20" s="5" t="n">
        <v>1730058</v>
      </c>
      <c r="F20" s="5" t="n">
        <v>1916619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4474553</v>
      </c>
      <c r="D21" s="5" t="n">
        <v>3750707</v>
      </c>
      <c r="E21" s="5" t="n">
        <v>4436341</v>
      </c>
      <c r="F21" s="5" t="n">
        <v>6465637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14151470</v>
      </c>
      <c r="D22" s="5" t="n">
        <v>13673676</v>
      </c>
      <c r="E22" s="5" t="n">
        <v>12581537</v>
      </c>
      <c r="F22" s="5" t="n">
        <v>13930130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533114</v>
      </c>
      <c r="D29" s="5" t="n">
        <v>1468273</v>
      </c>
      <c r="E29" s="5" t="n">
        <v>1345239</v>
      </c>
      <c r="F29" s="5" t="n">
        <v>923703</v>
      </c>
      <c r="G29" s="5" t="n">
        <v>923703</v>
      </c>
      <c r="H29" s="5" t="n">
        <v>923703</v>
      </c>
      <c r="I29" s="5" t="n">
        <v>923703</v>
      </c>
      <c r="J29" s="5" t="n">
        <v>923703</v>
      </c>
      <c r="K29" s="5" t="n">
        <v>923703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1761111</v>
      </c>
      <c r="D31" s="5" t="n">
        <v>-2520269</v>
      </c>
      <c r="E31" s="5" t="n">
        <v>4088448</v>
      </c>
      <c r="F31" s="5" t="n">
        <v>7517650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-2689717</v>
      </c>
      <c r="D39" s="5" t="n">
        <v>793788</v>
      </c>
      <c r="E39" s="5" t="n">
        <v>-5599819</v>
      </c>
      <c r="F39" s="5" t="n">
        <v>-2880977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-19748882</v>
      </c>
      <c r="D42" s="5" t="n">
        <v>-8779848</v>
      </c>
      <c r="E42" s="5" t="n">
        <v>-16662640</v>
      </c>
      <c r="F42" s="5" t="n">
        <v>-28579343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SK hynix Inc. (000660_KS)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1222000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-9834082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708.693132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C33/1222000.0-1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5x</t>
        </is>
      </c>
      <c r="D38" s="1" t="inlineStr">
        <is>
          <t>7x</t>
        </is>
      </c>
      <c r="E38" s="1" t="inlineStr">
        <is>
          <t>9x</t>
        </is>
      </c>
      <c r="F38" s="1" t="inlineStr">
        <is>
          <t>11x</t>
        </is>
      </c>
      <c r="G38" s="1" t="inlineStr">
        <is>
          <t>13x</t>
        </is>
      </c>
    </row>
    <row r="39">
      <c r="A39" s="21" t="n">
        <v>0.075</v>
      </c>
      <c r="C39" s="22">
        <f>(G$12/(1+$A$39)^1+H$12/(1+$A$39)^2+I$12/(1+$A$39)^3+J$12/(1+$A$39)^4+K$12/(1+$A$39)^5+K$8*5/(1+$A$39)^5+$C$29)/$C$32</f>
        <v/>
      </c>
      <c r="D39" s="22">
        <f>(G$12/(1+$A$39)^1+H$12/(1+$A$39)^2+I$12/(1+$A$39)^3+J$12/(1+$A$39)^4+K$12/(1+$A$39)^5+K$8*7/(1+$A$39)^5+$C$29)/$C$32</f>
        <v/>
      </c>
      <c r="E39" s="22">
        <f>(G$12/(1+$A$39)^1+H$12/(1+$A$39)^2+I$12/(1+$A$39)^3+J$12/(1+$A$39)^4+K$12/(1+$A$39)^5+K$8*9/(1+$A$39)^5+$C$29)/$C$32</f>
        <v/>
      </c>
      <c r="F39" s="22">
        <f>(G$12/(1+$A$39)^1+H$12/(1+$A$39)^2+I$12/(1+$A$39)^3+J$12/(1+$A$39)^4+K$12/(1+$A$39)^5+K$8*11/(1+$A$39)^5+$C$29)/$C$32</f>
        <v/>
      </c>
      <c r="G39" s="22">
        <f>(G$12/(1+$A$39)^1+H$12/(1+$A$39)^2+I$12/(1+$A$39)^3+J$12/(1+$A$39)^4+K$12/(1+$A$39)^5+K$8*13/(1+$A$39)^5+$C$29)/$C$32</f>
        <v/>
      </c>
    </row>
    <row r="40">
      <c r="A40" s="21" t="n">
        <v>0.08499999999999999</v>
      </c>
      <c r="C40" s="22">
        <f>(G$12/(1+$A$40)^1+H$12/(1+$A$40)^2+I$12/(1+$A$40)^3+J$12/(1+$A$40)^4+K$12/(1+$A$40)^5+K$8*5/(1+$A$40)^5+$C$29)/$C$32</f>
        <v/>
      </c>
      <c r="D40" s="22">
        <f>(G$12/(1+$A$40)^1+H$12/(1+$A$40)^2+I$12/(1+$A$40)^3+J$12/(1+$A$40)^4+K$12/(1+$A$40)^5+K$8*7/(1+$A$40)^5+$C$29)/$C$32</f>
        <v/>
      </c>
      <c r="E40" s="22">
        <f>(G$12/(1+$A$40)^1+H$12/(1+$A$40)^2+I$12/(1+$A$40)^3+J$12/(1+$A$40)^4+K$12/(1+$A$40)^5+K$8*9/(1+$A$40)^5+$C$29)/$C$32</f>
        <v/>
      </c>
      <c r="F40" s="22">
        <f>(G$12/(1+$A$40)^1+H$12/(1+$A$40)^2+I$12/(1+$A$40)^3+J$12/(1+$A$40)^4+K$12/(1+$A$40)^5+K$8*11/(1+$A$40)^5+$C$29)/$C$32</f>
        <v/>
      </c>
      <c r="G40" s="22">
        <f>(G$12/(1+$A$40)^1+H$12/(1+$A$40)^2+I$12/(1+$A$40)^3+J$12/(1+$A$40)^4+K$12/(1+$A$40)^5+K$8*13/(1+$A$40)^5+$C$29)/$C$32</f>
        <v/>
      </c>
    </row>
    <row r="41">
      <c r="A41" s="21" t="n">
        <v>0.095</v>
      </c>
      <c r="C41" s="22">
        <f>(G$12/(1+$A$41)^1+H$12/(1+$A$41)^2+I$12/(1+$A$41)^3+J$12/(1+$A$41)^4+K$12/(1+$A$41)^5+K$8*5/(1+$A$41)^5+$C$29)/$C$32</f>
        <v/>
      </c>
      <c r="D41" s="22">
        <f>(G$12/(1+$A$41)^1+H$12/(1+$A$41)^2+I$12/(1+$A$41)^3+J$12/(1+$A$41)^4+K$12/(1+$A$41)^5+K$8*7/(1+$A$41)^5+$C$29)/$C$32</f>
        <v/>
      </c>
      <c r="E41" s="22">
        <f>(G$12/(1+$A$41)^1+H$12/(1+$A$41)^2+I$12/(1+$A$41)^3+J$12/(1+$A$41)^4+K$12/(1+$A$41)^5+K$8*9/(1+$A$41)^5+$C$29)/$C$32</f>
        <v/>
      </c>
      <c r="F41" s="22">
        <f>(G$12/(1+$A$41)^1+H$12/(1+$A$41)^2+I$12/(1+$A$41)^3+J$12/(1+$A$41)^4+K$12/(1+$A$41)^5+K$8*11/(1+$A$41)^5+$C$29)/$C$32</f>
        <v/>
      </c>
      <c r="G41" s="22">
        <f>(G$12/(1+$A$41)^1+H$12/(1+$A$41)^2+I$12/(1+$A$41)^3+J$12/(1+$A$41)^4+K$12/(1+$A$41)^5+K$8*13/(1+$A$41)^5+$C$29)/$C$32</f>
        <v/>
      </c>
    </row>
    <row r="42">
      <c r="A42" s="21" t="n">
        <v>0.105</v>
      </c>
      <c r="C42" s="22">
        <f>(G$12/(1+$A$42)^1+H$12/(1+$A$42)^2+I$12/(1+$A$42)^3+J$12/(1+$A$42)^4+K$12/(1+$A$42)^5+K$8*5/(1+$A$42)^5+$C$29)/$C$32</f>
        <v/>
      </c>
      <c r="D42" s="22">
        <f>(G$12/(1+$A$42)^1+H$12/(1+$A$42)^2+I$12/(1+$A$42)^3+J$12/(1+$A$42)^4+K$12/(1+$A$42)^5+K$8*7/(1+$A$42)^5+$C$29)/$C$32</f>
        <v/>
      </c>
      <c r="E42" s="23">
        <f>(G$12/(1+$A$42)^1+H$12/(1+$A$42)^2+I$12/(1+$A$42)^3+J$12/(1+$A$42)^4+K$12/(1+$A$42)^5+K$8*9/(1+$A$42)^5+$C$29)/$C$32</f>
        <v/>
      </c>
      <c r="F42" s="22">
        <f>(G$12/(1+$A$42)^1+H$12/(1+$A$42)^2+I$12/(1+$A$42)^3+J$12/(1+$A$42)^4+K$12/(1+$A$42)^5+K$8*11/(1+$A$42)^5+$C$29)/$C$32</f>
        <v/>
      </c>
      <c r="G42" s="22">
        <f>(G$12/(1+$A$42)^1+H$12/(1+$A$42)^2+I$12/(1+$A$42)^3+J$12/(1+$A$42)^4+K$12/(1+$A$42)^5+K$8*13/(1+$A$42)^5+$C$29)/$C$32</f>
        <v/>
      </c>
    </row>
    <row r="43">
      <c r="A43" s="21" t="n">
        <v>0.115</v>
      </c>
      <c r="C43" s="22">
        <f>(G$12/(1+$A$43)^1+H$12/(1+$A$43)^2+I$12/(1+$A$43)^3+J$12/(1+$A$43)^4+K$12/(1+$A$43)^5+K$8*5/(1+$A$43)^5+$C$29)/$C$32</f>
        <v/>
      </c>
      <c r="D43" s="22">
        <f>(G$12/(1+$A$43)^1+H$12/(1+$A$43)^2+I$12/(1+$A$43)^3+J$12/(1+$A$43)^4+K$12/(1+$A$43)^5+K$8*7/(1+$A$43)^5+$C$29)/$C$32</f>
        <v/>
      </c>
      <c r="E43" s="22">
        <f>(G$12/(1+$A$43)^1+H$12/(1+$A$43)^2+I$12/(1+$A$43)^3+J$12/(1+$A$43)^4+K$12/(1+$A$43)^5+K$8*9/(1+$A$43)^5+$C$29)/$C$32</f>
        <v/>
      </c>
      <c r="F43" s="22">
        <f>(G$12/(1+$A$43)^1+H$12/(1+$A$43)^2+I$12/(1+$A$43)^3+J$12/(1+$A$43)^4+K$12/(1+$A$43)^5+K$8*11/(1+$A$43)^5+$C$29)/$C$32</f>
        <v/>
      </c>
      <c r="G43" s="22">
        <f>(G$12/(1+$A$43)^1+H$12/(1+$A$43)^2+I$12/(1+$A$43)^3+J$12/(1+$A$43)^4+K$12/(1+$A$43)^5+K$8*13/(1+$A$43)^5+$C$29)/$C$32</f>
        <v/>
      </c>
    </row>
    <row r="44">
      <c r="A44" s="21" t="n">
        <v>0.125</v>
      </c>
      <c r="C44" s="22">
        <f>(G$12/(1+$A$44)^1+H$12/(1+$A$44)^2+I$12/(1+$A$44)^3+J$12/(1+$A$44)^4+K$12/(1+$A$44)^5+K$8*5/(1+$A$44)^5+$C$29)/$C$32</f>
        <v/>
      </c>
      <c r="D44" s="22">
        <f>(G$12/(1+$A$44)^1+H$12/(1+$A$44)^2+I$12/(1+$A$44)^3+J$12/(1+$A$44)^4+K$12/(1+$A$44)^5+K$8*7/(1+$A$44)^5+$C$29)/$C$32</f>
        <v/>
      </c>
      <c r="E44" s="22">
        <f>(G$12/(1+$A$44)^1+H$12/(1+$A$44)^2+I$12/(1+$A$44)^3+J$12/(1+$A$44)^4+K$12/(1+$A$44)^5+K$8*9/(1+$A$44)^5+$C$29)/$C$32</f>
        <v/>
      </c>
      <c r="F44" s="22">
        <f>(G$12/(1+$A$44)^1+H$12/(1+$A$44)^2+I$12/(1+$A$44)^3+J$12/(1+$A$44)^4+K$12/(1+$A$44)^5+K$8*11/(1+$A$44)^5+$C$29)/$C$32</f>
        <v/>
      </c>
      <c r="G44" s="22">
        <f>(G$12/(1+$A$44)^1+H$12/(1+$A$44)^2+I$12/(1+$A$44)^3+J$12/(1+$A$44)^4+K$12/(1+$A$44)^5+K$8*13/(1+$A$44)^5+$C$29)/$C$32</f>
        <v/>
      </c>
    </row>
    <row r="45">
      <c r="A45" s="21" t="n">
        <v>0.135</v>
      </c>
      <c r="C45" s="22">
        <f>(G$12/(1+$A$45)^1+H$12/(1+$A$45)^2+I$12/(1+$A$45)^3+J$12/(1+$A$45)^4+K$12/(1+$A$45)^5+K$8*5/(1+$A$45)^5+$C$29)/$C$32</f>
        <v/>
      </c>
      <c r="D45" s="22">
        <f>(G$12/(1+$A$45)^1+H$12/(1+$A$45)^2+I$12/(1+$A$45)^3+J$12/(1+$A$45)^4+K$12/(1+$A$45)^5+K$8*7/(1+$A$45)^5+$C$29)/$C$32</f>
        <v/>
      </c>
      <c r="E45" s="22">
        <f>(G$12/(1+$A$45)^1+H$12/(1+$A$45)^2+I$12/(1+$A$45)^3+J$12/(1+$A$45)^4+K$12/(1+$A$45)^5+K$8*9/(1+$A$45)^5+$C$29)/$C$32</f>
        <v/>
      </c>
      <c r="F45" s="22">
        <f>(G$12/(1+$A$45)^1+H$12/(1+$A$45)^2+I$12/(1+$A$45)^3+J$12/(1+$A$45)^4+K$12/(1+$A$45)^5+K$8*11/(1+$A$45)^5+$C$29)/$C$32</f>
        <v/>
      </c>
      <c r="G45" s="22">
        <f>(G$12/(1+$A$45)^1+H$12/(1+$A$45)^2+I$12/(1+$A$45)^3+J$12/(1+$A$45)^4+K$12/(1+$A$45)^5+K$8*13/(1+$A$45)^5+$C$29)/$C$32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2026-04-26T17:04:04Z</dcterms:created>
  <dcterms:modified xmlns:dcterms="http://purl.org/dc/terms/" xmlns:xsi="http://www.w3.org/2001/XMLSchema-instance" xsi:type="dcterms:W3CDTF">2026-04-26T17:04:04Z</dcterms:modified>
</cp:coreProperties>
</file>