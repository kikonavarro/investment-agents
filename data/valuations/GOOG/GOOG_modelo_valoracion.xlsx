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3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Alphabet Inc. (GOOG)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6">
      <c r="A6" s="1" t="inlineStr">
        <is>
          <t>Internet Content &amp; Information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 xml:space="preserve">  Revenue ($M)</t>
        </is>
      </c>
      <c r="C7" s="5" t="n">
        <v>282836</v>
      </c>
      <c r="D7" s="5" t="n">
        <v>307394</v>
      </c>
      <c r="E7" s="5" t="n">
        <v>350018</v>
      </c>
      <c r="F7" s="5" t="n">
        <v>402836</v>
      </c>
    </row>
    <row r="8">
      <c r="A8" s="4" t="inlineStr">
        <is>
          <t xml:space="preserve">  Revenue Growth - Base</t>
        </is>
      </c>
      <c r="G8" s="6" t="n">
        <v>0.18</v>
      </c>
      <c r="H8" s="6" t="n">
        <v>0.162</v>
      </c>
      <c r="I8" s="6" t="n">
        <v>0.144</v>
      </c>
      <c r="J8" s="6" t="n">
        <v>0.126</v>
      </c>
      <c r="K8" s="6" t="n">
        <v>0.108</v>
      </c>
    </row>
    <row r="9">
      <c r="A9" s="4" t="inlineStr">
        <is>
          <t xml:space="preserve">  Revenue Growth - Bull</t>
        </is>
      </c>
      <c r="G9" s="6" t="n">
        <v>0.207</v>
      </c>
      <c r="H9" s="6" t="n">
        <v>0.1863</v>
      </c>
      <c r="I9" s="6" t="n">
        <v>0.1656</v>
      </c>
      <c r="J9" s="6" t="n">
        <v>0.1449</v>
      </c>
      <c r="K9" s="6" t="n">
        <v>0.1242</v>
      </c>
    </row>
    <row r="10">
      <c r="A10" s="4" t="inlineStr">
        <is>
          <t xml:space="preserve">  Revenue Growth - Bear</t>
        </is>
      </c>
      <c r="G10" s="6" t="n">
        <v>0.153</v>
      </c>
      <c r="H10" s="6" t="n">
        <v>0.1377</v>
      </c>
      <c r="I10" s="6" t="n">
        <v>0.1224</v>
      </c>
      <c r="J10" s="6" t="n">
        <v>0.1071</v>
      </c>
      <c r="K10" s="6" t="n">
        <v>0.09179999999999999</v>
      </c>
    </row>
    <row r="11">
      <c r="A11" s="2" t="inlineStr">
        <is>
          <t xml:space="preserve">  Revenue Growth (Selected)</t>
        </is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  <c r="K11" s="7">
        <f>OFFSET(K8,$G$2-1,0)</f>
        <v/>
      </c>
    </row>
    <row r="12">
      <c r="A12" s="2" t="inlineStr">
        <is>
          <t xml:space="preserve">  Revenue Projected ($M)</t>
        </is>
      </c>
      <c r="G12" s="8">
        <f>F7*(1+G11)</f>
        <v/>
      </c>
      <c r="H12" s="8">
        <f>G12*(1+H11)</f>
        <v/>
      </c>
      <c r="I12" s="8">
        <f>H12*(1+I11)</f>
        <v/>
      </c>
      <c r="J12" s="8">
        <f>I12*(1+J11)</f>
        <v/>
      </c>
      <c r="K12" s="8">
        <f>J12*(1+K11)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Gross Margin - Base</t>
        </is>
      </c>
      <c r="G15" s="6" t="n">
        <v>0.5746431024500567</v>
      </c>
      <c r="H15" s="6" t="n">
        <v>0.5746431024500567</v>
      </c>
      <c r="I15" s="6" t="n">
        <v>0.5746431024500567</v>
      </c>
      <c r="J15" s="6" t="n">
        <v>0.5746431024500567</v>
      </c>
      <c r="K15" s="6" t="n">
        <v>0.5746431024500567</v>
      </c>
    </row>
    <row r="16">
      <c r="A16" s="4" t="inlineStr">
        <is>
          <t>Gross Margin - Bull</t>
        </is>
      </c>
      <c r="G16" s="6" t="n">
        <v>0.5846431024500567</v>
      </c>
      <c r="H16" s="6" t="n">
        <v>0.5846431024500567</v>
      </c>
      <c r="I16" s="6" t="n">
        <v>0.5846431024500567</v>
      </c>
      <c r="J16" s="6" t="n">
        <v>0.5846431024500567</v>
      </c>
      <c r="K16" s="6" t="n">
        <v>0.5846431024500567</v>
      </c>
    </row>
    <row r="17">
      <c r="A17" s="4" t="inlineStr">
        <is>
          <t>Gross Margin - Bear</t>
        </is>
      </c>
      <c r="G17" s="6" t="n">
        <v>0.5646431024500567</v>
      </c>
      <c r="H17" s="6" t="n">
        <v>0.5646431024500567</v>
      </c>
      <c r="I17" s="6" t="n">
        <v>0.5646431024500567</v>
      </c>
      <c r="J17" s="6" t="n">
        <v>0.5646431024500567</v>
      </c>
      <c r="K17" s="6" t="n">
        <v>0.5646431024500567</v>
      </c>
    </row>
    <row r="18">
      <c r="A18" s="2" t="inlineStr">
        <is>
          <t>Gross Margin (Selected)</t>
        </is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  <c r="K18" s="7">
        <f>OFFSET(K15,$G$2-1,0)</f>
        <v/>
      </c>
    </row>
    <row r="20">
      <c r="A20" s="4" t="inlineStr">
        <is>
          <t>SG&amp;A % Revenue - Base</t>
        </is>
      </c>
      <c r="G20" s="6" t="n">
        <v>0.01</v>
      </c>
      <c r="H20" s="6" t="n">
        <v>0.01</v>
      </c>
      <c r="I20" s="6" t="n">
        <v>0.01</v>
      </c>
      <c r="J20" s="6" t="n">
        <v>0.01</v>
      </c>
      <c r="K20" s="6" t="n">
        <v>0.01</v>
      </c>
    </row>
    <row r="21">
      <c r="A21" s="4" t="inlineStr">
        <is>
          <t>SG&amp;A % Revenue - Bull</t>
        </is>
      </c>
      <c r="G21" s="6" t="n">
        <v>0.01</v>
      </c>
      <c r="H21" s="6" t="n">
        <v>0.01</v>
      </c>
      <c r="I21" s="6" t="n">
        <v>0.01</v>
      </c>
      <c r="J21" s="6" t="n">
        <v>0.01</v>
      </c>
      <c r="K21" s="6" t="n">
        <v>0.01</v>
      </c>
    </row>
    <row r="22">
      <c r="A22" s="4" t="inlineStr">
        <is>
          <t>SG&amp;A % Revenue - Bear</t>
        </is>
      </c>
      <c r="G22" s="6" t="n">
        <v>0.01</v>
      </c>
      <c r="H22" s="6" t="n">
        <v>0.01</v>
      </c>
      <c r="I22" s="6" t="n">
        <v>0.01</v>
      </c>
      <c r="J22" s="6" t="n">
        <v>0.01</v>
      </c>
      <c r="K22" s="6" t="n">
        <v>0.01</v>
      </c>
    </row>
    <row r="23">
      <c r="A23" s="2" t="inlineStr">
        <is>
          <t>SG&amp;A % Revenue (Selected)</t>
        </is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  <c r="K23" s="7">
        <f>OFFSET(K20,$G$2-1,0)</f>
        <v/>
      </c>
    </row>
    <row r="25">
      <c r="A25" s="4" t="inlineStr">
        <is>
          <t>R&amp;D % Revenue - Base</t>
        </is>
      </c>
      <c r="G25" s="6" t="n">
        <v>0.1450011160225103</v>
      </c>
      <c r="H25" s="6" t="n">
        <v>0.1450011160225103</v>
      </c>
      <c r="I25" s="6" t="n">
        <v>0.1450011160225103</v>
      </c>
      <c r="J25" s="6" t="n">
        <v>0.1450011160225103</v>
      </c>
      <c r="K25" s="6" t="n">
        <v>0.1450011160225103</v>
      </c>
    </row>
    <row r="26">
      <c r="A26" s="4" t="inlineStr">
        <is>
          <t>R&amp;D % Revenue - Bull</t>
        </is>
      </c>
      <c r="G26" s="6" t="n">
        <v>0.1450011160225103</v>
      </c>
      <c r="H26" s="6" t="n">
        <v>0.1450011160225103</v>
      </c>
      <c r="I26" s="6" t="n">
        <v>0.1450011160225103</v>
      </c>
      <c r="J26" s="6" t="n">
        <v>0.1450011160225103</v>
      </c>
      <c r="K26" s="6" t="n">
        <v>0.1450011160225103</v>
      </c>
    </row>
    <row r="27">
      <c r="A27" s="4" t="inlineStr">
        <is>
          <t>R&amp;D % Revenue - Bear</t>
        </is>
      </c>
      <c r="G27" s="6" t="n">
        <v>0.1450011160225103</v>
      </c>
      <c r="H27" s="6" t="n">
        <v>0.1450011160225103</v>
      </c>
      <c r="I27" s="6" t="n">
        <v>0.1450011160225103</v>
      </c>
      <c r="J27" s="6" t="n">
        <v>0.1450011160225103</v>
      </c>
      <c r="K27" s="6" t="n">
        <v>0.1450011160225103</v>
      </c>
    </row>
    <row r="28">
      <c r="A28" s="2" t="inlineStr">
        <is>
          <t>R&amp;D % Revenue (Selected)</t>
        </is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  <c r="K28" s="7">
        <f>OFFSET(K25,$G$2-1,0)</f>
        <v/>
      </c>
    </row>
    <row r="30">
      <c r="A30" s="4" t="inlineStr">
        <is>
          <t>D&amp;A % Revenue</t>
        </is>
      </c>
      <c r="G30" s="6" t="n">
        <v>0.0456790233526975</v>
      </c>
      <c r="H30" s="6" t="n">
        <v>0.0456790233526975</v>
      </c>
      <c r="I30" s="6" t="n">
        <v>0.0456790233526975</v>
      </c>
      <c r="J30" s="6" t="n">
        <v>0.0456790233526975</v>
      </c>
      <c r="K30" s="6" t="n">
        <v>0.0456790233526975</v>
      </c>
    </row>
    <row r="31">
      <c r="A31" s="4" t="inlineStr">
        <is>
          <t>CapEx % Revenue</t>
        </is>
      </c>
      <c r="G31" s="6" t="n">
        <v>0.1307056039188442</v>
      </c>
      <c r="H31" s="6" t="n">
        <v>0.1307056039188442</v>
      </c>
      <c r="I31" s="6" t="n">
        <v>0.1307056039188442</v>
      </c>
      <c r="J31" s="6" t="n">
        <v>0.1307056039188442</v>
      </c>
      <c r="K31" s="6" t="n">
        <v>0.1307056039188442</v>
      </c>
    </row>
    <row r="32">
      <c r="A32" s="4" t="inlineStr">
        <is>
          <t>Tax Rate</t>
        </is>
      </c>
      <c r="G32" s="6" t="n">
        <v>0.1687493070624225</v>
      </c>
      <c r="H32" s="6" t="n">
        <v>0.1687493070624225</v>
      </c>
      <c r="I32" s="6" t="n">
        <v>0.1687493070624225</v>
      </c>
      <c r="J32" s="6" t="n">
        <v>0.1687493070624225</v>
      </c>
      <c r="K32" s="6" t="n">
        <v>0.1687493070624225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4" t="inlineStr">
        <is>
          <t>WACC - Base</t>
        </is>
      </c>
      <c r="C35" s="6" t="n">
        <v>0.1051</v>
      </c>
    </row>
    <row r="36">
      <c r="A36" s="4" t="inlineStr">
        <is>
          <t>WACC - Bull</t>
        </is>
      </c>
      <c r="C36" s="6" t="n">
        <v>0.0951</v>
      </c>
    </row>
    <row r="37">
      <c r="A37" s="4" t="inlineStr">
        <is>
          <t>WACC - Bear</t>
        </is>
      </c>
      <c r="C37" s="6" t="n">
        <v>0.1151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4" t="inlineStr">
        <is>
          <t>Terminal Value Multiple - Base</t>
        </is>
      </c>
      <c r="C40" s="9" t="n">
        <v>18</v>
      </c>
    </row>
    <row r="41">
      <c r="A41" s="4" t="inlineStr">
        <is>
          <t>Terminal Value Multiple - Bull</t>
        </is>
      </c>
      <c r="C41" s="9" t="n">
        <v>20</v>
      </c>
    </row>
    <row r="42">
      <c r="A42" s="4" t="inlineStr">
        <is>
          <t>Terminal Value Multiple - Bear</t>
        </is>
      </c>
      <c r="C42" s="9" t="n">
        <v>16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Alphabet Inc. (GOOG) - Historical Financial Statements</t>
        </is>
      </c>
      <c r="B1" s="1" t="n"/>
      <c r="C1" s="1" t="n"/>
      <c r="D1" s="1" t="n"/>
      <c r="E1" s="1" t="n"/>
      <c r="F1" s="1" t="n"/>
    </row>
    <row r="3">
      <c r="A3" s="4" t="inlineStr">
        <is>
          <t>($ in millions)</t>
        </is>
      </c>
      <c r="C3" s="1" t="inlineStr">
        <is>
          <t>FY2022</t>
        </is>
      </c>
      <c r="D3" s="1" t="inlineStr">
        <is>
          <t>FY2023</t>
        </is>
      </c>
      <c r="E3" s="1" t="inlineStr">
        <is>
          <t>FY2024</t>
        </is>
      </c>
      <c r="F3" s="1" t="inlineStr">
        <is>
          <t>FY2025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  <c r="F5" s="1" t="n"/>
    </row>
    <row r="6">
      <c r="A6" s="2" t="inlineStr">
        <is>
          <t>Total Revenue</t>
        </is>
      </c>
      <c r="C6" s="5" t="n">
        <v>282836</v>
      </c>
      <c r="D6" s="5" t="n">
        <v>307394</v>
      </c>
      <c r="E6" s="5" t="n">
        <v>350018</v>
      </c>
      <c r="F6" s="5" t="n">
        <v>402836</v>
      </c>
    </row>
    <row r="7">
      <c r="A7" s="4" t="inlineStr">
        <is>
          <t>Cost of Revenue</t>
        </is>
      </c>
      <c r="C7" s="5" t="n">
        <v>126203</v>
      </c>
      <c r="D7" s="5" t="n">
        <v>133332</v>
      </c>
      <c r="E7" s="5" t="n">
        <v>146306</v>
      </c>
      <c r="F7" s="5" t="n">
        <v>162535</v>
      </c>
    </row>
    <row r="8">
      <c r="A8" s="2" t="inlineStr">
        <is>
          <t>Gross Profit</t>
        </is>
      </c>
      <c r="C8" s="5" t="n">
        <v>156633</v>
      </c>
      <c r="D8" s="5" t="n">
        <v>174062</v>
      </c>
      <c r="E8" s="5" t="n">
        <v>203712</v>
      </c>
      <c r="F8" s="5" t="n">
        <v>240301</v>
      </c>
    </row>
    <row r="9">
      <c r="A9" s="4" t="inlineStr">
        <is>
          <t xml:space="preserve">  Gross Margin</t>
        </is>
      </c>
      <c r="C9" s="11" t="n">
        <v>0.5537944250378312</v>
      </c>
      <c r="D9" s="11" t="n">
        <v>0.566250479840205</v>
      </c>
      <c r="E9" s="11" t="n">
        <v>0.5820043540617911</v>
      </c>
      <c r="F9" s="11" t="n">
        <v>0.5965231508603998</v>
      </c>
    </row>
    <row r="11">
      <c r="A11" s="4" t="inlineStr">
        <is>
          <t>R&amp;D Expense</t>
        </is>
      </c>
      <c r="C11" s="5" t="n">
        <v>39500</v>
      </c>
      <c r="D11" s="5" t="n">
        <v>45427</v>
      </c>
      <c r="E11" s="5" t="n">
        <v>49326</v>
      </c>
      <c r="F11" s="5" t="n">
        <v>61087</v>
      </c>
    </row>
    <row r="12">
      <c r="A12" s="4" t="inlineStr">
        <is>
          <t>SG&amp;A Expense</t>
        </is>
      </c>
      <c r="C12" s="5" t="n">
        <v>42291</v>
      </c>
      <c r="D12" s="5" t="n">
        <v>44342</v>
      </c>
      <c r="E12" s="5" t="n">
        <v>41996</v>
      </c>
      <c r="F12" s="5" t="n">
        <v>50175</v>
      </c>
    </row>
    <row r="13">
      <c r="A13" s="2" t="inlineStr">
        <is>
          <t>Operating Income (EBIT)</t>
        </is>
      </c>
      <c r="C13" s="5" t="n">
        <v>74842</v>
      </c>
      <c r="D13" s="5" t="n">
        <v>84293</v>
      </c>
      <c r="E13" s="5" t="n">
        <v>112390</v>
      </c>
      <c r="F13" s="5" t="n">
        <v>129039</v>
      </c>
    </row>
    <row r="14">
      <c r="A14" s="4" t="inlineStr">
        <is>
          <t xml:space="preserve">  EBIT Margin</t>
        </is>
      </c>
      <c r="C14" s="11" t="n">
        <v>0.2646127084246701</v>
      </c>
      <c r="D14" s="11" t="n">
        <v>0.2742181044522665</v>
      </c>
      <c r="E14" s="11" t="n">
        <v>0.321097772114577</v>
      </c>
      <c r="F14" s="11" t="n">
        <v>0.3203263859238002</v>
      </c>
    </row>
    <row r="16">
      <c r="A16" s="4" t="inlineStr">
        <is>
          <t>Interest Expense</t>
        </is>
      </c>
      <c r="C16" s="5" t="n">
        <v>357</v>
      </c>
      <c r="D16" s="5" t="n">
        <v>308</v>
      </c>
      <c r="E16" s="5" t="n">
        <v>268</v>
      </c>
      <c r="F16" s="5" t="n">
        <v>736</v>
      </c>
    </row>
    <row r="17">
      <c r="A17" s="4" t="inlineStr">
        <is>
          <t>Tax Provision</t>
        </is>
      </c>
      <c r="C17" s="5" t="n">
        <v>11356</v>
      </c>
      <c r="D17" s="5" t="n">
        <v>11922</v>
      </c>
      <c r="E17" s="5" t="n">
        <v>19697</v>
      </c>
      <c r="F17" s="5" t="n">
        <v>26656</v>
      </c>
    </row>
    <row r="18">
      <c r="A18" s="2" t="inlineStr">
        <is>
          <t>Net Income</t>
        </is>
      </c>
      <c r="C18" s="5" t="n">
        <v>59972</v>
      </c>
      <c r="D18" s="5" t="n">
        <v>73795</v>
      </c>
      <c r="E18" s="5" t="n">
        <v>100118</v>
      </c>
      <c r="F18" s="5" t="n">
        <v>132170</v>
      </c>
    </row>
    <row r="19">
      <c r="A19" s="4" t="inlineStr">
        <is>
          <t xml:space="preserve">  Net Margin</t>
        </is>
      </c>
      <c r="C19" s="11" t="n">
        <v>0.2120380715326196</v>
      </c>
      <c r="D19" s="11" t="n">
        <v>0.2400664944663852</v>
      </c>
      <c r="E19" s="11" t="n">
        <v>0.28603671811164</v>
      </c>
      <c r="F19" s="11" t="n">
        <v>0.3280987796522654</v>
      </c>
    </row>
    <row r="21">
      <c r="A21" s="2" t="inlineStr">
        <is>
          <t>EBITDA</t>
        </is>
      </c>
      <c r="C21" s="5" t="n">
        <v>85160</v>
      </c>
      <c r="D21" s="5" t="n">
        <v>97971</v>
      </c>
      <c r="E21" s="5" t="n">
        <v>135394</v>
      </c>
      <c r="F21" s="5" t="n">
        <v>180698</v>
      </c>
    </row>
    <row r="22">
      <c r="A22" s="4" t="inlineStr">
        <is>
          <t xml:space="preserve">  EBITDA Margin</t>
        </is>
      </c>
      <c r="C22" s="11" t="n">
        <v>0.3010932130280445</v>
      </c>
      <c r="D22" s="11" t="n">
        <v>0.318714743944254</v>
      </c>
      <c r="E22" s="11" t="n">
        <v>0.3868201063945283</v>
      </c>
      <c r="F22" s="11" t="n">
        <v>0.4485646764440119</v>
      </c>
    </row>
    <row r="23">
      <c r="A23" s="4" t="inlineStr">
        <is>
          <t>Diluted EPS</t>
        </is>
      </c>
      <c r="C23" s="12" t="n">
        <v>4.56</v>
      </c>
      <c r="D23" s="12" t="n">
        <v>5.8</v>
      </c>
      <c r="E23" s="12" t="n">
        <v>8.039999999999999</v>
      </c>
      <c r="F23" s="12" t="n">
        <v>10.81</v>
      </c>
    </row>
    <row r="24">
      <c r="A24" s="4" t="inlineStr">
        <is>
          <t>D&amp;A</t>
        </is>
      </c>
      <c r="C24" s="5" t="n">
        <v>13475</v>
      </c>
      <c r="D24" s="5" t="n">
        <v>11946</v>
      </c>
      <c r="E24" s="5" t="n">
        <v>15311</v>
      </c>
      <c r="F24" s="5" t="n">
        <v>21136</v>
      </c>
    </row>
    <row r="27">
      <c r="A27" s="1" t="inlineStr">
        <is>
          <t>Balance Sheet</t>
        </is>
      </c>
      <c r="B27" s="1" t="n"/>
      <c r="C27" s="1" t="n"/>
      <c r="D27" s="1" t="n"/>
      <c r="E27" s="1" t="n"/>
      <c r="F27" s="1" t="n"/>
    </row>
    <row r="28">
      <c r="A28" s="4" t="inlineStr">
        <is>
          <t>Cash &amp; Equivalents</t>
        </is>
      </c>
      <c r="C28" s="5" t="n">
        <v>21879</v>
      </c>
      <c r="D28" s="5" t="n">
        <v>24048</v>
      </c>
      <c r="E28" s="5" t="n">
        <v>23466</v>
      </c>
      <c r="F28" s="5" t="n">
        <v>30708</v>
      </c>
    </row>
    <row r="29">
      <c r="A29" s="4" t="inlineStr">
        <is>
          <t>Current Assets</t>
        </is>
      </c>
      <c r="C29" s="5" t="n">
        <v>164795</v>
      </c>
      <c r="D29" s="5" t="n">
        <v>171530</v>
      </c>
      <c r="E29" s="5" t="n">
        <v>163711</v>
      </c>
      <c r="F29" s="5" t="n">
        <v>206038</v>
      </c>
    </row>
    <row r="30">
      <c r="A30" s="4" t="inlineStr">
        <is>
          <t>Net PP&amp;E</t>
        </is>
      </c>
      <c r="C30" s="5" t="n">
        <v>127049</v>
      </c>
      <c r="D30" s="5" t="n">
        <v>148436</v>
      </c>
      <c r="E30" s="5" t="n">
        <v>184624</v>
      </c>
      <c r="F30" s="5" t="n">
        <v>261818</v>
      </c>
    </row>
    <row r="31">
      <c r="A31" s="4" t="inlineStr">
        <is>
          <t>Goodwill</t>
        </is>
      </c>
      <c r="C31" s="5" t="n">
        <v>28960</v>
      </c>
      <c r="D31" s="5" t="n">
        <v>29198</v>
      </c>
      <c r="E31" s="5" t="n">
        <v>31885</v>
      </c>
      <c r="F31" s="5" t="n">
        <v>33380</v>
      </c>
    </row>
    <row r="32">
      <c r="A32" s="2" t="inlineStr">
        <is>
          <t>Total Assets</t>
        </is>
      </c>
      <c r="C32" s="5" t="n">
        <v>365264</v>
      </c>
      <c r="D32" s="5" t="n">
        <v>402392</v>
      </c>
      <c r="E32" s="5" t="n">
        <v>450256</v>
      </c>
      <c r="F32" s="5" t="n">
        <v>595281</v>
      </c>
    </row>
    <row r="34">
      <c r="A34" s="4" t="inlineStr">
        <is>
          <t>Current Liabilities</t>
        </is>
      </c>
      <c r="C34" s="5" t="n">
        <v>69300</v>
      </c>
      <c r="D34" s="5" t="n">
        <v>81814</v>
      </c>
      <c r="E34" s="5" t="n">
        <v>89122</v>
      </c>
      <c r="F34" s="5" t="n">
        <v>102745</v>
      </c>
    </row>
    <row r="35">
      <c r="A35" s="4" t="inlineStr">
        <is>
          <t>Total Debt</t>
        </is>
      </c>
      <c r="C35" s="5" t="n">
        <v>29679</v>
      </c>
      <c r="D35" s="5" t="n">
        <v>27121</v>
      </c>
      <c r="E35" s="5" t="n">
        <v>22574</v>
      </c>
      <c r="F35" s="5" t="n">
        <v>59291</v>
      </c>
    </row>
    <row r="36">
      <c r="A36" s="2" t="inlineStr">
        <is>
          <t>Total Liabilities</t>
        </is>
      </c>
      <c r="C36" s="5" t="n">
        <v>109120</v>
      </c>
      <c r="D36" s="5" t="n">
        <v>119013</v>
      </c>
      <c r="E36" s="5" t="n">
        <v>125172</v>
      </c>
      <c r="F36" s="5" t="n">
        <v>180016</v>
      </c>
    </row>
    <row r="38">
      <c r="A38" s="2" t="inlineStr">
        <is>
          <t>Total Equity</t>
        </is>
      </c>
      <c r="C38" s="5" t="n">
        <v>256144</v>
      </c>
      <c r="D38" s="5" t="n">
        <v>283379</v>
      </c>
      <c r="E38" s="5" t="n">
        <v>325084</v>
      </c>
      <c r="F38" s="5" t="n">
        <v>415265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  <c r="F41" s="1" t="n"/>
    </row>
    <row r="42">
      <c r="A42" s="2" t="inlineStr">
        <is>
          <t>Operating Cash Flow</t>
        </is>
      </c>
      <c r="C42" s="5" t="n">
        <v>91495</v>
      </c>
      <c r="D42" s="5" t="n">
        <v>101746</v>
      </c>
      <c r="E42" s="5" t="n">
        <v>125299</v>
      </c>
      <c r="F42" s="5" t="n">
        <v>164713</v>
      </c>
    </row>
    <row r="43">
      <c r="A43" s="4" t="inlineStr">
        <is>
          <t>Capital Expenditure</t>
        </is>
      </c>
      <c r="C43" s="5" t="n">
        <v>-31485</v>
      </c>
      <c r="D43" s="5" t="n">
        <v>-32251</v>
      </c>
      <c r="E43" s="5" t="n">
        <v>-52535</v>
      </c>
      <c r="F43" s="5" t="n">
        <v>-91447</v>
      </c>
    </row>
    <row r="44">
      <c r="A44" s="2" t="inlineStr">
        <is>
          <t>Free Cash Flow</t>
        </is>
      </c>
      <c r="C44" s="5" t="n">
        <v>60010</v>
      </c>
      <c r="D44" s="5" t="n">
        <v>69495</v>
      </c>
      <c r="E44" s="5" t="n">
        <v>72764</v>
      </c>
      <c r="F44" s="5" t="n">
        <v>73266</v>
      </c>
    </row>
    <row r="46">
      <c r="A46" s="4" t="inlineStr">
        <is>
          <t>D&amp;A</t>
        </is>
      </c>
      <c r="C46" s="5" t="n">
        <v>13475</v>
      </c>
      <c r="D46" s="5" t="n">
        <v>11946</v>
      </c>
      <c r="E46" s="5" t="n">
        <v>15311</v>
      </c>
      <c r="F46" s="5" t="n">
        <v>21136</v>
      </c>
    </row>
    <row r="47">
      <c r="A47" s="4" t="inlineStr">
        <is>
          <t>Stock-Based Compensation</t>
        </is>
      </c>
      <c r="C47" s="5" t="n">
        <v>19362</v>
      </c>
      <c r="D47" s="5" t="n">
        <v>22460</v>
      </c>
      <c r="E47" s="5" t="n">
        <v>22785</v>
      </c>
      <c r="F47" s="5" t="n">
        <v>24953</v>
      </c>
    </row>
    <row r="48">
      <c r="A48" s="4" t="inlineStr">
        <is>
          <t>Change in Working Capital</t>
        </is>
      </c>
      <c r="C48" s="5" t="n">
        <v>-2235</v>
      </c>
      <c r="D48" s="5" t="n">
        <v>-3845</v>
      </c>
      <c r="E48" s="5" t="n">
        <v>-8406</v>
      </c>
      <c r="F48" s="5" t="n">
        <v>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Alphabet Inc. (GOOG)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</row>
    <row r="4">
      <c r="A4" s="4" t="inlineStr">
        <is>
          <t>($M)</t>
        </is>
      </c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5"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  <c r="K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2" t="inlineStr">
        <is>
          <t xml:space="preserve">  Internet Content &amp; Information</t>
        </is>
      </c>
      <c r="C8" s="5" t="n">
        <v>282836</v>
      </c>
      <c r="D8" s="5" t="n">
        <v>307394</v>
      </c>
      <c r="E8" s="5" t="n">
        <v>350018</v>
      </c>
      <c r="F8" s="5" t="n">
        <v>402836</v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  <c r="K8" s="8">
        <f>Assumptions!K12</f>
        <v/>
      </c>
    </row>
    <row r="9">
      <c r="A9" s="4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  <c r="K9" s="7">
        <f>IFERROR(K8/J8-1,"-")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  <c r="K11" s="8">
        <f>K8</f>
        <v/>
      </c>
    </row>
    <row r="12">
      <c r="A12" s="4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  <c r="K12" s="7">
        <f>IFERROR(K11/J11-1,"-")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  <c r="K15" s="8">
        <f>K11</f>
        <v/>
      </c>
    </row>
    <row r="16">
      <c r="A16" s="4" t="inlineStr">
        <is>
          <t>Cost of Goods Sold (COGS)</t>
        </is>
      </c>
      <c r="C16" s="5" t="n">
        <v>126203</v>
      </c>
      <c r="D16" s="5" t="n">
        <v>133332</v>
      </c>
      <c r="E16" s="5" t="n">
        <v>146306</v>
      </c>
      <c r="F16" s="5" t="n">
        <v>162535</v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  <c r="K16" s="8">
        <f>-K15*(1-Assumptions!K18)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  <c r="K17" s="8">
        <f>K15+K16</f>
        <v/>
      </c>
    </row>
    <row r="18">
      <c r="A18" s="4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  <c r="K18" s="7">
        <f>IFERROR(K17/K15,"-")</f>
        <v/>
      </c>
    </row>
    <row r="20">
      <c r="A20" s="4" t="inlineStr">
        <is>
          <t>SG&amp;A Expense</t>
        </is>
      </c>
      <c r="C20" s="5" t="n">
        <v>42291</v>
      </c>
      <c r="D20" s="5" t="n">
        <v>44342</v>
      </c>
      <c r="E20" s="5" t="n">
        <v>41996</v>
      </c>
      <c r="F20" s="5" t="n">
        <v>50175</v>
      </c>
      <c r="G20" s="8">
        <f>-G15*Assumptions!G24</f>
        <v/>
      </c>
      <c r="H20" s="8">
        <f>-H15*Assumptions!H24</f>
        <v/>
      </c>
      <c r="I20" s="8">
        <f>-I15*Assumptions!I24</f>
        <v/>
      </c>
      <c r="J20" s="8">
        <f>-J15*Assumptions!J24</f>
        <v/>
      </c>
      <c r="K20" s="8">
        <f>-K15*Assumptions!K24</f>
        <v/>
      </c>
    </row>
    <row r="21">
      <c r="A21" s="4" t="inlineStr">
        <is>
          <t>R&amp;D Expense</t>
        </is>
      </c>
      <c r="C21" s="5" t="n">
        <v>39500</v>
      </c>
      <c r="D21" s="5" t="n">
        <v>45427</v>
      </c>
      <c r="E21" s="5" t="n">
        <v>49326</v>
      </c>
      <c r="F21" s="5" t="n">
        <v>61087</v>
      </c>
      <c r="G21" s="8">
        <f>-G15*Assumptions!G30</f>
        <v/>
      </c>
      <c r="H21" s="8">
        <f>-H15*Assumptions!H30</f>
        <v/>
      </c>
      <c r="I21" s="8">
        <f>-I15*Assumptions!I30</f>
        <v/>
      </c>
      <c r="J21" s="8">
        <f>-J15*Assumptions!J30</f>
        <v/>
      </c>
      <c r="K21" s="8">
        <f>-K15*Assumptions!K30</f>
        <v/>
      </c>
    </row>
    <row r="22">
      <c r="A22" s="4" t="inlineStr">
        <is>
          <t>Depreciation &amp; Amortization</t>
        </is>
      </c>
      <c r="C22" s="5" t="n">
        <v>13475</v>
      </c>
      <c r="D22" s="5" t="n">
        <v>11946</v>
      </c>
      <c r="E22" s="5" t="n">
        <v>15311</v>
      </c>
      <c r="F22" s="5" t="n">
        <v>21136</v>
      </c>
      <c r="G22" s="8">
        <f>-G15*Assumptions!G32</f>
        <v/>
      </c>
      <c r="H22" s="8">
        <f>-H15*Assumptions!H32</f>
        <v/>
      </c>
      <c r="I22" s="8">
        <f>-I15*Assumptions!I32</f>
        <v/>
      </c>
      <c r="J22" s="8">
        <f>-J15*Assumptions!J32</f>
        <v/>
      </c>
      <c r="K22" s="8">
        <f>-K15*Assumptions!K32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  <c r="K24" s="8">
        <f>K17+K20+K21</f>
        <v/>
      </c>
    </row>
    <row r="25">
      <c r="A25" s="4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  <c r="K25" s="7">
        <f>IFERROR(K24/K15,"-")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  <c r="K26" s="8">
        <f>K24+K22</f>
        <v/>
      </c>
    </row>
    <row r="27">
      <c r="A27" s="4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  <c r="K27" s="7">
        <f>IFERROR(K26/K15,"-")</f>
        <v/>
      </c>
    </row>
    <row r="29">
      <c r="A29" s="4" t="inlineStr">
        <is>
          <t>Interest Expense</t>
        </is>
      </c>
      <c r="C29" s="5" t="n">
        <v>357</v>
      </c>
      <c r="D29" s="5" t="n">
        <v>308</v>
      </c>
      <c r="E29" s="5" t="n">
        <v>268</v>
      </c>
      <c r="F29" s="5" t="n">
        <v>736</v>
      </c>
      <c r="G29" s="5" t="n">
        <v>736</v>
      </c>
      <c r="H29" s="5" t="n">
        <v>736</v>
      </c>
      <c r="I29" s="5" t="n">
        <v>736</v>
      </c>
      <c r="J29" s="5" t="n">
        <v>736</v>
      </c>
      <c r="K29" s="5" t="n">
        <v>736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  <c r="K30" s="8">
        <f>K26+K29</f>
        <v/>
      </c>
    </row>
    <row r="31">
      <c r="A31" s="4" t="inlineStr">
        <is>
          <t>Taxes</t>
        </is>
      </c>
      <c r="C31" s="5" t="n">
        <v>11356</v>
      </c>
      <c r="D31" s="5" t="n">
        <v>11922</v>
      </c>
      <c r="E31" s="5" t="n">
        <v>19697</v>
      </c>
      <c r="F31" s="5" t="n">
        <v>26656</v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  <c r="J31" s="8">
        <f>-ABS(J30)*Assumptions!J34</f>
        <v/>
      </c>
      <c r="K31" s="8">
        <f>-ABS(K30)*Assumptions!K34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  <c r="K32" s="8">
        <f>K30+K31</f>
        <v/>
      </c>
    </row>
    <row r="33">
      <c r="A33" s="4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  <c r="K33" s="7">
        <f>IFERROR(K32/K15,"-")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  <c r="K37" s="8">
        <f>K24</f>
        <v/>
      </c>
    </row>
    <row r="38">
      <c r="A38" s="4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  <c r="K38" s="8">
        <f>K31</f>
        <v/>
      </c>
    </row>
    <row r="39">
      <c r="A39" s="4" t="inlineStr">
        <is>
          <t>(+/-) Change in Working Capital</t>
        </is>
      </c>
      <c r="C39" s="5" t="n">
        <v>-2235</v>
      </c>
      <c r="D39" s="5" t="n">
        <v>-3845</v>
      </c>
      <c r="E39" s="5" t="n">
        <v>-8406</v>
      </c>
      <c r="F39" s="5" t="n">
        <v>618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  <c r="K40" s="8">
        <f>K37+K38+K39</f>
        <v/>
      </c>
    </row>
    <row r="42">
      <c r="A42" s="4" t="inlineStr">
        <is>
          <t>(-) Capital Expenditure</t>
        </is>
      </c>
      <c r="C42" s="5" t="n">
        <v>-31485</v>
      </c>
      <c r="D42" s="5" t="n">
        <v>-32251</v>
      </c>
      <c r="E42" s="5" t="n">
        <v>-52535</v>
      </c>
      <c r="F42" s="5" t="n">
        <v>-91447</v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  <c r="J42" s="8">
        <f>-ABS(J15)*Assumptions!J33</f>
        <v/>
      </c>
      <c r="K42" s="8">
        <f>-ABS(K15)*Assumptions!K33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  <c r="K43" s="8">
        <f>K40+K42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Alphabet Inc. (GOOG)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273.76</v>
      </c>
    </row>
    <row r="4">
      <c r="A4" s="4" t="inlineStr">
        <is>
          <t>Year</t>
        </is>
      </c>
      <c r="G4" s="1" t="n">
        <v>2026</v>
      </c>
      <c r="H4" s="1" t="n">
        <v>2027</v>
      </c>
      <c r="I4" s="1" t="n">
        <v>2028</v>
      </c>
      <c r="J4" s="1" t="n">
        <v>2029</v>
      </c>
      <c r="K4" s="1" t="n">
        <v>2030</v>
      </c>
    </row>
    <row r="5">
      <c r="A5" s="4" t="inlineStr">
        <is>
          <t>Year #</t>
        </is>
      </c>
      <c r="G5" t="n">
        <v>1</v>
      </c>
      <c r="H5" t="n">
        <v>2</v>
      </c>
      <c r="I5" t="n">
        <v>3</v>
      </c>
      <c r="J5" t="n">
        <v>4</v>
      </c>
      <c r="K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4" t="inlineStr">
        <is>
          <t>EBITDA ($M)</t>
        </is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  <c r="K8" s="8">
        <f>INDIRECT("Model!"&amp;"K"&amp;Model!B200)</f>
        <v/>
      </c>
    </row>
    <row r="9">
      <c r="A9" s="4" t="inlineStr">
        <is>
          <t>(-) Taxes ($M)</t>
        </is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  <c r="K9" s="8">
        <f>INDIRECT("Model!"&amp;"K"&amp;Model!B201)</f>
        <v/>
      </c>
    </row>
    <row r="10">
      <c r="A10" s="4" t="inlineStr">
        <is>
          <t>(+/-) Change in WC ($M)</t>
        </is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  <c r="K10" s="8">
        <f>INDIRECT("Model!"&amp;"K"&amp;Model!B204)</f>
        <v/>
      </c>
    </row>
    <row r="11">
      <c r="A11" s="4" t="inlineStr">
        <is>
          <t>(-) CapEx ($M)</t>
        </is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  <c r="K11" s="8">
        <f>INDIRECT("Model!"&amp;"K"&amp;Model!B202)</f>
        <v/>
      </c>
    </row>
    <row r="12">
      <c r="A12" s="2" t="inlineStr">
        <is>
          <t>Unlevered Free Cash Flow ($M)</t>
        </is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  <c r="K12" s="8">
        <f>K8+K9+K10+K11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WACC</t>
        </is>
      </c>
      <c r="C15" s="7">
        <f>Assumptions!C42</f>
        <v/>
      </c>
    </row>
    <row r="16">
      <c r="A16" s="4" t="inlineStr">
        <is>
          <t>Terminal Value Multiple</t>
        </is>
      </c>
      <c r="C16" s="10">
        <f>Assumptions!C48</f>
        <v/>
      </c>
    </row>
    <row r="18">
      <c r="A18" s="4" t="inlineStr">
        <is>
          <t>Discount Factor</t>
        </is>
      </c>
      <c r="G18" s="17">
        <f>1/(1+$C$15)^1</f>
        <v/>
      </c>
      <c r="H18" s="17">
        <f>1/(1+$C$15)^2</f>
        <v/>
      </c>
      <c r="I18" s="17">
        <f>1/(1+$C$15)^3</f>
        <v/>
      </c>
      <c r="J18" s="17">
        <f>1/(1+$C$15)^4</f>
        <v/>
      </c>
      <c r="K18" s="17">
        <f>1/(1+$C$15)^5</f>
        <v/>
      </c>
    </row>
    <row r="19">
      <c r="A19" s="4" t="inlineStr">
        <is>
          <t>PV of UFCF ($M)</t>
        </is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  <c r="K19" s="8">
        <f>K12*K18</f>
        <v/>
      </c>
    </row>
    <row r="21">
      <c r="A21" s="2" t="inlineStr">
        <is>
          <t>Terminal Value ($M)</t>
        </is>
      </c>
      <c r="K21" s="8">
        <f>K8*$C$16</f>
        <v/>
      </c>
    </row>
    <row r="22">
      <c r="A22" s="4" t="inlineStr">
        <is>
          <t>PV of Terminal Value ($M)</t>
        </is>
      </c>
      <c r="K22" s="8">
        <f>K21*K18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4" t="inlineStr">
        <is>
          <t>Sum of PV of UFCF ($M)</t>
        </is>
      </c>
      <c r="C25" s="8">
        <f>SUM(G19:K19)</f>
        <v/>
      </c>
    </row>
    <row r="26">
      <c r="A26" s="4" t="inlineStr">
        <is>
          <t>PV of Terminal Value ($M)</t>
        </is>
      </c>
      <c r="C26" s="8">
        <f>K22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4" t="inlineStr">
        <is>
          <t>(-) Net Debt ($M)</t>
        </is>
      </c>
      <c r="C29" s="18" t="n">
        <v>-28583</v>
      </c>
    </row>
    <row r="30">
      <c r="A30" s="2" t="inlineStr">
        <is>
          <t>Equity Value ($M)</t>
        </is>
      </c>
      <c r="C30" s="8">
        <f>C27+C29</f>
        <v/>
      </c>
    </row>
    <row r="32">
      <c r="A32" s="4" t="inlineStr">
        <is>
          <t>Shares Outstanding (M)</t>
        </is>
      </c>
      <c r="C32" s="18" t="n">
        <v>5438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C33/273.76-1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14x</t>
        </is>
      </c>
      <c r="D38" s="1" t="inlineStr">
        <is>
          <t>16x</t>
        </is>
      </c>
      <c r="E38" s="1" t="inlineStr">
        <is>
          <t>18x</t>
        </is>
      </c>
      <c r="F38" s="1" t="inlineStr">
        <is>
          <t>20x</t>
        </is>
      </c>
      <c r="G38" s="1" t="inlineStr">
        <is>
          <t>22x</t>
        </is>
      </c>
    </row>
    <row r="39">
      <c r="A39" s="21" t="n">
        <v>0.0751</v>
      </c>
      <c r="C39" s="22">
        <f>(G$12/(1+$A$39)^1+H$12/(1+$A$39)^2+I$12/(1+$A$39)^3+J$12/(1+$A$39)^4+K$12/(1+$A$39)^5+K$8*14/(1+$A$39)^5+$C$29)/$C$32</f>
        <v/>
      </c>
      <c r="D39" s="22">
        <f>(G$12/(1+$A$39)^1+H$12/(1+$A$39)^2+I$12/(1+$A$39)^3+J$12/(1+$A$39)^4+K$12/(1+$A$39)^5+K$8*16/(1+$A$39)^5+$C$29)/$C$32</f>
        <v/>
      </c>
      <c r="E39" s="22">
        <f>(G$12/(1+$A$39)^1+H$12/(1+$A$39)^2+I$12/(1+$A$39)^3+J$12/(1+$A$39)^4+K$12/(1+$A$39)^5+K$8*18/(1+$A$39)^5+$C$29)/$C$32</f>
        <v/>
      </c>
      <c r="F39" s="22">
        <f>(G$12/(1+$A$39)^1+H$12/(1+$A$39)^2+I$12/(1+$A$39)^3+J$12/(1+$A$39)^4+K$12/(1+$A$39)^5+K$8*20/(1+$A$39)^5+$C$29)/$C$32</f>
        <v/>
      </c>
      <c r="G39" s="22">
        <f>(G$12/(1+$A$39)^1+H$12/(1+$A$39)^2+I$12/(1+$A$39)^3+J$12/(1+$A$39)^4+K$12/(1+$A$39)^5+K$8*22/(1+$A$39)^5+$C$29)/$C$32</f>
        <v/>
      </c>
    </row>
    <row r="40">
      <c r="A40" s="21" t="n">
        <v>0.0851</v>
      </c>
      <c r="C40" s="22">
        <f>(G$12/(1+$A$40)^1+H$12/(1+$A$40)^2+I$12/(1+$A$40)^3+J$12/(1+$A$40)^4+K$12/(1+$A$40)^5+K$8*14/(1+$A$40)^5+$C$29)/$C$32</f>
        <v/>
      </c>
      <c r="D40" s="22">
        <f>(G$12/(1+$A$40)^1+H$12/(1+$A$40)^2+I$12/(1+$A$40)^3+J$12/(1+$A$40)^4+K$12/(1+$A$40)^5+K$8*16/(1+$A$40)^5+$C$29)/$C$32</f>
        <v/>
      </c>
      <c r="E40" s="22">
        <f>(G$12/(1+$A$40)^1+H$12/(1+$A$40)^2+I$12/(1+$A$40)^3+J$12/(1+$A$40)^4+K$12/(1+$A$40)^5+K$8*18/(1+$A$40)^5+$C$29)/$C$32</f>
        <v/>
      </c>
      <c r="F40" s="22">
        <f>(G$12/(1+$A$40)^1+H$12/(1+$A$40)^2+I$12/(1+$A$40)^3+J$12/(1+$A$40)^4+K$12/(1+$A$40)^5+K$8*20/(1+$A$40)^5+$C$29)/$C$32</f>
        <v/>
      </c>
      <c r="G40" s="22">
        <f>(G$12/(1+$A$40)^1+H$12/(1+$A$40)^2+I$12/(1+$A$40)^3+J$12/(1+$A$40)^4+K$12/(1+$A$40)^5+K$8*22/(1+$A$40)^5+$C$29)/$C$32</f>
        <v/>
      </c>
    </row>
    <row r="41">
      <c r="A41" s="21" t="n">
        <v>0.0951</v>
      </c>
      <c r="C41" s="22">
        <f>(G$12/(1+$A$41)^1+H$12/(1+$A$41)^2+I$12/(1+$A$41)^3+J$12/(1+$A$41)^4+K$12/(1+$A$41)^5+K$8*14/(1+$A$41)^5+$C$29)/$C$32</f>
        <v/>
      </c>
      <c r="D41" s="22">
        <f>(G$12/(1+$A$41)^1+H$12/(1+$A$41)^2+I$12/(1+$A$41)^3+J$12/(1+$A$41)^4+K$12/(1+$A$41)^5+K$8*16/(1+$A$41)^5+$C$29)/$C$32</f>
        <v/>
      </c>
      <c r="E41" s="22">
        <f>(G$12/(1+$A$41)^1+H$12/(1+$A$41)^2+I$12/(1+$A$41)^3+J$12/(1+$A$41)^4+K$12/(1+$A$41)^5+K$8*18/(1+$A$41)^5+$C$29)/$C$32</f>
        <v/>
      </c>
      <c r="F41" s="22">
        <f>(G$12/(1+$A$41)^1+H$12/(1+$A$41)^2+I$12/(1+$A$41)^3+J$12/(1+$A$41)^4+K$12/(1+$A$41)^5+K$8*20/(1+$A$41)^5+$C$29)/$C$32</f>
        <v/>
      </c>
      <c r="G41" s="22">
        <f>(G$12/(1+$A$41)^1+H$12/(1+$A$41)^2+I$12/(1+$A$41)^3+J$12/(1+$A$41)^4+K$12/(1+$A$41)^5+K$8*22/(1+$A$41)^5+$C$29)/$C$32</f>
        <v/>
      </c>
    </row>
    <row r="42">
      <c r="A42" s="21" t="n">
        <v>0.1051</v>
      </c>
      <c r="C42" s="22">
        <f>(G$12/(1+$A$42)^1+H$12/(1+$A$42)^2+I$12/(1+$A$42)^3+J$12/(1+$A$42)^4+K$12/(1+$A$42)^5+K$8*14/(1+$A$42)^5+$C$29)/$C$32</f>
        <v/>
      </c>
      <c r="D42" s="22">
        <f>(G$12/(1+$A$42)^1+H$12/(1+$A$42)^2+I$12/(1+$A$42)^3+J$12/(1+$A$42)^4+K$12/(1+$A$42)^5+K$8*16/(1+$A$42)^5+$C$29)/$C$32</f>
        <v/>
      </c>
      <c r="E42" s="23">
        <f>(G$12/(1+$A$42)^1+H$12/(1+$A$42)^2+I$12/(1+$A$42)^3+J$12/(1+$A$42)^4+K$12/(1+$A$42)^5+K$8*18/(1+$A$42)^5+$C$29)/$C$32</f>
        <v/>
      </c>
      <c r="F42" s="22">
        <f>(G$12/(1+$A$42)^1+H$12/(1+$A$42)^2+I$12/(1+$A$42)^3+J$12/(1+$A$42)^4+K$12/(1+$A$42)^5+K$8*20/(1+$A$42)^5+$C$29)/$C$32</f>
        <v/>
      </c>
      <c r="G42" s="22">
        <f>(G$12/(1+$A$42)^1+H$12/(1+$A$42)^2+I$12/(1+$A$42)^3+J$12/(1+$A$42)^4+K$12/(1+$A$42)^5+K$8*22/(1+$A$42)^5+$C$29)/$C$32</f>
        <v/>
      </c>
    </row>
    <row r="43">
      <c r="A43" s="21" t="n">
        <v>0.1151</v>
      </c>
      <c r="C43" s="22">
        <f>(G$12/(1+$A$43)^1+H$12/(1+$A$43)^2+I$12/(1+$A$43)^3+J$12/(1+$A$43)^4+K$12/(1+$A$43)^5+K$8*14/(1+$A$43)^5+$C$29)/$C$32</f>
        <v/>
      </c>
      <c r="D43" s="22">
        <f>(G$12/(1+$A$43)^1+H$12/(1+$A$43)^2+I$12/(1+$A$43)^3+J$12/(1+$A$43)^4+K$12/(1+$A$43)^5+K$8*16/(1+$A$43)^5+$C$29)/$C$32</f>
        <v/>
      </c>
      <c r="E43" s="22">
        <f>(G$12/(1+$A$43)^1+H$12/(1+$A$43)^2+I$12/(1+$A$43)^3+J$12/(1+$A$43)^4+K$12/(1+$A$43)^5+K$8*18/(1+$A$43)^5+$C$29)/$C$32</f>
        <v/>
      </c>
      <c r="F43" s="22">
        <f>(G$12/(1+$A$43)^1+H$12/(1+$A$43)^2+I$12/(1+$A$43)^3+J$12/(1+$A$43)^4+K$12/(1+$A$43)^5+K$8*20/(1+$A$43)^5+$C$29)/$C$32</f>
        <v/>
      </c>
      <c r="G43" s="22">
        <f>(G$12/(1+$A$43)^1+H$12/(1+$A$43)^2+I$12/(1+$A$43)^3+J$12/(1+$A$43)^4+K$12/(1+$A$43)^5+K$8*22/(1+$A$43)^5+$C$29)/$C$32</f>
        <v/>
      </c>
    </row>
    <row r="44">
      <c r="A44" s="21" t="n">
        <v>0.1251</v>
      </c>
      <c r="C44" s="22">
        <f>(G$12/(1+$A$44)^1+H$12/(1+$A$44)^2+I$12/(1+$A$44)^3+J$12/(1+$A$44)^4+K$12/(1+$A$44)^5+K$8*14/(1+$A$44)^5+$C$29)/$C$32</f>
        <v/>
      </c>
      <c r="D44" s="22">
        <f>(G$12/(1+$A$44)^1+H$12/(1+$A$44)^2+I$12/(1+$A$44)^3+J$12/(1+$A$44)^4+K$12/(1+$A$44)^5+K$8*16/(1+$A$44)^5+$C$29)/$C$32</f>
        <v/>
      </c>
      <c r="E44" s="22">
        <f>(G$12/(1+$A$44)^1+H$12/(1+$A$44)^2+I$12/(1+$A$44)^3+J$12/(1+$A$44)^4+K$12/(1+$A$44)^5+K$8*18/(1+$A$44)^5+$C$29)/$C$32</f>
        <v/>
      </c>
      <c r="F44" s="22">
        <f>(G$12/(1+$A$44)^1+H$12/(1+$A$44)^2+I$12/(1+$A$44)^3+J$12/(1+$A$44)^4+K$12/(1+$A$44)^5+K$8*20/(1+$A$44)^5+$C$29)/$C$32</f>
        <v/>
      </c>
      <c r="G44" s="22">
        <f>(G$12/(1+$A$44)^1+H$12/(1+$A$44)^2+I$12/(1+$A$44)^3+J$12/(1+$A$44)^4+K$12/(1+$A$44)^5+K$8*22/(1+$A$44)^5+$C$29)/$C$32</f>
        <v/>
      </c>
    </row>
    <row r="45">
      <c r="A45" s="21" t="n">
        <v>0.1351</v>
      </c>
      <c r="C45" s="22">
        <f>(G$12/(1+$A$45)^1+H$12/(1+$A$45)^2+I$12/(1+$A$45)^3+J$12/(1+$A$45)^4+K$12/(1+$A$45)^5+K$8*14/(1+$A$45)^5+$C$29)/$C$32</f>
        <v/>
      </c>
      <c r="D45" s="22">
        <f>(G$12/(1+$A$45)^1+H$12/(1+$A$45)^2+I$12/(1+$A$45)^3+J$12/(1+$A$45)^4+K$12/(1+$A$45)^5+K$8*16/(1+$A$45)^5+$C$29)/$C$32</f>
        <v/>
      </c>
      <c r="E45" s="22">
        <f>(G$12/(1+$A$45)^1+H$12/(1+$A$45)^2+I$12/(1+$A$45)^3+J$12/(1+$A$45)^4+K$12/(1+$A$45)^5+K$8*18/(1+$A$45)^5+$C$29)/$C$32</f>
        <v/>
      </c>
      <c r="F45" s="22">
        <f>(G$12/(1+$A$45)^1+H$12/(1+$A$45)^2+I$12/(1+$A$45)^3+J$12/(1+$A$45)^4+K$12/(1+$A$45)^5+K$8*20/(1+$A$45)^5+$C$29)/$C$32</f>
        <v/>
      </c>
      <c r="G45" s="22">
        <f>(G$12/(1+$A$45)^1+H$12/(1+$A$45)^2+I$12/(1+$A$45)^3+J$12/(1+$A$45)^4+K$12/(1+$A$45)^5+K$8*22/(1+$A$45)^5+$C$29)/$C$32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2026-03-28T17:00:11Z</dcterms:created>
  <dcterms:modified xmlns:dcterms="http://purl.org/dc/terms/" xmlns:xsi="http://www.w3.org/2001/XMLSchema-instance" xsi:type="dcterms:W3CDTF">2026-03-28T17:00:11Z</dcterms:modified>
</cp:coreProperties>
</file>