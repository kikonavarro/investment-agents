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PayPal Holdings, Inc. (PYPL)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Credit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27518</v>
      </c>
      <c r="D7" s="5" t="n">
        <v>29771</v>
      </c>
      <c r="E7" s="5" t="n">
        <v>31797</v>
      </c>
      <c r="F7" s="5" t="n">
        <v>33172</v>
      </c>
    </row>
    <row r="8">
      <c r="A8" s="4" t="inlineStr">
        <is>
          <t xml:space="preserve">  Revenue Growth - Base</t>
        </is>
      </c>
      <c r="G8" s="6" t="n">
        <v>0.037</v>
      </c>
      <c r="H8" s="6" t="n">
        <v>0.0333</v>
      </c>
      <c r="I8" s="6" t="n">
        <v>0.0296</v>
      </c>
      <c r="J8" s="6" t="n">
        <v>0.0259</v>
      </c>
      <c r="K8" s="6" t="n">
        <v>0.0222</v>
      </c>
    </row>
    <row r="9">
      <c r="A9" s="4" t="inlineStr">
        <is>
          <t xml:space="preserve">  Revenue Growth - Bull</t>
        </is>
      </c>
      <c r="G9" s="6" t="n">
        <v>0.052</v>
      </c>
      <c r="H9" s="6" t="n">
        <v>0.0468</v>
      </c>
      <c r="I9" s="6" t="n">
        <v>0.0416</v>
      </c>
      <c r="J9" s="6" t="n">
        <v>0.03639999999999999</v>
      </c>
      <c r="K9" s="6" t="n">
        <v>0.0312</v>
      </c>
    </row>
    <row r="10">
      <c r="A10" s="4" t="inlineStr">
        <is>
          <t xml:space="preserve">  Revenue Growth - Bear</t>
        </is>
      </c>
      <c r="G10" s="6" t="n">
        <v>0.022</v>
      </c>
      <c r="H10" s="6" t="n">
        <v>0.0198</v>
      </c>
      <c r="I10" s="6" t="n">
        <v>0.0176</v>
      </c>
      <c r="J10" s="6" t="n">
        <v>0.0154</v>
      </c>
      <c r="K10" s="6" t="n">
        <v>0.0132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0.4720039526873512</v>
      </c>
      <c r="H15" s="6" t="n">
        <v>0.4720039526873512</v>
      </c>
      <c r="I15" s="6" t="n">
        <v>0.4720039526873512</v>
      </c>
      <c r="J15" s="6" t="n">
        <v>0.4720039526873512</v>
      </c>
      <c r="K15" s="6" t="n">
        <v>0.4720039526873512</v>
      </c>
    </row>
    <row r="16">
      <c r="A16" s="4" t="inlineStr">
        <is>
          <t>Gross Margin - Bull</t>
        </is>
      </c>
      <c r="G16" s="6" t="n">
        <v>0.4820039526873512</v>
      </c>
      <c r="H16" s="6" t="n">
        <v>0.4820039526873512</v>
      </c>
      <c r="I16" s="6" t="n">
        <v>0.4820039526873512</v>
      </c>
      <c r="J16" s="6" t="n">
        <v>0.4820039526873512</v>
      </c>
      <c r="K16" s="6" t="n">
        <v>0.4820039526873512</v>
      </c>
    </row>
    <row r="17">
      <c r="A17" s="4" t="inlineStr">
        <is>
          <t>Gross Margin - Bear</t>
        </is>
      </c>
      <c r="G17" s="6" t="n">
        <v>0.4620039526873512</v>
      </c>
      <c r="H17" s="6" t="n">
        <v>0.4620039526873512</v>
      </c>
      <c r="I17" s="6" t="n">
        <v>0.4620039526873512</v>
      </c>
      <c r="J17" s="6" t="n">
        <v>0.4620039526873512</v>
      </c>
      <c r="K17" s="6" t="n">
        <v>0.4620039526873512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0.1367889733229551</v>
      </c>
      <c r="H20" s="6" t="n">
        <v>0.1367889733229551</v>
      </c>
      <c r="I20" s="6" t="n">
        <v>0.1367889733229551</v>
      </c>
      <c r="J20" s="6" t="n">
        <v>0.1367889733229551</v>
      </c>
      <c r="K20" s="6" t="n">
        <v>0.1367889733229551</v>
      </c>
    </row>
    <row r="21">
      <c r="A21" s="4" t="inlineStr">
        <is>
          <t>SG&amp;A % Revenue - Bull</t>
        </is>
      </c>
      <c r="G21" s="6" t="n">
        <v>0.1317889733229551</v>
      </c>
      <c r="H21" s="6" t="n">
        <v>0.1317889733229551</v>
      </c>
      <c r="I21" s="6" t="n">
        <v>0.1317889733229551</v>
      </c>
      <c r="J21" s="6" t="n">
        <v>0.1317889733229551</v>
      </c>
      <c r="K21" s="6" t="n">
        <v>0.1317889733229551</v>
      </c>
    </row>
    <row r="22">
      <c r="A22" s="4" t="inlineStr">
        <is>
          <t>SG&amp;A % Revenue - Bear</t>
        </is>
      </c>
      <c r="G22" s="6" t="n">
        <v>0.1417889733229551</v>
      </c>
      <c r="H22" s="6" t="n">
        <v>0.1417889733229551</v>
      </c>
      <c r="I22" s="6" t="n">
        <v>0.1417889733229551</v>
      </c>
      <c r="J22" s="6" t="n">
        <v>0.1417889733229551</v>
      </c>
      <c r="K22" s="6" t="n">
        <v>0.1417889733229551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0.1013266614308247</v>
      </c>
      <c r="H25" s="6" t="n">
        <v>0.1013266614308247</v>
      </c>
      <c r="I25" s="6" t="n">
        <v>0.1013266614308247</v>
      </c>
      <c r="J25" s="6" t="n">
        <v>0.1013266614308247</v>
      </c>
      <c r="K25" s="6" t="n">
        <v>0.1013266614308247</v>
      </c>
    </row>
    <row r="26">
      <c r="A26" s="4" t="inlineStr">
        <is>
          <t>R&amp;D % Revenue - Bull</t>
        </is>
      </c>
      <c r="G26" s="6" t="n">
        <v>0.1013266614308247</v>
      </c>
      <c r="H26" s="6" t="n">
        <v>0.1013266614308247</v>
      </c>
      <c r="I26" s="6" t="n">
        <v>0.1013266614308247</v>
      </c>
      <c r="J26" s="6" t="n">
        <v>0.1013266614308247</v>
      </c>
      <c r="K26" s="6" t="n">
        <v>0.1013266614308247</v>
      </c>
    </row>
    <row r="27">
      <c r="A27" s="4" t="inlineStr">
        <is>
          <t>R&amp;D % Revenue - Bear</t>
        </is>
      </c>
      <c r="G27" s="6" t="n">
        <v>0.1013266614308247</v>
      </c>
      <c r="H27" s="6" t="n">
        <v>0.1013266614308247</v>
      </c>
      <c r="I27" s="6" t="n">
        <v>0.1013266614308247</v>
      </c>
      <c r="J27" s="6" t="n">
        <v>0.1013266614308247</v>
      </c>
      <c r="K27" s="6" t="n">
        <v>0.1013266614308247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0.03633854460905063</v>
      </c>
      <c r="H30" s="6" t="n">
        <v>0.03633854460905063</v>
      </c>
      <c r="I30" s="6" t="n">
        <v>0.03633854460905063</v>
      </c>
      <c r="J30" s="6" t="n">
        <v>0.03633854460905063</v>
      </c>
      <c r="K30" s="6" t="n">
        <v>0.03633854460905063</v>
      </c>
    </row>
    <row r="31">
      <c r="A31" s="4" t="inlineStr">
        <is>
          <t>CapEx % Revenue</t>
        </is>
      </c>
      <c r="G31" s="6" t="n">
        <v>0.02356797406766706</v>
      </c>
      <c r="H31" s="6" t="n">
        <v>0.02356797406766706</v>
      </c>
      <c r="I31" s="6" t="n">
        <v>0.02356797406766706</v>
      </c>
      <c r="J31" s="6" t="n">
        <v>0.02356797406766706</v>
      </c>
      <c r="K31" s="6" t="n">
        <v>0.02356797406766706</v>
      </c>
    </row>
    <row r="32">
      <c r="A32" s="4" t="inlineStr">
        <is>
          <t>Tax Rate</t>
        </is>
      </c>
      <c r="G32" s="6" t="n">
        <v>0.2101217464790372</v>
      </c>
      <c r="H32" s="6" t="n">
        <v>0.2101217464790372</v>
      </c>
      <c r="I32" s="6" t="n">
        <v>0.2101217464790372</v>
      </c>
      <c r="J32" s="6" t="n">
        <v>0.2101217464790372</v>
      </c>
      <c r="K32" s="6" t="n">
        <v>0.2101217464790372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0.1057</v>
      </c>
    </row>
    <row r="36">
      <c r="A36" s="4" t="inlineStr">
        <is>
          <t>WACC - Bull</t>
        </is>
      </c>
      <c r="C36" s="6" t="n">
        <v>0.09570000000000001</v>
      </c>
    </row>
    <row r="37">
      <c r="A37" s="4" t="inlineStr">
        <is>
          <t>WACC - Bear</t>
        </is>
      </c>
      <c r="C37" s="6" t="n">
        <v>0.1157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10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8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PayPal Holdings, Inc. (PYPL)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27518</v>
      </c>
      <c r="D6" s="5" t="n">
        <v>29771</v>
      </c>
      <c r="E6" s="5" t="n">
        <v>31797</v>
      </c>
      <c r="F6" s="5" t="n">
        <v>33172</v>
      </c>
    </row>
    <row r="7">
      <c r="A7" s="4" t="inlineStr">
        <is>
          <t>Cost of Revenue</t>
        </is>
      </c>
      <c r="C7" s="5" t="n">
        <v>13745</v>
      </c>
      <c r="D7" s="5" t="n">
        <v>16067</v>
      </c>
      <c r="E7" s="5" t="n">
        <v>17139</v>
      </c>
      <c r="F7" s="5" t="n">
        <v>17707</v>
      </c>
    </row>
    <row r="8">
      <c r="A8" s="2" t="inlineStr">
        <is>
          <t>Gross Profit</t>
        </is>
      </c>
      <c r="C8" s="5" t="n">
        <v>13773</v>
      </c>
      <c r="D8" s="5" t="n">
        <v>13704</v>
      </c>
      <c r="E8" s="5" t="n">
        <v>14658</v>
      </c>
      <c r="F8" s="5" t="n">
        <v>15465</v>
      </c>
    </row>
    <row r="9">
      <c r="A9" s="4" t="inlineStr">
        <is>
          <t xml:space="preserve">  Gross Margin</t>
        </is>
      </c>
      <c r="C9" s="11" t="n">
        <v>0.5005087579039175</v>
      </c>
      <c r="D9" s="11" t="n">
        <v>0.4603137281246851</v>
      </c>
      <c r="E9" s="11" t="n">
        <v>0.4609868855552411</v>
      </c>
      <c r="F9" s="11" t="n">
        <v>0.4662064391655613</v>
      </c>
    </row>
    <row r="11">
      <c r="A11" s="4" t="inlineStr">
        <is>
          <t>R&amp;D Expense</t>
        </is>
      </c>
      <c r="C11" s="5" t="n">
        <v>3253</v>
      </c>
      <c r="D11" s="5" t="n">
        <v>2973</v>
      </c>
      <c r="E11" s="5" t="n">
        <v>2979</v>
      </c>
      <c r="F11" s="5" t="n">
        <v>3103</v>
      </c>
    </row>
    <row r="12">
      <c r="A12" s="4" t="inlineStr">
        <is>
          <t>SG&amp;A Expense</t>
        </is>
      </c>
      <c r="C12" s="5" t="n">
        <v>4356</v>
      </c>
      <c r="D12" s="5" t="n">
        <v>3868</v>
      </c>
      <c r="E12" s="5" t="n">
        <v>4148</v>
      </c>
      <c r="F12" s="5" t="n">
        <v>4262</v>
      </c>
    </row>
    <row r="13">
      <c r="A13" s="2" t="inlineStr">
        <is>
          <t>Operating Income (EBIT)</t>
        </is>
      </c>
      <c r="C13" s="5" t="n">
        <v>4044</v>
      </c>
      <c r="D13" s="5" t="n">
        <v>4944</v>
      </c>
      <c r="E13" s="5" t="n">
        <v>5763</v>
      </c>
      <c r="F13" s="5" t="n">
        <v>6396</v>
      </c>
    </row>
    <row r="14">
      <c r="A14" s="4" t="inlineStr">
        <is>
          <t xml:space="preserve">  EBIT Margin</t>
        </is>
      </c>
      <c r="C14" s="11" t="n">
        <v>0.1469583545315793</v>
      </c>
      <c r="D14" s="11" t="n">
        <v>0.1660676497262437</v>
      </c>
      <c r="E14" s="11" t="n">
        <v>0.1812435135390131</v>
      </c>
      <c r="F14" s="11" t="n">
        <v>0.1928132159652719</v>
      </c>
    </row>
    <row r="16">
      <c r="A16" s="4" t="inlineStr">
        <is>
          <t>Interest Expense</t>
        </is>
      </c>
      <c r="C16" s="5" t="n">
        <v>304</v>
      </c>
      <c r="D16" s="5" t="n">
        <v>347</v>
      </c>
      <c r="E16" s="5" t="n">
        <v>382</v>
      </c>
      <c r="F16" s="5" t="n">
        <v>441</v>
      </c>
    </row>
    <row r="17">
      <c r="A17" s="4" t="inlineStr">
        <is>
          <t>Tax Provision</t>
        </is>
      </c>
      <c r="C17" s="5" t="n">
        <v>947</v>
      </c>
      <c r="D17" s="5" t="n">
        <v>1165</v>
      </c>
      <c r="E17" s="5" t="n">
        <v>1182</v>
      </c>
      <c r="F17" s="5" t="n">
        <v>1059</v>
      </c>
    </row>
    <row r="18">
      <c r="A18" s="2" t="inlineStr">
        <is>
          <t>Net Income</t>
        </is>
      </c>
      <c r="C18" s="5" t="n">
        <v>2419</v>
      </c>
      <c r="D18" s="5" t="n">
        <v>4246</v>
      </c>
      <c r="E18" s="5" t="n">
        <v>4147</v>
      </c>
      <c r="F18" s="5" t="n">
        <v>5233</v>
      </c>
    </row>
    <row r="19">
      <c r="A19" s="4" t="inlineStr">
        <is>
          <t xml:space="preserve">  Net Margin</t>
        </is>
      </c>
      <c r="C19" s="11" t="n">
        <v>0.08790609782687696</v>
      </c>
      <c r="D19" s="11" t="n">
        <v>0.1426220147123039</v>
      </c>
      <c r="E19" s="11" t="n">
        <v>0.1304211089096456</v>
      </c>
      <c r="F19" s="11" t="n">
        <v>0.1577535270710237</v>
      </c>
    </row>
    <row r="21">
      <c r="A21" s="2" t="inlineStr">
        <is>
          <t>EBITDA</t>
        </is>
      </c>
      <c r="C21" s="5" t="n">
        <v>4987</v>
      </c>
      <c r="D21" s="5" t="n">
        <v>6830</v>
      </c>
      <c r="E21" s="5" t="n">
        <v>6743</v>
      </c>
      <c r="F21" s="5" t="n">
        <v>7696</v>
      </c>
    </row>
    <row r="22">
      <c r="A22" s="4" t="inlineStr">
        <is>
          <t xml:space="preserve">  EBITDA Margin</t>
        </is>
      </c>
      <c r="C22" s="11" t="n">
        <v>0.1812268333454466</v>
      </c>
      <c r="D22" s="11" t="n">
        <v>0.2294178898928488</v>
      </c>
      <c r="E22" s="11" t="n">
        <v>0.2120640311979118</v>
      </c>
      <c r="F22" s="11" t="n">
        <v>0.2320028940069938</v>
      </c>
    </row>
    <row r="23">
      <c r="A23" s="4" t="inlineStr">
        <is>
          <t>Diluted EPS</t>
        </is>
      </c>
      <c r="C23" s="12" t="n">
        <v>2.09</v>
      </c>
      <c r="D23" s="12" t="n">
        <v>3.84</v>
      </c>
      <c r="E23" s="12" t="n">
        <v>3.99</v>
      </c>
      <c r="F23" s="12" t="n">
        <v>5.41</v>
      </c>
    </row>
    <row r="24">
      <c r="A24" s="4" t="inlineStr">
        <is>
          <t>D&amp;A</t>
        </is>
      </c>
      <c r="C24" s="5" t="n">
        <v>1317</v>
      </c>
      <c r="D24" s="5" t="n">
        <v>1072</v>
      </c>
      <c r="E24" s="5" t="n">
        <v>1032</v>
      </c>
      <c r="F24" s="5" t="n">
        <v>963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7776</v>
      </c>
      <c r="D28" s="5" t="n">
        <v>9081</v>
      </c>
      <c r="E28" s="5" t="n">
        <v>6662</v>
      </c>
      <c r="F28" s="5" t="n">
        <v>8049</v>
      </c>
    </row>
    <row r="29">
      <c r="A29" s="4" t="inlineStr">
        <is>
          <t>Current Assets</t>
        </is>
      </c>
      <c r="C29" s="5" t="n">
        <v>57424</v>
      </c>
      <c r="D29" s="5" t="n">
        <v>62569</v>
      </c>
      <c r="E29" s="5" t="n">
        <v>58206</v>
      </c>
      <c r="F29" s="5" t="n">
        <v>59759</v>
      </c>
    </row>
    <row r="30">
      <c r="A30" s="4" t="inlineStr">
        <is>
          <t>Net PP&amp;E</t>
        </is>
      </c>
      <c r="C30" s="5" t="n">
        <v>1730</v>
      </c>
      <c r="D30" s="5" t="n">
        <v>1488</v>
      </c>
      <c r="E30" s="5" t="n">
        <v>1508</v>
      </c>
      <c r="F30" s="5" t="n">
        <v>1700</v>
      </c>
    </row>
    <row r="31">
      <c r="A31" s="4" t="inlineStr">
        <is>
          <t>Goodwill</t>
        </is>
      </c>
      <c r="C31" s="5" t="n">
        <v>11209</v>
      </c>
      <c r="D31" s="5" t="n">
        <v>11026</v>
      </c>
      <c r="E31" s="5" t="n">
        <v>10837</v>
      </c>
      <c r="F31" s="5" t="n">
        <v>10864</v>
      </c>
    </row>
    <row r="32">
      <c r="A32" s="2" t="inlineStr">
        <is>
          <t>Total Assets</t>
        </is>
      </c>
      <c r="C32" s="5" t="n">
        <v>78624</v>
      </c>
      <c r="D32" s="5" t="n">
        <v>82166</v>
      </c>
      <c r="E32" s="5" t="n">
        <v>78725</v>
      </c>
      <c r="F32" s="5" t="n">
        <v>80173</v>
      </c>
    </row>
    <row r="34">
      <c r="A34" s="4" t="inlineStr">
        <is>
          <t>Current Liabilities</t>
        </is>
      </c>
      <c r="C34" s="5" t="n">
        <v>45008</v>
      </c>
      <c r="D34" s="5" t="n">
        <v>48466</v>
      </c>
      <c r="E34" s="5" t="n">
        <v>45490</v>
      </c>
      <c r="F34" s="5" t="n">
        <v>46443</v>
      </c>
    </row>
    <row r="35">
      <c r="A35" s="4" t="inlineStr">
        <is>
          <t>Total Debt</t>
        </is>
      </c>
      <c r="C35" s="5" t="n">
        <v>10417</v>
      </c>
      <c r="D35" s="5" t="n">
        <v>9676</v>
      </c>
      <c r="E35" s="5" t="n">
        <v>9879</v>
      </c>
      <c r="F35" s="5" t="n">
        <v>9987</v>
      </c>
    </row>
    <row r="36">
      <c r="A36" s="2" t="inlineStr">
        <is>
          <t>Total Liabilities</t>
        </is>
      </c>
      <c r="C36" s="5" t="n">
        <v>58350</v>
      </c>
      <c r="D36" s="5" t="n">
        <v>61115</v>
      </c>
      <c r="E36" s="5" t="n">
        <v>58308</v>
      </c>
      <c r="F36" s="5" t="n">
        <v>59917</v>
      </c>
    </row>
    <row r="38">
      <c r="A38" s="2" t="inlineStr">
        <is>
          <t>Total Equity</t>
        </is>
      </c>
      <c r="C38" s="5" t="n">
        <v>20274</v>
      </c>
      <c r="D38" s="5" t="n">
        <v>21051</v>
      </c>
      <c r="E38" s="5" t="n">
        <v>20417</v>
      </c>
      <c r="F38" s="5" t="n">
        <v>20256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5813</v>
      </c>
      <c r="D42" s="5" t="n">
        <v>4843</v>
      </c>
      <c r="E42" s="5" t="n">
        <v>7450</v>
      </c>
      <c r="F42" s="5" t="n">
        <v>6416</v>
      </c>
    </row>
    <row r="43">
      <c r="A43" s="4" t="inlineStr">
        <is>
          <t>Capital Expenditure</t>
        </is>
      </c>
      <c r="C43" s="5" t="n">
        <v>-706</v>
      </c>
      <c r="D43" s="5" t="n">
        <v>-623</v>
      </c>
      <c r="E43" s="5" t="n">
        <v>-683</v>
      </c>
      <c r="F43" s="5" t="n">
        <v>-852</v>
      </c>
    </row>
    <row r="44">
      <c r="A44" s="2" t="inlineStr">
        <is>
          <t>Free Cash Flow</t>
        </is>
      </c>
      <c r="C44" s="5" t="n">
        <v>5107</v>
      </c>
      <c r="D44" s="5" t="n">
        <v>4220</v>
      </c>
      <c r="E44" s="5" t="n">
        <v>6767</v>
      </c>
      <c r="F44" s="5" t="n">
        <v>5564</v>
      </c>
    </row>
    <row r="46">
      <c r="A46" s="4" t="inlineStr">
        <is>
          <t>D&amp;A</t>
        </is>
      </c>
      <c r="C46" s="5" t="n">
        <v>1317</v>
      </c>
      <c r="D46" s="5" t="n">
        <v>1072</v>
      </c>
      <c r="E46" s="5" t="n">
        <v>1032</v>
      </c>
      <c r="F46" s="5" t="n">
        <v>963</v>
      </c>
    </row>
    <row r="47">
      <c r="A47" s="4" t="inlineStr">
        <is>
          <t>Stock-Based Compensation</t>
        </is>
      </c>
      <c r="C47" s="5" t="n">
        <v>1261</v>
      </c>
      <c r="D47" s="5" t="n">
        <v>1475</v>
      </c>
      <c r="E47" s="5" t="n">
        <v>1230</v>
      </c>
      <c r="F47" s="5" t="n">
        <v>1002</v>
      </c>
    </row>
    <row r="48">
      <c r="A48" s="4" t="inlineStr">
        <is>
          <t>Change in Working Capital</t>
        </is>
      </c>
      <c r="C48" s="5" t="n">
        <v>-454</v>
      </c>
      <c r="D48" s="5" t="n">
        <v>-1314</v>
      </c>
      <c r="E48" s="5" t="n">
        <v>-558</v>
      </c>
      <c r="F48" s="5" t="n">
        <v>-1064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PayPal Holdings, Inc. (PYPL)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Credit Services</t>
        </is>
      </c>
      <c r="C8" s="5" t="n">
        <v>27518</v>
      </c>
      <c r="D8" s="5" t="n">
        <v>29771</v>
      </c>
      <c r="E8" s="5" t="n">
        <v>31797</v>
      </c>
      <c r="F8" s="5" t="n">
        <v>33172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13745</v>
      </c>
      <c r="D16" s="5" t="n">
        <v>16067</v>
      </c>
      <c r="E16" s="5" t="n">
        <v>17139</v>
      </c>
      <c r="F16" s="5" t="n">
        <v>17707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4356</v>
      </c>
      <c r="D20" s="5" t="n">
        <v>3868</v>
      </c>
      <c r="E20" s="5" t="n">
        <v>4148</v>
      </c>
      <c r="F20" s="5" t="n">
        <v>4262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3253</v>
      </c>
      <c r="D21" s="5" t="n">
        <v>2973</v>
      </c>
      <c r="E21" s="5" t="n">
        <v>2979</v>
      </c>
      <c r="F21" s="5" t="n">
        <v>3103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1317</v>
      </c>
      <c r="D22" s="5" t="n">
        <v>1072</v>
      </c>
      <c r="E22" s="5" t="n">
        <v>1032</v>
      </c>
      <c r="F22" s="5" t="n">
        <v>963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304</v>
      </c>
      <c r="D29" s="5" t="n">
        <v>347</v>
      </c>
      <c r="E29" s="5" t="n">
        <v>382</v>
      </c>
      <c r="F29" s="5" t="n">
        <v>441</v>
      </c>
      <c r="G29" s="5" t="n">
        <v>441</v>
      </c>
      <c r="H29" s="5" t="n">
        <v>441</v>
      </c>
      <c r="I29" s="5" t="n">
        <v>441</v>
      </c>
      <c r="J29" s="5" t="n">
        <v>441</v>
      </c>
      <c r="K29" s="5" t="n">
        <v>441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947</v>
      </c>
      <c r="D31" s="5" t="n">
        <v>1165</v>
      </c>
      <c r="E31" s="5" t="n">
        <v>1182</v>
      </c>
      <c r="F31" s="5" t="n">
        <v>1059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-454</v>
      </c>
      <c r="D39" s="5" t="n">
        <v>-1314</v>
      </c>
      <c r="E39" s="5" t="n">
        <v>-558</v>
      </c>
      <c r="F39" s="5" t="n">
        <v>-1064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-706</v>
      </c>
      <c r="D42" s="5" t="n">
        <v>-623</v>
      </c>
      <c r="E42" s="5" t="n">
        <v>-683</v>
      </c>
      <c r="F42" s="5" t="n">
        <v>-852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PayPal Holdings, Inc. (PYPL)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45.34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-1938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920.664542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C33/45.34-1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6x</t>
        </is>
      </c>
      <c r="D38" s="1" t="inlineStr">
        <is>
          <t>8x</t>
        </is>
      </c>
      <c r="E38" s="1" t="inlineStr">
        <is>
          <t>10x</t>
        </is>
      </c>
      <c r="F38" s="1" t="inlineStr">
        <is>
          <t>12x</t>
        </is>
      </c>
      <c r="G38" s="1" t="inlineStr">
        <is>
          <t>14x</t>
        </is>
      </c>
    </row>
    <row r="39">
      <c r="A39" s="21" t="n">
        <v>0.0757</v>
      </c>
      <c r="C39" s="22">
        <f>(G$12/(1+$A$39)^1+H$12/(1+$A$39)^2+I$12/(1+$A$39)^3+J$12/(1+$A$39)^4+K$12/(1+$A$39)^5+K$8*6/(1+$A$39)^5+$C$29)/$C$32</f>
        <v/>
      </c>
      <c r="D39" s="22">
        <f>(G$12/(1+$A$39)^1+H$12/(1+$A$39)^2+I$12/(1+$A$39)^3+J$12/(1+$A$39)^4+K$12/(1+$A$39)^5+K$8*8/(1+$A$39)^5+$C$29)/$C$32</f>
        <v/>
      </c>
      <c r="E39" s="22">
        <f>(G$12/(1+$A$39)^1+H$12/(1+$A$39)^2+I$12/(1+$A$39)^3+J$12/(1+$A$39)^4+K$12/(1+$A$39)^5+K$8*10/(1+$A$39)^5+$C$29)/$C$32</f>
        <v/>
      </c>
      <c r="F39" s="22">
        <f>(G$12/(1+$A$39)^1+H$12/(1+$A$39)^2+I$12/(1+$A$39)^3+J$12/(1+$A$39)^4+K$12/(1+$A$39)^5+K$8*12/(1+$A$39)^5+$C$29)/$C$32</f>
        <v/>
      </c>
      <c r="G39" s="22">
        <f>(G$12/(1+$A$39)^1+H$12/(1+$A$39)^2+I$12/(1+$A$39)^3+J$12/(1+$A$39)^4+K$12/(1+$A$39)^5+K$8*14/(1+$A$39)^5+$C$29)/$C$32</f>
        <v/>
      </c>
    </row>
    <row r="40">
      <c r="A40" s="21" t="n">
        <v>0.0857</v>
      </c>
      <c r="C40" s="22">
        <f>(G$12/(1+$A$40)^1+H$12/(1+$A$40)^2+I$12/(1+$A$40)^3+J$12/(1+$A$40)^4+K$12/(1+$A$40)^5+K$8*6/(1+$A$40)^5+$C$29)/$C$32</f>
        <v/>
      </c>
      <c r="D40" s="22">
        <f>(G$12/(1+$A$40)^1+H$12/(1+$A$40)^2+I$12/(1+$A$40)^3+J$12/(1+$A$40)^4+K$12/(1+$A$40)^5+K$8*8/(1+$A$40)^5+$C$29)/$C$32</f>
        <v/>
      </c>
      <c r="E40" s="22">
        <f>(G$12/(1+$A$40)^1+H$12/(1+$A$40)^2+I$12/(1+$A$40)^3+J$12/(1+$A$40)^4+K$12/(1+$A$40)^5+K$8*10/(1+$A$40)^5+$C$29)/$C$32</f>
        <v/>
      </c>
      <c r="F40" s="22">
        <f>(G$12/(1+$A$40)^1+H$12/(1+$A$40)^2+I$12/(1+$A$40)^3+J$12/(1+$A$40)^4+K$12/(1+$A$40)^5+K$8*12/(1+$A$40)^5+$C$29)/$C$32</f>
        <v/>
      </c>
      <c r="G40" s="22">
        <f>(G$12/(1+$A$40)^1+H$12/(1+$A$40)^2+I$12/(1+$A$40)^3+J$12/(1+$A$40)^4+K$12/(1+$A$40)^5+K$8*14/(1+$A$40)^5+$C$29)/$C$32</f>
        <v/>
      </c>
    </row>
    <row r="41">
      <c r="A41" s="21" t="n">
        <v>0.09570000000000001</v>
      </c>
      <c r="C41" s="22">
        <f>(G$12/(1+$A$41)^1+H$12/(1+$A$41)^2+I$12/(1+$A$41)^3+J$12/(1+$A$41)^4+K$12/(1+$A$41)^5+K$8*6/(1+$A$41)^5+$C$29)/$C$32</f>
        <v/>
      </c>
      <c r="D41" s="22">
        <f>(G$12/(1+$A$41)^1+H$12/(1+$A$41)^2+I$12/(1+$A$41)^3+J$12/(1+$A$41)^4+K$12/(1+$A$41)^5+K$8*8/(1+$A$41)^5+$C$29)/$C$32</f>
        <v/>
      </c>
      <c r="E41" s="22">
        <f>(G$12/(1+$A$41)^1+H$12/(1+$A$41)^2+I$12/(1+$A$41)^3+J$12/(1+$A$41)^4+K$12/(1+$A$41)^5+K$8*10/(1+$A$41)^5+$C$29)/$C$32</f>
        <v/>
      </c>
      <c r="F41" s="22">
        <f>(G$12/(1+$A$41)^1+H$12/(1+$A$41)^2+I$12/(1+$A$41)^3+J$12/(1+$A$41)^4+K$12/(1+$A$41)^5+K$8*12/(1+$A$41)^5+$C$29)/$C$32</f>
        <v/>
      </c>
      <c r="G41" s="22">
        <f>(G$12/(1+$A$41)^1+H$12/(1+$A$41)^2+I$12/(1+$A$41)^3+J$12/(1+$A$41)^4+K$12/(1+$A$41)^5+K$8*14/(1+$A$41)^5+$C$29)/$C$32</f>
        <v/>
      </c>
    </row>
    <row r="42">
      <c r="A42" s="21" t="n">
        <v>0.1057</v>
      </c>
      <c r="C42" s="22">
        <f>(G$12/(1+$A$42)^1+H$12/(1+$A$42)^2+I$12/(1+$A$42)^3+J$12/(1+$A$42)^4+K$12/(1+$A$42)^5+K$8*6/(1+$A$42)^5+$C$29)/$C$32</f>
        <v/>
      </c>
      <c r="D42" s="22">
        <f>(G$12/(1+$A$42)^1+H$12/(1+$A$42)^2+I$12/(1+$A$42)^3+J$12/(1+$A$42)^4+K$12/(1+$A$42)^5+K$8*8/(1+$A$42)^5+$C$29)/$C$32</f>
        <v/>
      </c>
      <c r="E42" s="23">
        <f>(G$12/(1+$A$42)^1+H$12/(1+$A$42)^2+I$12/(1+$A$42)^3+J$12/(1+$A$42)^4+K$12/(1+$A$42)^5+K$8*10/(1+$A$42)^5+$C$29)/$C$32</f>
        <v/>
      </c>
      <c r="F42" s="22">
        <f>(G$12/(1+$A$42)^1+H$12/(1+$A$42)^2+I$12/(1+$A$42)^3+J$12/(1+$A$42)^4+K$12/(1+$A$42)^5+K$8*12/(1+$A$42)^5+$C$29)/$C$32</f>
        <v/>
      </c>
      <c r="G42" s="22">
        <f>(G$12/(1+$A$42)^1+H$12/(1+$A$42)^2+I$12/(1+$A$42)^3+J$12/(1+$A$42)^4+K$12/(1+$A$42)^5+K$8*14/(1+$A$42)^5+$C$29)/$C$32</f>
        <v/>
      </c>
    </row>
    <row r="43">
      <c r="A43" s="21" t="n">
        <v>0.1157</v>
      </c>
      <c r="C43" s="22">
        <f>(G$12/(1+$A$43)^1+H$12/(1+$A$43)^2+I$12/(1+$A$43)^3+J$12/(1+$A$43)^4+K$12/(1+$A$43)^5+K$8*6/(1+$A$43)^5+$C$29)/$C$32</f>
        <v/>
      </c>
      <c r="D43" s="22">
        <f>(G$12/(1+$A$43)^1+H$12/(1+$A$43)^2+I$12/(1+$A$43)^3+J$12/(1+$A$43)^4+K$12/(1+$A$43)^5+K$8*8/(1+$A$43)^5+$C$29)/$C$32</f>
        <v/>
      </c>
      <c r="E43" s="22">
        <f>(G$12/(1+$A$43)^1+H$12/(1+$A$43)^2+I$12/(1+$A$43)^3+J$12/(1+$A$43)^4+K$12/(1+$A$43)^5+K$8*10/(1+$A$43)^5+$C$29)/$C$32</f>
        <v/>
      </c>
      <c r="F43" s="22">
        <f>(G$12/(1+$A$43)^1+H$12/(1+$A$43)^2+I$12/(1+$A$43)^3+J$12/(1+$A$43)^4+K$12/(1+$A$43)^5+K$8*12/(1+$A$43)^5+$C$29)/$C$32</f>
        <v/>
      </c>
      <c r="G43" s="22">
        <f>(G$12/(1+$A$43)^1+H$12/(1+$A$43)^2+I$12/(1+$A$43)^3+J$12/(1+$A$43)^4+K$12/(1+$A$43)^5+K$8*14/(1+$A$43)^5+$C$29)/$C$32</f>
        <v/>
      </c>
    </row>
    <row r="44">
      <c r="A44" s="21" t="n">
        <v>0.1257</v>
      </c>
      <c r="C44" s="22">
        <f>(G$12/(1+$A$44)^1+H$12/(1+$A$44)^2+I$12/(1+$A$44)^3+J$12/(1+$A$44)^4+K$12/(1+$A$44)^5+K$8*6/(1+$A$44)^5+$C$29)/$C$32</f>
        <v/>
      </c>
      <c r="D44" s="22">
        <f>(G$12/(1+$A$44)^1+H$12/(1+$A$44)^2+I$12/(1+$A$44)^3+J$12/(1+$A$44)^4+K$12/(1+$A$44)^5+K$8*8/(1+$A$44)^5+$C$29)/$C$32</f>
        <v/>
      </c>
      <c r="E44" s="22">
        <f>(G$12/(1+$A$44)^1+H$12/(1+$A$44)^2+I$12/(1+$A$44)^3+J$12/(1+$A$44)^4+K$12/(1+$A$44)^5+K$8*10/(1+$A$44)^5+$C$29)/$C$32</f>
        <v/>
      </c>
      <c r="F44" s="22">
        <f>(G$12/(1+$A$44)^1+H$12/(1+$A$44)^2+I$12/(1+$A$44)^3+J$12/(1+$A$44)^4+K$12/(1+$A$44)^5+K$8*12/(1+$A$44)^5+$C$29)/$C$32</f>
        <v/>
      </c>
      <c r="G44" s="22">
        <f>(G$12/(1+$A$44)^1+H$12/(1+$A$44)^2+I$12/(1+$A$44)^3+J$12/(1+$A$44)^4+K$12/(1+$A$44)^5+K$8*14/(1+$A$44)^5+$C$29)/$C$32</f>
        <v/>
      </c>
    </row>
    <row r="45">
      <c r="A45" s="21" t="n">
        <v>0.1357</v>
      </c>
      <c r="C45" s="22">
        <f>(G$12/(1+$A$45)^1+H$12/(1+$A$45)^2+I$12/(1+$A$45)^3+J$12/(1+$A$45)^4+K$12/(1+$A$45)^5+K$8*6/(1+$A$45)^5+$C$29)/$C$32</f>
        <v/>
      </c>
      <c r="D45" s="22">
        <f>(G$12/(1+$A$45)^1+H$12/(1+$A$45)^2+I$12/(1+$A$45)^3+J$12/(1+$A$45)^4+K$12/(1+$A$45)^5+K$8*8/(1+$A$45)^5+$C$29)/$C$32</f>
        <v/>
      </c>
      <c r="E45" s="22">
        <f>(G$12/(1+$A$45)^1+H$12/(1+$A$45)^2+I$12/(1+$A$45)^3+J$12/(1+$A$45)^4+K$12/(1+$A$45)^5+K$8*10/(1+$A$45)^5+$C$29)/$C$32</f>
        <v/>
      </c>
      <c r="F45" s="22">
        <f>(G$12/(1+$A$45)^1+H$12/(1+$A$45)^2+I$12/(1+$A$45)^3+J$12/(1+$A$45)^4+K$12/(1+$A$45)^5+K$8*12/(1+$A$45)^5+$C$29)/$C$32</f>
        <v/>
      </c>
      <c r="G45" s="22">
        <f>(G$12/(1+$A$45)^1+H$12/(1+$A$45)^2+I$12/(1+$A$45)^3+J$12/(1+$A$45)^4+K$12/(1+$A$45)^5+K$8*14/(1+$A$45)^5+$C$29)/$C$32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2026-04-04T14:30:00Z</dcterms:created>
  <dcterms:modified xmlns:dcterms="http://purl.org/dc/terms/" xmlns:xsi="http://www.w3.org/2001/XMLSchema-instance" xsi:type="dcterms:W3CDTF">2026-04-04T14:30:00Z</dcterms:modified>
</cp:coreProperties>
</file>