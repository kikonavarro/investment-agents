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color rgb="FF0000FF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165" fontId="4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4" fillId="3" borderId="0" pivotButton="0" quotePrefix="0" xfId="0"/>
    <xf numFmtId="166" fontId="0" fillId="0" borderId="0" pivotButton="0" quotePrefix="0" xfId="0"/>
    <xf numFmtId="165" fontId="3" fillId="0" borderId="0" pivotButton="0" quotePrefix="0" xfId="0"/>
    <xf numFmtId="167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4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Microsoft Corporation (MSFT)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B2" s="3" t="inlineStr"/>
      <c r="G2" s="4" t="n">
        <v>1</v>
      </c>
      <c r="H2" s="3" t="inlineStr">
        <is>
          <t>1=Base, 2=Bull, 3=Bear</t>
        </is>
      </c>
    </row>
    <row r="4">
      <c r="A4" s="3" t="inlineStr"/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Software - Infrastructure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198270</v>
      </c>
      <c r="D7" s="5" t="n">
        <v>211915</v>
      </c>
      <c r="E7" s="5" t="n">
        <v>245122</v>
      </c>
      <c r="F7" s="5" t="n">
        <v>281724</v>
      </c>
    </row>
    <row r="8">
      <c r="A8" s="3" t="inlineStr">
        <is>
          <t xml:space="preserve">  Revenue Growth - Base</t>
        </is>
      </c>
      <c r="G8" s="6" t="n">
        <v>0.167</v>
      </c>
      <c r="H8" s="6" t="n">
        <v>0.1503</v>
      </c>
      <c r="I8" s="6" t="n">
        <v>0.1336</v>
      </c>
      <c r="J8" s="6" t="n">
        <v>0.1169</v>
      </c>
      <c r="K8" s="6" t="n">
        <v>0.1002</v>
      </c>
    </row>
    <row r="9">
      <c r="A9" s="3" t="inlineStr">
        <is>
          <t xml:space="preserve">  Revenue Growth - Bull</t>
        </is>
      </c>
      <c r="G9" s="6" t="n">
        <v>0.2171</v>
      </c>
      <c r="H9" s="6" t="n">
        <v>0.21209</v>
      </c>
      <c r="I9" s="6" t="n">
        <v>0.20708</v>
      </c>
      <c r="J9" s="6" t="n">
        <v>0.20207</v>
      </c>
      <c r="K9" s="6" t="n">
        <v>0.19706</v>
      </c>
    </row>
    <row r="10">
      <c r="A10" s="3" t="inlineStr">
        <is>
          <t xml:space="preserve">  Revenue Growth - Bear</t>
        </is>
      </c>
      <c r="G10" s="6" t="n">
        <v>0.1169</v>
      </c>
      <c r="H10" s="6" t="n">
        <v>0.12191</v>
      </c>
      <c r="I10" s="6" t="n">
        <v>0.12692</v>
      </c>
      <c r="J10" s="6" t="n">
        <v>0.13193</v>
      </c>
      <c r="K10" s="6" t="n">
        <v>0.13694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3" t="inlineStr">
        <is>
          <t>Gross Margin - Base</t>
        </is>
      </c>
      <c r="G15" s="6" t="n">
        <v>0.6897748664547917</v>
      </c>
      <c r="H15" s="6" t="n">
        <v>0.6897748664547917</v>
      </c>
      <c r="I15" s="6" t="n">
        <v>0.6897748664547917</v>
      </c>
      <c r="J15" s="6" t="n">
        <v>0.6897748664547917</v>
      </c>
      <c r="K15" s="6" t="n">
        <v>0.6897748664547917</v>
      </c>
    </row>
    <row r="16">
      <c r="A16" s="3" t="inlineStr">
        <is>
          <t>Gross Margin - Bull</t>
        </is>
      </c>
      <c r="G16" s="6" t="n">
        <v>0.7097748664547917</v>
      </c>
      <c r="H16" s="6" t="n">
        <v>0.7097748664547917</v>
      </c>
      <c r="I16" s="6" t="n">
        <v>0.7097748664547917</v>
      </c>
      <c r="J16" s="6" t="n">
        <v>0.7097748664547917</v>
      </c>
      <c r="K16" s="6" t="n">
        <v>0.7097748664547917</v>
      </c>
    </row>
    <row r="17">
      <c r="A17" s="3" t="inlineStr">
        <is>
          <t>Gross Margin - Bear</t>
        </is>
      </c>
      <c r="G17" s="6" t="n">
        <v>0.6697748664547917</v>
      </c>
      <c r="H17" s="6" t="n">
        <v>0.6697748664547917</v>
      </c>
      <c r="I17" s="6" t="n">
        <v>0.6697748664547917</v>
      </c>
      <c r="J17" s="6" t="n">
        <v>0.6697748664547917</v>
      </c>
      <c r="K17" s="6" t="n">
        <v>0.6697748664547917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3" t="inlineStr">
        <is>
          <t>SG&amp;A % Revenue - Base</t>
        </is>
      </c>
      <c r="G20" s="6" t="n">
        <v>0.13262215029035</v>
      </c>
      <c r="H20" s="6" t="n">
        <v>0.13262215029035</v>
      </c>
      <c r="I20" s="6" t="n">
        <v>0.13262215029035</v>
      </c>
      <c r="J20" s="6" t="n">
        <v>0.13262215029035</v>
      </c>
      <c r="K20" s="6" t="n">
        <v>0.13262215029035</v>
      </c>
    </row>
    <row r="21">
      <c r="A21" s="3" t="inlineStr">
        <is>
          <t>SG&amp;A % Revenue - Bull</t>
        </is>
      </c>
      <c r="G21" s="6" t="n">
        <v>0.12262215029035</v>
      </c>
      <c r="H21" s="6" t="n">
        <v>0.12262215029035</v>
      </c>
      <c r="I21" s="6" t="n">
        <v>0.12262215029035</v>
      </c>
      <c r="J21" s="6" t="n">
        <v>0.12262215029035</v>
      </c>
      <c r="K21" s="6" t="n">
        <v>0.12262215029035</v>
      </c>
    </row>
    <row r="22">
      <c r="A22" s="3" t="inlineStr">
        <is>
          <t>SG&amp;A % Revenue - Bear</t>
        </is>
      </c>
      <c r="G22" s="6" t="n">
        <v>0.14262215029035</v>
      </c>
      <c r="H22" s="6" t="n">
        <v>0.14262215029035</v>
      </c>
      <c r="I22" s="6" t="n">
        <v>0.14262215029035</v>
      </c>
      <c r="J22" s="6" t="n">
        <v>0.14262215029035</v>
      </c>
      <c r="K22" s="6" t="n">
        <v>0.14262215029035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3" t="inlineStr">
        <is>
          <t>R&amp;D % Revenue - Base</t>
        </is>
      </c>
      <c r="G25" s="6" t="n">
        <v>0.1219166796487229</v>
      </c>
      <c r="H25" s="6" t="n">
        <v>0.1219166796487229</v>
      </c>
      <c r="I25" s="6" t="n">
        <v>0.1219166796487229</v>
      </c>
      <c r="J25" s="6" t="n">
        <v>0.1219166796487229</v>
      </c>
      <c r="K25" s="6" t="n">
        <v>0.1219166796487229</v>
      </c>
    </row>
    <row r="26">
      <c r="A26" s="3" t="inlineStr">
        <is>
          <t>R&amp;D % Revenue - Bull</t>
        </is>
      </c>
      <c r="G26" s="6" t="n">
        <v>0.1219166796487229</v>
      </c>
      <c r="H26" s="6" t="n">
        <v>0.1219166796487229</v>
      </c>
      <c r="I26" s="6" t="n">
        <v>0.1219166796487229</v>
      </c>
      <c r="J26" s="6" t="n">
        <v>0.1219166796487229</v>
      </c>
      <c r="K26" s="6" t="n">
        <v>0.1219166796487229</v>
      </c>
    </row>
    <row r="27">
      <c r="A27" s="3" t="inlineStr">
        <is>
          <t>R&amp;D % Revenue - Bear</t>
        </is>
      </c>
      <c r="G27" s="6" t="n">
        <v>0.1269166796487229</v>
      </c>
      <c r="H27" s="6" t="n">
        <v>0.1269166796487229</v>
      </c>
      <c r="I27" s="6" t="n">
        <v>0.1269166796487229</v>
      </c>
      <c r="J27" s="6" t="n">
        <v>0.1269166796487229</v>
      </c>
      <c r="K27" s="6" t="n">
        <v>0.1269166796487229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3" t="inlineStr">
        <is>
          <t>D&amp;A % Revenue</t>
        </is>
      </c>
      <c r="G30" s="6" t="n">
        <v>0.08762245053742115</v>
      </c>
      <c r="H30" s="6" t="n">
        <v>0.08762245053742115</v>
      </c>
      <c r="I30" s="6" t="n">
        <v>0.08762245053742115</v>
      </c>
      <c r="J30" s="6" t="n">
        <v>0.08762245053742115</v>
      </c>
      <c r="K30" s="6" t="n">
        <v>0.08762245053742115</v>
      </c>
    </row>
    <row r="31">
      <c r="A31" s="3" t="inlineStr">
        <is>
          <t>CapEx % Revenue</t>
        </is>
      </c>
      <c r="G31" s="6" t="n">
        <v>0.1659205952574864</v>
      </c>
      <c r="H31" s="6" t="n">
        <v>0.1659205952574864</v>
      </c>
      <c r="I31" s="6" t="n">
        <v>0.1659205952574864</v>
      </c>
      <c r="J31" s="6" t="n">
        <v>0.1659205952574864</v>
      </c>
      <c r="K31" s="6" t="n">
        <v>0.1659205952574864</v>
      </c>
    </row>
    <row r="32">
      <c r="A32" s="3" t="inlineStr">
        <is>
          <t>Tax Rate</t>
        </is>
      </c>
      <c r="G32" s="6" t="n">
        <v>0.1680695501314541</v>
      </c>
      <c r="H32" s="6" t="n">
        <v>0.1680695501314541</v>
      </c>
      <c r="I32" s="6" t="n">
        <v>0.1680695501314541</v>
      </c>
      <c r="J32" s="6" t="n">
        <v>0.1680695501314541</v>
      </c>
      <c r="K32" s="6" t="n">
        <v>0.1680695501314541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3" t="inlineStr">
        <is>
          <t>WACC - Base</t>
        </is>
      </c>
      <c r="C35" s="6" t="n">
        <v>0.1033</v>
      </c>
    </row>
    <row r="36">
      <c r="A36" s="3" t="inlineStr">
        <is>
          <t>WACC - Bull</t>
        </is>
      </c>
      <c r="C36" s="6" t="n">
        <v>0.09330000000000001</v>
      </c>
    </row>
    <row r="37">
      <c r="A37" s="3" t="inlineStr">
        <is>
          <t>WACC - Bear</t>
        </is>
      </c>
      <c r="C37" s="6" t="n">
        <v>0.1233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3" t="inlineStr">
        <is>
          <t>Terminal Value Multiple - Base</t>
        </is>
      </c>
      <c r="C40" s="9" t="n">
        <v>19</v>
      </c>
    </row>
    <row r="41">
      <c r="A41" s="3" t="inlineStr">
        <is>
          <t>Terminal Value Multiple - Bull</t>
        </is>
      </c>
      <c r="C41" s="9" t="n">
        <v>21</v>
      </c>
    </row>
    <row r="42">
      <c r="A42" s="3" t="inlineStr">
        <is>
          <t>Terminal Value Multiple - Bear</t>
        </is>
      </c>
      <c r="C42" s="9" t="n">
        <v>16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Microsoft Corporation (MSFT) - Historical Financial Statements</t>
        </is>
      </c>
      <c r="B1" s="1" t="n"/>
      <c r="C1" s="1" t="n"/>
      <c r="D1" s="1" t="n"/>
      <c r="E1" s="1" t="n"/>
      <c r="F1" s="1" t="n"/>
    </row>
    <row r="3">
      <c r="A3" s="3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198270</v>
      </c>
      <c r="D6" s="5" t="n">
        <v>211915</v>
      </c>
      <c r="E6" s="5" t="n">
        <v>245122</v>
      </c>
      <c r="F6" s="5" t="n">
        <v>281724</v>
      </c>
    </row>
    <row r="7">
      <c r="A7" s="3" t="inlineStr">
        <is>
          <t>Cost of Revenue</t>
        </is>
      </c>
      <c r="C7" s="5" t="n">
        <v>62650</v>
      </c>
      <c r="D7" s="5" t="n">
        <v>65863</v>
      </c>
      <c r="E7" s="5" t="n">
        <v>74114</v>
      </c>
      <c r="F7" s="5" t="n">
        <v>87831</v>
      </c>
    </row>
    <row r="8">
      <c r="A8" s="2" t="inlineStr">
        <is>
          <t>Gross Profit</t>
        </is>
      </c>
      <c r="C8" s="5" t="n">
        <v>135620</v>
      </c>
      <c r="D8" s="5" t="n">
        <v>146052</v>
      </c>
      <c r="E8" s="5" t="n">
        <v>171008</v>
      </c>
      <c r="F8" s="5" t="n">
        <v>193893</v>
      </c>
    </row>
    <row r="9">
      <c r="A9" s="3" t="inlineStr">
        <is>
          <t xml:space="preserve">  Gross Margin</t>
        </is>
      </c>
      <c r="C9" s="11" t="n">
        <v>0.684016744842891</v>
      </c>
      <c r="D9" s="11" t="n">
        <v>0.6892008588349102</v>
      </c>
      <c r="E9" s="11" t="n">
        <v>0.6976444382797138</v>
      </c>
      <c r="F9" s="11" t="n">
        <v>0.6882374238616519</v>
      </c>
    </row>
    <row r="11">
      <c r="A11" s="3" t="inlineStr">
        <is>
          <t>R&amp;D Expense</t>
        </is>
      </c>
      <c r="C11" s="5" t="n">
        <v>24512</v>
      </c>
      <c r="D11" s="5" t="n">
        <v>27195</v>
      </c>
      <c r="E11" s="5" t="n">
        <v>29510</v>
      </c>
      <c r="F11" s="5" t="n">
        <v>32488</v>
      </c>
    </row>
    <row r="12">
      <c r="A12" s="3" t="inlineStr">
        <is>
          <t>SG&amp;A Expense</t>
        </is>
      </c>
      <c r="C12" s="5" t="n">
        <v>27725</v>
      </c>
      <c r="D12" s="5" t="n">
        <v>30334</v>
      </c>
      <c r="E12" s="5" t="n">
        <v>32065</v>
      </c>
      <c r="F12" s="5" t="n">
        <v>32877</v>
      </c>
    </row>
    <row r="13">
      <c r="A13" s="2" t="inlineStr">
        <is>
          <t>Operating Income (EBIT)</t>
        </is>
      </c>
      <c r="C13" s="5" t="n">
        <v>83383</v>
      </c>
      <c r="D13" s="5" t="n">
        <v>88523</v>
      </c>
      <c r="E13" s="5" t="n">
        <v>109433</v>
      </c>
      <c r="F13" s="5" t="n">
        <v>128528</v>
      </c>
    </row>
    <row r="14">
      <c r="A14" s="3" t="inlineStr">
        <is>
          <t xml:space="preserve">  EBIT Margin</t>
        </is>
      </c>
      <c r="C14" s="11" t="n">
        <v>0.4205527815604983</v>
      </c>
      <c r="D14" s="11" t="n">
        <v>0.417728806361041</v>
      </c>
      <c r="E14" s="11" t="n">
        <v>0.4464429957327372</v>
      </c>
      <c r="F14" s="11" t="n">
        <v>0.4562195624085985</v>
      </c>
    </row>
    <row r="16">
      <c r="A16" s="3" t="inlineStr">
        <is>
          <t>Interest Expense</t>
        </is>
      </c>
      <c r="C16" s="5" t="n">
        <v>2063</v>
      </c>
      <c r="D16" s="5" t="n">
        <v>1968</v>
      </c>
      <c r="E16" s="5" t="n">
        <v>2935</v>
      </c>
      <c r="F16" s="5" t="n">
        <v>2385</v>
      </c>
    </row>
    <row r="17">
      <c r="A17" s="3" t="inlineStr">
        <is>
          <t>Tax Provision</t>
        </is>
      </c>
      <c r="C17" s="5" t="n">
        <v>10978</v>
      </c>
      <c r="D17" s="5" t="n">
        <v>16950</v>
      </c>
      <c r="E17" s="5" t="n">
        <v>19651</v>
      </c>
      <c r="F17" s="5" t="n">
        <v>21795</v>
      </c>
    </row>
    <row r="18">
      <c r="A18" s="2" t="inlineStr">
        <is>
          <t>Net Income</t>
        </is>
      </c>
      <c r="C18" s="5" t="n">
        <v>72738</v>
      </c>
      <c r="D18" s="5" t="n">
        <v>72361</v>
      </c>
      <c r="E18" s="5" t="n">
        <v>88136</v>
      </c>
      <c r="F18" s="5" t="n">
        <v>101832</v>
      </c>
    </row>
    <row r="19">
      <c r="A19" s="3" t="inlineStr">
        <is>
          <t xml:space="preserve">  Net Margin</t>
        </is>
      </c>
      <c r="C19" s="11" t="n">
        <v>0.3668633681343622</v>
      </c>
      <c r="D19" s="11" t="n">
        <v>0.3414623787839464</v>
      </c>
      <c r="E19" s="11" t="n">
        <v>0.3595597294408499</v>
      </c>
      <c r="F19" s="11" t="n">
        <v>0.3614601524896707</v>
      </c>
    </row>
    <row r="21">
      <c r="A21" s="2" t="inlineStr">
        <is>
          <t>EBITDA</t>
        </is>
      </c>
      <c r="C21" s="5" t="n">
        <v>100239</v>
      </c>
      <c r="D21" s="5" t="n">
        <v>105140</v>
      </c>
      <c r="E21" s="5" t="n">
        <v>133009</v>
      </c>
      <c r="F21" s="5" t="n">
        <v>160165</v>
      </c>
    </row>
    <row r="22">
      <c r="A22" s="3" t="inlineStr">
        <is>
          <t xml:space="preserve">  EBITDA Margin</t>
        </is>
      </c>
      <c r="C22" s="11" t="n">
        <v>0.5055681646239976</v>
      </c>
      <c r="D22" s="11" t="n">
        <v>0.4961423212136942</v>
      </c>
      <c r="E22" s="11" t="n">
        <v>0.5426236731097168</v>
      </c>
      <c r="F22" s="11" t="n">
        <v>0.5685174142068123</v>
      </c>
    </row>
    <row r="23">
      <c r="A23" s="3" t="inlineStr">
        <is>
          <t>Diluted EPS</t>
        </is>
      </c>
      <c r="C23" s="12" t="n">
        <v>9.65</v>
      </c>
      <c r="D23" s="12" t="n">
        <v>9.68</v>
      </c>
      <c r="E23" s="12" t="n">
        <v>11.8</v>
      </c>
      <c r="F23" s="12" t="n">
        <v>13.64</v>
      </c>
    </row>
    <row r="24">
      <c r="A24" s="3" t="inlineStr">
        <is>
          <t>D&amp;A</t>
        </is>
      </c>
      <c r="C24" s="5" t="n">
        <v>14460</v>
      </c>
      <c r="D24" s="5" t="n">
        <v>13861</v>
      </c>
      <c r="E24" s="5" t="n">
        <v>22287</v>
      </c>
      <c r="F24" s="5" t="n">
        <v>34153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3" t="inlineStr">
        <is>
          <t>Cash &amp; Equivalents</t>
        </is>
      </c>
      <c r="C28" s="5" t="n">
        <v>13931</v>
      </c>
      <c r="D28" s="5" t="n">
        <v>34704</v>
      </c>
      <c r="E28" s="5" t="n">
        <v>18315</v>
      </c>
      <c r="F28" s="5" t="n">
        <v>30242</v>
      </c>
    </row>
    <row r="29">
      <c r="A29" s="3" t="inlineStr">
        <is>
          <t>Current Assets</t>
        </is>
      </c>
      <c r="C29" s="5" t="n">
        <v>169684</v>
      </c>
      <c r="D29" s="5" t="n">
        <v>184257</v>
      </c>
      <c r="E29" s="5" t="n">
        <v>159734</v>
      </c>
      <c r="F29" s="5" t="n">
        <v>191131</v>
      </c>
    </row>
    <row r="30">
      <c r="A30" s="3" t="inlineStr">
        <is>
          <t>Net PP&amp;E</t>
        </is>
      </c>
      <c r="C30" s="5" t="n">
        <v>87546</v>
      </c>
      <c r="D30" s="5" t="n">
        <v>109987</v>
      </c>
      <c r="E30" s="5" t="n">
        <v>154552</v>
      </c>
      <c r="F30" s="5" t="n">
        <v>229789</v>
      </c>
    </row>
    <row r="31">
      <c r="A31" s="3" t="inlineStr">
        <is>
          <t>Goodwill</t>
        </is>
      </c>
      <c r="C31" s="5" t="n">
        <v>67524</v>
      </c>
      <c r="D31" s="5" t="n">
        <v>67886</v>
      </c>
      <c r="E31" s="5" t="n">
        <v>119220</v>
      </c>
      <c r="F31" s="5" t="n">
        <v>119509</v>
      </c>
    </row>
    <row r="32">
      <c r="A32" s="2" t="inlineStr">
        <is>
          <t>Total Assets</t>
        </is>
      </c>
      <c r="C32" s="5" t="n">
        <v>364840</v>
      </c>
      <c r="D32" s="5" t="n">
        <v>411976</v>
      </c>
      <c r="E32" s="5" t="n">
        <v>512163</v>
      </c>
      <c r="F32" s="5" t="n">
        <v>619003</v>
      </c>
    </row>
    <row r="34">
      <c r="A34" s="3" t="inlineStr">
        <is>
          <t>Current Liabilities</t>
        </is>
      </c>
      <c r="C34" s="5" t="n">
        <v>95082</v>
      </c>
      <c r="D34" s="5" t="n">
        <v>104149</v>
      </c>
      <c r="E34" s="5" t="n">
        <v>125286</v>
      </c>
      <c r="F34" s="5" t="n">
        <v>141218</v>
      </c>
    </row>
    <row r="35">
      <c r="A35" s="3" t="inlineStr">
        <is>
          <t>Total Debt</t>
        </is>
      </c>
      <c r="C35" s="5" t="n">
        <v>61270</v>
      </c>
      <c r="D35" s="5" t="n">
        <v>59965</v>
      </c>
      <c r="E35" s="5" t="n">
        <v>67127</v>
      </c>
      <c r="F35" s="5" t="n">
        <v>60588</v>
      </c>
    </row>
    <row r="36">
      <c r="A36" s="2" t="inlineStr">
        <is>
          <t>Total Liabilities</t>
        </is>
      </c>
      <c r="C36" s="5" t="n">
        <v>198298</v>
      </c>
      <c r="D36" s="5" t="n">
        <v>205753</v>
      </c>
      <c r="E36" s="5" t="n">
        <v>243686</v>
      </c>
      <c r="F36" s="5" t="n">
        <v>275524</v>
      </c>
    </row>
    <row r="38">
      <c r="A38" s="2" t="inlineStr">
        <is>
          <t>Total Equity</t>
        </is>
      </c>
      <c r="C38" s="5" t="n">
        <v>166542</v>
      </c>
      <c r="D38" s="5" t="n">
        <v>206223</v>
      </c>
      <c r="E38" s="5" t="n">
        <v>268477</v>
      </c>
      <c r="F38" s="5" t="n">
        <v>343479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89035</v>
      </c>
      <c r="D42" s="5" t="n">
        <v>87582</v>
      </c>
      <c r="E42" s="5" t="n">
        <v>118548</v>
      </c>
      <c r="F42" s="5" t="n">
        <v>136162</v>
      </c>
    </row>
    <row r="43">
      <c r="A43" s="3" t="inlineStr">
        <is>
          <t>Capital Expenditure</t>
        </is>
      </c>
      <c r="C43" s="5" t="n">
        <v>-23886</v>
      </c>
      <c r="D43" s="5" t="n">
        <v>-28107</v>
      </c>
      <c r="E43" s="5" t="n">
        <v>-44477</v>
      </c>
      <c r="F43" s="5" t="n">
        <v>-64551</v>
      </c>
    </row>
    <row r="44">
      <c r="A44" s="2" t="inlineStr">
        <is>
          <t>Free Cash Flow</t>
        </is>
      </c>
      <c r="C44" s="5" t="n">
        <v>65149</v>
      </c>
      <c r="D44" s="5" t="n">
        <v>59475</v>
      </c>
      <c r="E44" s="5" t="n">
        <v>74071</v>
      </c>
      <c r="F44" s="5" t="n">
        <v>71611</v>
      </c>
    </row>
    <row r="46">
      <c r="A46" s="3" t="inlineStr">
        <is>
          <t>D&amp;A</t>
        </is>
      </c>
      <c r="C46" s="5" t="n">
        <v>14460</v>
      </c>
      <c r="D46" s="5" t="n">
        <v>13861</v>
      </c>
      <c r="E46" s="5" t="n">
        <v>22287</v>
      </c>
      <c r="F46" s="5" t="n">
        <v>34153</v>
      </c>
    </row>
    <row r="47">
      <c r="A47" s="3" t="inlineStr">
        <is>
          <t>Stock-Based Compensation</t>
        </is>
      </c>
      <c r="C47" s="5" t="n">
        <v>7502</v>
      </c>
      <c r="D47" s="5" t="n">
        <v>9611</v>
      </c>
      <c r="E47" s="5" t="n">
        <v>10734</v>
      </c>
      <c r="F47" s="5" t="n">
        <v>11974</v>
      </c>
    </row>
    <row r="48">
      <c r="A48" s="3" t="inlineStr">
        <is>
          <t>Change in Working Capital</t>
        </is>
      </c>
      <c r="C48" s="5" t="n">
        <v>446</v>
      </c>
      <c r="D48" s="5" t="n">
        <v>-2388</v>
      </c>
      <c r="E48" s="5" t="n">
        <v>1824</v>
      </c>
      <c r="F48" s="5" t="n">
        <v>-5350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Microsoft Corporation (MSFT)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3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Infrastructure</t>
        </is>
      </c>
      <c r="C8" s="5" t="n">
        <v>198270</v>
      </c>
      <c r="D8" s="5" t="n">
        <v>211915</v>
      </c>
      <c r="E8" s="5" t="n">
        <v>245122</v>
      </c>
      <c r="F8" s="5" t="n">
        <v>281724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3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3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3" t="inlineStr">
        <is>
          <t>Cost of Goods Sold (COGS)</t>
        </is>
      </c>
      <c r="C16" s="5" t="n">
        <v>62650</v>
      </c>
      <c r="D16" s="5" t="n">
        <v>65863</v>
      </c>
      <c r="E16" s="5" t="n">
        <v>74114</v>
      </c>
      <c r="F16" s="5" t="n">
        <v>87831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3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3" t="inlineStr">
        <is>
          <t>SG&amp;A Expense</t>
        </is>
      </c>
      <c r="C20" s="5" t="n">
        <v>27725</v>
      </c>
      <c r="D20" s="5" t="n">
        <v>30334</v>
      </c>
      <c r="E20" s="5" t="n">
        <v>32065</v>
      </c>
      <c r="F20" s="5" t="n">
        <v>32877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3" t="inlineStr">
        <is>
          <t>R&amp;D Expense</t>
        </is>
      </c>
      <c r="C21" s="5" t="n">
        <v>24512</v>
      </c>
      <c r="D21" s="5" t="n">
        <v>27195</v>
      </c>
      <c r="E21" s="5" t="n">
        <v>29510</v>
      </c>
      <c r="F21" s="5" t="n">
        <v>32488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3" t="inlineStr">
        <is>
          <t>Depreciation &amp; Amortization</t>
        </is>
      </c>
      <c r="C22" s="5" t="n">
        <v>14460</v>
      </c>
      <c r="D22" s="5" t="n">
        <v>13861</v>
      </c>
      <c r="E22" s="5" t="n">
        <v>22287</v>
      </c>
      <c r="F22" s="5" t="n">
        <v>34153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3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3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3" t="inlineStr">
        <is>
          <t>Interest Expense</t>
        </is>
      </c>
      <c r="C29" s="5" t="n">
        <v>2063</v>
      </c>
      <c r="D29" s="5" t="n">
        <v>1968</v>
      </c>
      <c r="E29" s="5" t="n">
        <v>2935</v>
      </c>
      <c r="F29" s="5" t="n">
        <v>2385</v>
      </c>
      <c r="G29" s="5" t="n">
        <v>2385</v>
      </c>
      <c r="H29" s="5" t="n">
        <v>2385</v>
      </c>
      <c r="I29" s="5" t="n">
        <v>2385</v>
      </c>
      <c r="J29" s="5" t="n">
        <v>2385</v>
      </c>
      <c r="K29" s="5" t="n">
        <v>2385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3" t="inlineStr">
        <is>
          <t>Taxes</t>
        </is>
      </c>
      <c r="C31" s="5" t="n">
        <v>10978</v>
      </c>
      <c r="D31" s="5" t="n">
        <v>16950</v>
      </c>
      <c r="E31" s="5" t="n">
        <v>19651</v>
      </c>
      <c r="F31" s="5" t="n">
        <v>21795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3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3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3" t="inlineStr">
        <is>
          <t>(+/-) Change in Working Capital</t>
        </is>
      </c>
      <c r="C39" s="5" t="n">
        <v>446</v>
      </c>
      <c r="D39" s="5" t="n">
        <v>-2388</v>
      </c>
      <c r="E39" s="5" t="n">
        <v>1824</v>
      </c>
      <c r="F39" s="5" t="n">
        <v>-5350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3" t="inlineStr">
        <is>
          <t>(-) Capital Expenditure</t>
        </is>
      </c>
      <c r="C42" s="5" t="n">
        <v>-23886</v>
      </c>
      <c r="D42" s="5" t="n">
        <v>-28107</v>
      </c>
      <c r="E42" s="5" t="n">
        <v>-44477</v>
      </c>
      <c r="F42" s="5" t="n">
        <v>-64551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Microsoft Corporation (MSFT)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403.93</v>
      </c>
    </row>
    <row r="4">
      <c r="A4" s="3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3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3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3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3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3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3" t="inlineStr">
        <is>
          <t>WACC</t>
        </is>
      </c>
      <c r="C15" s="7">
        <f>Assumptions!C42</f>
        <v/>
      </c>
    </row>
    <row r="16">
      <c r="A16" s="3" t="inlineStr">
        <is>
          <t>Terminal Value Multiple</t>
        </is>
      </c>
      <c r="C16" s="10">
        <f>Assumptions!C48</f>
        <v/>
      </c>
    </row>
    <row r="18">
      <c r="A18" s="3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3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3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3" t="inlineStr">
        <is>
          <t>Sum of PV of UFCF ($M)</t>
        </is>
      </c>
      <c r="C25" s="8">
        <f>SUM(G19:K19)</f>
        <v/>
      </c>
    </row>
    <row r="26">
      <c r="A26" s="3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3" t="inlineStr">
        <is>
          <t>(-) Net Debt ($M)</t>
        </is>
      </c>
      <c r="C29" s="18" t="n">
        <v>-0</v>
      </c>
    </row>
    <row r="30">
      <c r="A30" s="2" t="inlineStr">
        <is>
          <t>Equity Value ($M)</t>
        </is>
      </c>
      <c r="C30" s="8">
        <f>C27+C29</f>
        <v/>
      </c>
    </row>
    <row r="32">
      <c r="A32" s="3" t="inlineStr">
        <is>
          <t>Shares Outstanding (M)</t>
        </is>
      </c>
      <c r="C32" s="18" t="n">
        <v>7425.629076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C33/403.93-1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3" t="inlineStr">
        <is>
          <t>WACC \ TV Multiple</t>
        </is>
      </c>
      <c r="C38" s="1" t="inlineStr">
        <is>
          <t>15x</t>
        </is>
      </c>
      <c r="D38" s="1" t="inlineStr">
        <is>
          <t>17x</t>
        </is>
      </c>
      <c r="E38" s="1" t="inlineStr">
        <is>
          <t>19x</t>
        </is>
      </c>
      <c r="F38" s="1" t="inlineStr">
        <is>
          <t>21x</t>
        </is>
      </c>
      <c r="G38" s="1" t="inlineStr">
        <is>
          <t>23x</t>
        </is>
      </c>
    </row>
    <row r="39">
      <c r="A39" s="21" t="n">
        <v>0.0733</v>
      </c>
      <c r="C39" s="22">
        <f>(G$12/(1+$A$39)^1+H$12/(1+$A$39)^2+I$12/(1+$A$39)^3+J$12/(1+$A$39)^4+K$12/(1+$A$39)^5+K$12*15/(1+$A$39)^5+$C$29)/$C$32</f>
        <v/>
      </c>
      <c r="D39" s="22">
        <f>(G$12/(1+$A$39)^1+H$12/(1+$A$39)^2+I$12/(1+$A$39)^3+J$12/(1+$A$39)^4+K$12/(1+$A$39)^5+K$12*17/(1+$A$39)^5+$C$29)/$C$32</f>
        <v/>
      </c>
      <c r="E39" s="22">
        <f>(G$12/(1+$A$39)^1+H$12/(1+$A$39)^2+I$12/(1+$A$39)^3+J$12/(1+$A$39)^4+K$12/(1+$A$39)^5+K$12*19/(1+$A$39)^5+$C$29)/$C$32</f>
        <v/>
      </c>
      <c r="F39" s="22">
        <f>(G$12/(1+$A$39)^1+H$12/(1+$A$39)^2+I$12/(1+$A$39)^3+J$12/(1+$A$39)^4+K$12/(1+$A$39)^5+K$12*21/(1+$A$39)^5+$C$29)/$C$32</f>
        <v/>
      </c>
      <c r="G39" s="22">
        <f>(G$12/(1+$A$39)^1+H$12/(1+$A$39)^2+I$12/(1+$A$39)^3+J$12/(1+$A$39)^4+K$12/(1+$A$39)^5+K$12*23/(1+$A$39)^5+$C$29)/$C$32</f>
        <v/>
      </c>
    </row>
    <row r="40">
      <c r="A40" s="21" t="n">
        <v>0.0833</v>
      </c>
      <c r="C40" s="22">
        <f>(G$12/(1+$A$40)^1+H$12/(1+$A$40)^2+I$12/(1+$A$40)^3+J$12/(1+$A$40)^4+K$12/(1+$A$40)^5+K$12*15/(1+$A$40)^5+$C$29)/$C$32</f>
        <v/>
      </c>
      <c r="D40" s="22">
        <f>(G$12/(1+$A$40)^1+H$12/(1+$A$40)^2+I$12/(1+$A$40)^3+J$12/(1+$A$40)^4+K$12/(1+$A$40)^5+K$12*17/(1+$A$40)^5+$C$29)/$C$32</f>
        <v/>
      </c>
      <c r="E40" s="22">
        <f>(G$12/(1+$A$40)^1+H$12/(1+$A$40)^2+I$12/(1+$A$40)^3+J$12/(1+$A$40)^4+K$12/(1+$A$40)^5+K$12*19/(1+$A$40)^5+$C$29)/$C$32</f>
        <v/>
      </c>
      <c r="F40" s="22">
        <f>(G$12/(1+$A$40)^1+H$12/(1+$A$40)^2+I$12/(1+$A$40)^3+J$12/(1+$A$40)^4+K$12/(1+$A$40)^5+K$12*21/(1+$A$40)^5+$C$29)/$C$32</f>
        <v/>
      </c>
      <c r="G40" s="22">
        <f>(G$12/(1+$A$40)^1+H$12/(1+$A$40)^2+I$12/(1+$A$40)^3+J$12/(1+$A$40)^4+K$12/(1+$A$40)^5+K$12*23/(1+$A$40)^5+$C$29)/$C$32</f>
        <v/>
      </c>
    </row>
    <row r="41">
      <c r="A41" s="21" t="n">
        <v>0.09330000000000001</v>
      </c>
      <c r="C41" s="22">
        <f>(G$12/(1+$A$41)^1+H$12/(1+$A$41)^2+I$12/(1+$A$41)^3+J$12/(1+$A$41)^4+K$12/(1+$A$41)^5+K$12*15/(1+$A$41)^5+$C$29)/$C$32</f>
        <v/>
      </c>
      <c r="D41" s="22">
        <f>(G$12/(1+$A$41)^1+H$12/(1+$A$41)^2+I$12/(1+$A$41)^3+J$12/(1+$A$41)^4+K$12/(1+$A$41)^5+K$12*17/(1+$A$41)^5+$C$29)/$C$32</f>
        <v/>
      </c>
      <c r="E41" s="22">
        <f>(G$12/(1+$A$41)^1+H$12/(1+$A$41)^2+I$12/(1+$A$41)^3+J$12/(1+$A$41)^4+K$12/(1+$A$41)^5+K$12*19/(1+$A$41)^5+$C$29)/$C$32</f>
        <v/>
      </c>
      <c r="F41" s="22">
        <f>(G$12/(1+$A$41)^1+H$12/(1+$A$41)^2+I$12/(1+$A$41)^3+J$12/(1+$A$41)^4+K$12/(1+$A$41)^5+K$12*21/(1+$A$41)^5+$C$29)/$C$32</f>
        <v/>
      </c>
      <c r="G41" s="22">
        <f>(G$12/(1+$A$41)^1+H$12/(1+$A$41)^2+I$12/(1+$A$41)^3+J$12/(1+$A$41)^4+K$12/(1+$A$41)^5+K$12*23/(1+$A$41)^5+$C$29)/$C$32</f>
        <v/>
      </c>
    </row>
    <row r="42">
      <c r="A42" s="21" t="n">
        <v>0.1033</v>
      </c>
      <c r="C42" s="22">
        <f>(G$12/(1+$A$42)^1+H$12/(1+$A$42)^2+I$12/(1+$A$42)^3+J$12/(1+$A$42)^4+K$12/(1+$A$42)^5+K$12*15/(1+$A$42)^5+$C$29)/$C$32</f>
        <v/>
      </c>
      <c r="D42" s="22">
        <f>(G$12/(1+$A$42)^1+H$12/(1+$A$42)^2+I$12/(1+$A$42)^3+J$12/(1+$A$42)^4+K$12/(1+$A$42)^5+K$12*17/(1+$A$42)^5+$C$29)/$C$32</f>
        <v/>
      </c>
      <c r="E42" s="23">
        <f>(G$12/(1+$A$42)^1+H$12/(1+$A$42)^2+I$12/(1+$A$42)^3+J$12/(1+$A$42)^4+K$12/(1+$A$42)^5+K$12*19/(1+$A$42)^5+$C$29)/$C$32</f>
        <v/>
      </c>
      <c r="F42" s="22">
        <f>(G$12/(1+$A$42)^1+H$12/(1+$A$42)^2+I$12/(1+$A$42)^3+J$12/(1+$A$42)^4+K$12/(1+$A$42)^5+K$12*21/(1+$A$42)^5+$C$29)/$C$32</f>
        <v/>
      </c>
      <c r="G42" s="22">
        <f>(G$12/(1+$A$42)^1+H$12/(1+$A$42)^2+I$12/(1+$A$42)^3+J$12/(1+$A$42)^4+K$12/(1+$A$42)^5+K$12*23/(1+$A$42)^5+$C$29)/$C$32</f>
        <v/>
      </c>
    </row>
    <row r="43">
      <c r="A43" s="21" t="n">
        <v>0.1133</v>
      </c>
      <c r="C43" s="22">
        <f>(G$12/(1+$A$43)^1+H$12/(1+$A$43)^2+I$12/(1+$A$43)^3+J$12/(1+$A$43)^4+K$12/(1+$A$43)^5+K$12*15/(1+$A$43)^5+$C$29)/$C$32</f>
        <v/>
      </c>
      <c r="D43" s="22">
        <f>(G$12/(1+$A$43)^1+H$12/(1+$A$43)^2+I$12/(1+$A$43)^3+J$12/(1+$A$43)^4+K$12/(1+$A$43)^5+K$12*17/(1+$A$43)^5+$C$29)/$C$32</f>
        <v/>
      </c>
      <c r="E43" s="22">
        <f>(G$12/(1+$A$43)^1+H$12/(1+$A$43)^2+I$12/(1+$A$43)^3+J$12/(1+$A$43)^4+K$12/(1+$A$43)^5+K$12*19/(1+$A$43)^5+$C$29)/$C$32</f>
        <v/>
      </c>
      <c r="F43" s="22">
        <f>(G$12/(1+$A$43)^1+H$12/(1+$A$43)^2+I$12/(1+$A$43)^3+J$12/(1+$A$43)^4+K$12/(1+$A$43)^5+K$12*21/(1+$A$43)^5+$C$29)/$C$32</f>
        <v/>
      </c>
      <c r="G43" s="22">
        <f>(G$12/(1+$A$43)^1+H$12/(1+$A$43)^2+I$12/(1+$A$43)^3+J$12/(1+$A$43)^4+K$12/(1+$A$43)^5+K$12*23/(1+$A$43)^5+$C$29)/$C$32</f>
        <v/>
      </c>
    </row>
    <row r="44">
      <c r="A44" s="21" t="n">
        <v>0.1233</v>
      </c>
      <c r="C44" s="22">
        <f>(G$12/(1+$A$44)^1+H$12/(1+$A$44)^2+I$12/(1+$A$44)^3+J$12/(1+$A$44)^4+K$12/(1+$A$44)^5+K$12*15/(1+$A$44)^5+$C$29)/$C$32</f>
        <v/>
      </c>
      <c r="D44" s="22">
        <f>(G$12/(1+$A$44)^1+H$12/(1+$A$44)^2+I$12/(1+$A$44)^3+J$12/(1+$A$44)^4+K$12/(1+$A$44)^5+K$12*17/(1+$A$44)^5+$C$29)/$C$32</f>
        <v/>
      </c>
      <c r="E44" s="22">
        <f>(G$12/(1+$A$44)^1+H$12/(1+$A$44)^2+I$12/(1+$A$44)^3+J$12/(1+$A$44)^4+K$12/(1+$A$44)^5+K$12*19/(1+$A$44)^5+$C$29)/$C$32</f>
        <v/>
      </c>
      <c r="F44" s="22">
        <f>(G$12/(1+$A$44)^1+H$12/(1+$A$44)^2+I$12/(1+$A$44)^3+J$12/(1+$A$44)^4+K$12/(1+$A$44)^5+K$12*21/(1+$A$44)^5+$C$29)/$C$32</f>
        <v/>
      </c>
      <c r="G44" s="22">
        <f>(G$12/(1+$A$44)^1+H$12/(1+$A$44)^2+I$12/(1+$A$44)^3+J$12/(1+$A$44)^4+K$12/(1+$A$44)^5+K$12*23/(1+$A$44)^5+$C$29)/$C$32</f>
        <v/>
      </c>
    </row>
    <row r="45">
      <c r="A45" s="21" t="n">
        <v>0.1333</v>
      </c>
      <c r="C45" s="22">
        <f>(G$12/(1+$A$45)^1+H$12/(1+$A$45)^2+I$12/(1+$A$45)^3+J$12/(1+$A$45)^4+K$12/(1+$A$45)^5+K$12*15/(1+$A$45)^5+$C$29)/$C$32</f>
        <v/>
      </c>
      <c r="D45" s="22">
        <f>(G$12/(1+$A$45)^1+H$12/(1+$A$45)^2+I$12/(1+$A$45)^3+J$12/(1+$A$45)^4+K$12/(1+$A$45)^5+K$12*17/(1+$A$45)^5+$C$29)/$C$32</f>
        <v/>
      </c>
      <c r="E45" s="22">
        <f>(G$12/(1+$A$45)^1+H$12/(1+$A$45)^2+I$12/(1+$A$45)^3+J$12/(1+$A$45)^4+K$12/(1+$A$45)^5+K$12*19/(1+$A$45)^5+$C$29)/$C$32</f>
        <v/>
      </c>
      <c r="F45" s="22">
        <f>(G$12/(1+$A$45)^1+H$12/(1+$A$45)^2+I$12/(1+$A$45)^3+J$12/(1+$A$45)^4+K$12/(1+$A$45)^5+K$12*21/(1+$A$45)^5+$C$29)/$C$32</f>
        <v/>
      </c>
      <c r="G45" s="22">
        <f>(G$12/(1+$A$45)^1+H$12/(1+$A$45)^2+I$12/(1+$A$45)^3+J$12/(1+$A$45)^4+K$12/(1+$A$45)^5+K$12*23/(1+$A$45)^5+$C$29)/$C$32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2026-03-03T22:55:31Z</dcterms:created>
  <dcterms:modified xmlns:dcterms="http://purl.org/dc/terms/" xmlns:xsi="http://www.w3.org/2001/XMLSchema-instance" xsi:type="dcterms:W3CDTF">2026-03-03T22:55:31Z</dcterms:modified>
</cp:coreProperties>
</file>