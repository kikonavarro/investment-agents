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sz val="10"/>
    </font>
    <font>
      <name val="Calibri"/>
      <color rgb="FF0000FF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164" fontId="3" fillId="0" borderId="0" pivotButton="0" quotePrefix="0" xfId="0"/>
    <xf numFmtId="165" fontId="4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4" fillId="3" borderId="0" pivotButton="0" quotePrefix="0" xfId="0"/>
    <xf numFmtId="166" fontId="0" fillId="0" borderId="0" pivotButton="0" quotePrefix="0" xfId="0"/>
    <xf numFmtId="165" fontId="3" fillId="0" borderId="0" pivotButton="0" quotePrefix="0" xfId="0"/>
    <xf numFmtId="167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4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Whitehaven Coal Limited (WHC.AX)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B2" s="3" t="inlineStr"/>
      <c r="G2" s="4" t="n">
        <v>1</v>
      </c>
      <c r="H2" s="3" t="inlineStr">
        <is>
          <t>1=Base, 2=Bull, 3=Bear</t>
        </is>
      </c>
    </row>
    <row r="4">
      <c r="A4" s="3" t="inlineStr"/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Thermal Coal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4920.102</v>
      </c>
      <c r="D7" s="5" t="n">
        <v>6064.739</v>
      </c>
      <c r="E7" s="5" t="n">
        <v>3824</v>
      </c>
      <c r="F7" s="5" t="n">
        <v>5832</v>
      </c>
    </row>
    <row r="8">
      <c r="A8" s="3" t="inlineStr">
        <is>
          <t xml:space="preserve">  Revenue Growth - Base</t>
        </is>
      </c>
      <c r="G8" s="6" t="n">
        <v>-0.15</v>
      </c>
      <c r="H8" s="6" t="n">
        <v>-0.13</v>
      </c>
      <c r="I8" s="6" t="n">
        <v>-0.12</v>
      </c>
      <c r="J8" s="6" t="n">
        <v>-0.11</v>
      </c>
      <c r="K8" s="6" t="n">
        <v>-0.09999999999999999</v>
      </c>
    </row>
    <row r="9">
      <c r="A9" s="3" t="inlineStr">
        <is>
          <t xml:space="preserve">  Revenue Growth - Bull</t>
        </is>
      </c>
      <c r="G9" s="6" t="n">
        <v>-0.105</v>
      </c>
      <c r="H9" s="6" t="n">
        <v>-0.1095</v>
      </c>
      <c r="I9" s="6" t="n">
        <v>-0.114</v>
      </c>
      <c r="J9" s="6" t="n">
        <v>-0.1185</v>
      </c>
      <c r="K9" s="6" t="n">
        <v>-0.123</v>
      </c>
    </row>
    <row r="10">
      <c r="A10" s="3" t="inlineStr">
        <is>
          <t xml:space="preserve">  Revenue Growth - Bear</t>
        </is>
      </c>
      <c r="G10" s="6" t="n">
        <v>-0.195</v>
      </c>
      <c r="H10" s="6" t="n">
        <v>-0.1905</v>
      </c>
      <c r="I10" s="6" t="n">
        <v>-0.186</v>
      </c>
      <c r="J10" s="6" t="n">
        <v>-0.1815</v>
      </c>
      <c r="K10" s="6" t="n">
        <v>-0.177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3" t="inlineStr">
        <is>
          <t>Gross Margin - Base</t>
        </is>
      </c>
      <c r="G15" s="6" t="n">
        <v>0.8374056927297668</v>
      </c>
      <c r="H15" s="6" t="n">
        <v>0.8374056927297668</v>
      </c>
      <c r="I15" s="6" t="n">
        <v>0.8374056927297668</v>
      </c>
      <c r="J15" s="6" t="n">
        <v>0.8374056927297668</v>
      </c>
      <c r="K15" s="6" t="n">
        <v>0.8374056927297668</v>
      </c>
    </row>
    <row r="16">
      <c r="A16" s="3" t="inlineStr">
        <is>
          <t>Gross Margin - Bull</t>
        </is>
      </c>
      <c r="G16" s="6" t="n">
        <v>0.8574056927297669</v>
      </c>
      <c r="H16" s="6" t="n">
        <v>0.8574056927297669</v>
      </c>
      <c r="I16" s="6" t="n">
        <v>0.8574056927297669</v>
      </c>
      <c r="J16" s="6" t="n">
        <v>0.8574056927297669</v>
      </c>
      <c r="K16" s="6" t="n">
        <v>0.8574056927297669</v>
      </c>
    </row>
    <row r="17">
      <c r="A17" s="3" t="inlineStr">
        <is>
          <t>Gross Margin - Bear</t>
        </is>
      </c>
      <c r="G17" s="6" t="n">
        <v>0.8174056927297668</v>
      </c>
      <c r="H17" s="6" t="n">
        <v>0.8174056927297668</v>
      </c>
      <c r="I17" s="6" t="n">
        <v>0.8174056927297668</v>
      </c>
      <c r="J17" s="6" t="n">
        <v>0.8174056927297668</v>
      </c>
      <c r="K17" s="6" t="n">
        <v>0.8174056927297668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3" t="inlineStr">
        <is>
          <t>SG&amp;A % Revenue - Base</t>
        </is>
      </c>
      <c r="G20" s="6" t="n">
        <v>0.07929030711046944</v>
      </c>
      <c r="H20" s="6" t="n">
        <v>0.07929030711046944</v>
      </c>
      <c r="I20" s="6" t="n">
        <v>0.07929030711046944</v>
      </c>
      <c r="J20" s="6" t="n">
        <v>0.07929030711046944</v>
      </c>
      <c r="K20" s="6" t="n">
        <v>0.07929030711046944</v>
      </c>
    </row>
    <row r="21">
      <c r="A21" s="3" t="inlineStr">
        <is>
          <t>SG&amp;A % Revenue - Bull</t>
        </is>
      </c>
      <c r="G21" s="6" t="n">
        <v>0.06929030711046945</v>
      </c>
      <c r="H21" s="6" t="n">
        <v>0.06929030711046945</v>
      </c>
      <c r="I21" s="6" t="n">
        <v>0.06929030711046945</v>
      </c>
      <c r="J21" s="6" t="n">
        <v>0.06929030711046945</v>
      </c>
      <c r="K21" s="6" t="n">
        <v>0.06929030711046945</v>
      </c>
    </row>
    <row r="22">
      <c r="A22" s="3" t="inlineStr">
        <is>
          <t>SG&amp;A % Revenue - Bear</t>
        </is>
      </c>
      <c r="G22" s="6" t="n">
        <v>0.08929030711046944</v>
      </c>
      <c r="H22" s="6" t="n">
        <v>0.08929030711046944</v>
      </c>
      <c r="I22" s="6" t="n">
        <v>0.08929030711046944</v>
      </c>
      <c r="J22" s="6" t="n">
        <v>0.08929030711046944</v>
      </c>
      <c r="K22" s="6" t="n">
        <v>0.08929030711046944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3" t="inlineStr">
        <is>
          <t>R&amp;D % Revenue - Base</t>
        </is>
      </c>
      <c r="G25" s="6" t="n">
        <v>0.05</v>
      </c>
      <c r="H25" s="6" t="n">
        <v>0.05</v>
      </c>
      <c r="I25" s="6" t="n">
        <v>0.05</v>
      </c>
      <c r="J25" s="6" t="n">
        <v>0.05</v>
      </c>
      <c r="K25" s="6" t="n">
        <v>0.05</v>
      </c>
    </row>
    <row r="26">
      <c r="A26" s="3" t="inlineStr">
        <is>
          <t>R&amp;D % Revenue - Bull</t>
        </is>
      </c>
      <c r="G26" s="6" t="n">
        <v>0.05</v>
      </c>
      <c r="H26" s="6" t="n">
        <v>0.05</v>
      </c>
      <c r="I26" s="6" t="n">
        <v>0.05</v>
      </c>
      <c r="J26" s="6" t="n">
        <v>0.05</v>
      </c>
      <c r="K26" s="6" t="n">
        <v>0.05</v>
      </c>
    </row>
    <row r="27">
      <c r="A27" s="3" t="inlineStr">
        <is>
          <t>R&amp;D % Revenue - Bear</t>
        </is>
      </c>
      <c r="G27" s="6" t="n">
        <v>0.055</v>
      </c>
      <c r="H27" s="6" t="n">
        <v>0.055</v>
      </c>
      <c r="I27" s="6" t="n">
        <v>0.055</v>
      </c>
      <c r="J27" s="6" t="n">
        <v>0.055</v>
      </c>
      <c r="K27" s="6" t="n">
        <v>0.055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3" t="inlineStr">
        <is>
          <t>D&amp;A % Revenue</t>
        </is>
      </c>
      <c r="G30" s="6" t="n">
        <v>0.06832951626591155</v>
      </c>
      <c r="H30" s="6" t="n">
        <v>0.06832951626591155</v>
      </c>
      <c r="I30" s="6" t="n">
        <v>0.06832951626591155</v>
      </c>
      <c r="J30" s="6" t="n">
        <v>0.06832951626591155</v>
      </c>
      <c r="K30" s="6" t="n">
        <v>0.06832951626591155</v>
      </c>
    </row>
    <row r="31">
      <c r="A31" s="3" t="inlineStr">
        <is>
          <t>CapEx % Revenue</t>
        </is>
      </c>
      <c r="G31" s="6" t="n">
        <v>0.06518147422627664</v>
      </c>
      <c r="H31" s="6" t="n">
        <v>0.06518147422627664</v>
      </c>
      <c r="I31" s="6" t="n">
        <v>0.06518147422627664</v>
      </c>
      <c r="J31" s="6" t="n">
        <v>0.06518147422627664</v>
      </c>
      <c r="K31" s="6" t="n">
        <v>0.06518147422627664</v>
      </c>
    </row>
    <row r="32">
      <c r="A32" s="3" t="inlineStr">
        <is>
          <t>Tax Rate</t>
        </is>
      </c>
      <c r="G32" s="6" t="n">
        <v>0.2101943073438097</v>
      </c>
      <c r="H32" s="6" t="n">
        <v>0.2101943073438097</v>
      </c>
      <c r="I32" s="6" t="n">
        <v>0.2101943073438097</v>
      </c>
      <c r="J32" s="6" t="n">
        <v>0.2101943073438097</v>
      </c>
      <c r="K32" s="6" t="n">
        <v>0.2101943073438097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3" t="inlineStr">
        <is>
          <t>WACC - Base</t>
        </is>
      </c>
      <c r="C35" s="6" t="n">
        <v>0.05</v>
      </c>
    </row>
    <row r="36">
      <c r="A36" s="3" t="inlineStr">
        <is>
          <t>WACC - Bull</t>
        </is>
      </c>
      <c r="C36" s="6" t="n">
        <v>0.04</v>
      </c>
    </row>
    <row r="37">
      <c r="A37" s="3" t="inlineStr">
        <is>
          <t>WACC - Bear</t>
        </is>
      </c>
      <c r="C37" s="6" t="n">
        <v>0.07000000000000001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3" t="inlineStr">
        <is>
          <t>Terminal Value Multiple - Base</t>
        </is>
      </c>
      <c r="C40" s="9" t="n">
        <v>6</v>
      </c>
    </row>
    <row r="41">
      <c r="A41" s="3" t="inlineStr">
        <is>
          <t>Terminal Value Multiple - Bull</t>
        </is>
      </c>
      <c r="C41" s="9" t="n">
        <v>8</v>
      </c>
    </row>
    <row r="42">
      <c r="A42" s="3" t="inlineStr">
        <is>
          <t>Terminal Value Multiple - Bear</t>
        </is>
      </c>
      <c r="C42" s="9" t="n">
        <v>5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Whitehaven Coal Limited (WHC.AX) - Historical Financial Statements</t>
        </is>
      </c>
      <c r="B1" s="1" t="n"/>
      <c r="C1" s="1" t="n"/>
      <c r="D1" s="1" t="n"/>
      <c r="E1" s="1" t="n"/>
      <c r="F1" s="1" t="n"/>
    </row>
    <row r="3">
      <c r="A3" s="3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4920.102</v>
      </c>
      <c r="D6" s="5" t="n">
        <v>6064.739</v>
      </c>
      <c r="E6" s="5" t="n">
        <v>3824</v>
      </c>
      <c r="F6" s="5" t="n">
        <v>5832</v>
      </c>
    </row>
    <row r="7">
      <c r="A7" s="3" t="inlineStr">
        <is>
          <t>Cost of Revenue</t>
        </is>
      </c>
      <c r="C7" s="5" t="n">
        <v>0</v>
      </c>
      <c r="D7" s="5" t="n">
        <v>0</v>
      </c>
      <c r="E7" s="5" t="n">
        <v>0</v>
      </c>
      <c r="F7" s="5" t="n">
        <v>3793</v>
      </c>
    </row>
    <row r="8">
      <c r="A8" s="2" t="inlineStr">
        <is>
          <t>Gross Profit</t>
        </is>
      </c>
      <c r="C8" s="5" t="n">
        <v>4920.102</v>
      </c>
      <c r="D8" s="5" t="n">
        <v>6064.739</v>
      </c>
      <c r="E8" s="5" t="n">
        <v>3824</v>
      </c>
      <c r="F8" s="5" t="n">
        <v>2039</v>
      </c>
    </row>
    <row r="9">
      <c r="A9" s="3" t="inlineStr">
        <is>
          <t xml:space="preserve">  Gross Margin</t>
        </is>
      </c>
      <c r="C9" s="11" t="n">
        <v>1</v>
      </c>
      <c r="D9" s="11" t="n">
        <v>1</v>
      </c>
      <c r="E9" s="11" t="n">
        <v>1</v>
      </c>
      <c r="F9" s="11" t="n">
        <v>0.3496227709190672</v>
      </c>
    </row>
    <row r="11">
      <c r="A11" s="3" t="inlineStr">
        <is>
          <t>R&amp;D Expense</t>
        </is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3" t="inlineStr">
        <is>
          <t>SG&amp;A Expense</t>
        </is>
      </c>
      <c r="C12" s="5" t="n">
        <v>433.515</v>
      </c>
      <c r="D12" s="5" t="n">
        <v>442.103</v>
      </c>
      <c r="E12" s="5" t="n">
        <v>565</v>
      </c>
      <c r="F12" s="5" t="n">
        <v>49</v>
      </c>
    </row>
    <row r="13">
      <c r="A13" s="2" t="inlineStr">
        <is>
          <t>Operating Income (EBIT)</t>
        </is>
      </c>
      <c r="C13" s="5" t="n">
        <v>3175.326</v>
      </c>
      <c r="D13" s="5" t="n">
        <v>4167.665</v>
      </c>
      <c r="E13" s="5" t="n">
        <v>1376</v>
      </c>
      <c r="F13" s="5" t="n">
        <v>1406</v>
      </c>
    </row>
    <row r="14">
      <c r="A14" s="3" t="inlineStr">
        <is>
          <t xml:space="preserve">  EBIT Margin</t>
        </is>
      </c>
      <c r="C14" s="11" t="n">
        <v>0.6453780836250955</v>
      </c>
      <c r="D14" s="11" t="n">
        <v>0.6871961019262329</v>
      </c>
      <c r="E14" s="11" t="n">
        <v>0.3598326359832636</v>
      </c>
      <c r="F14" s="11" t="n">
        <v>0.2410836762688615</v>
      </c>
    </row>
    <row r="16">
      <c r="A16" s="3" t="inlineStr">
        <is>
          <t>Interest Expense</t>
        </is>
      </c>
      <c r="C16" s="5" t="n">
        <v>47.503</v>
      </c>
      <c r="D16" s="5" t="n">
        <v>32.593</v>
      </c>
      <c r="E16" s="5" t="n">
        <v>48</v>
      </c>
      <c r="F16" s="5" t="n">
        <v>581</v>
      </c>
    </row>
    <row r="17">
      <c r="A17" s="3" t="inlineStr">
        <is>
          <t>Tax Provision</t>
        </is>
      </c>
      <c r="C17" s="5" t="n">
        <v>813.928</v>
      </c>
      <c r="D17" s="5" t="n">
        <v>1133.441</v>
      </c>
      <c r="E17" s="5" t="n">
        <v>154</v>
      </c>
      <c r="F17" s="5" t="n">
        <v>282</v>
      </c>
    </row>
    <row r="18">
      <c r="A18" s="2" t="inlineStr">
        <is>
          <t>Net Income</t>
        </is>
      </c>
      <c r="C18" s="5" t="n">
        <v>1951.965</v>
      </c>
      <c r="D18" s="5" t="n">
        <v>2668.054</v>
      </c>
      <c r="E18" s="5" t="n">
        <v>355</v>
      </c>
      <c r="F18" s="5" t="n">
        <v>649</v>
      </c>
    </row>
    <row r="19">
      <c r="A19" s="3" t="inlineStr">
        <is>
          <t xml:space="preserve">  Net Margin</t>
        </is>
      </c>
      <c r="C19" s="11" t="n">
        <v>0.3967326287137949</v>
      </c>
      <c r="D19" s="11" t="n">
        <v>0.4399289070807499</v>
      </c>
      <c r="E19" s="11" t="n">
        <v>0.0928347280334728</v>
      </c>
      <c r="F19" s="11" t="n">
        <v>0.1112825788751715</v>
      </c>
    </row>
    <row r="21">
      <c r="A21" s="2" t="inlineStr">
        <is>
          <t>EBITDA</t>
        </is>
      </c>
      <c r="C21" s="5" t="n">
        <v>3052.277</v>
      </c>
      <c r="D21" s="5" t="n">
        <v>4060.088</v>
      </c>
      <c r="E21" s="5" t="n">
        <v>876</v>
      </c>
      <c r="F21" s="5" t="n">
        <v>2119</v>
      </c>
    </row>
    <row r="22">
      <c r="A22" s="3" t="inlineStr">
        <is>
          <t xml:space="preserve">  EBITDA Margin</t>
        </is>
      </c>
      <c r="C22" s="11" t="n">
        <v>0.6203686427639101</v>
      </c>
      <c r="D22" s="11" t="n">
        <v>0.6694579931634321</v>
      </c>
      <c r="E22" s="11" t="n">
        <v>0.2290794979079498</v>
      </c>
      <c r="F22" s="11" t="n">
        <v>0.3633401920438957</v>
      </c>
    </row>
    <row r="23">
      <c r="A23" s="3" t="inlineStr">
        <is>
          <t>Diluted EPS</t>
        </is>
      </c>
      <c r="C23" s="12" t="n">
        <v>1.951</v>
      </c>
      <c r="D23" s="12" t="n">
        <v>3.028</v>
      </c>
      <c r="E23" s="12" t="n">
        <v>0.438</v>
      </c>
      <c r="F23" s="12" t="n">
        <v>0.801</v>
      </c>
    </row>
    <row r="24">
      <c r="A24" s="3" t="inlineStr">
        <is>
          <t>D&amp;A</t>
        </is>
      </c>
      <c r="C24" s="5" t="n">
        <v>238.881</v>
      </c>
      <c r="D24" s="5" t="n">
        <v>226</v>
      </c>
      <c r="E24" s="5" t="n">
        <v>319</v>
      </c>
      <c r="F24" s="5" t="n">
        <v>607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3" t="inlineStr">
        <is>
          <t>Cash &amp; Equivalents</t>
        </is>
      </c>
      <c r="C28" s="5" t="n">
        <v>1215.46</v>
      </c>
      <c r="D28" s="5" t="n">
        <v>2775.51</v>
      </c>
      <c r="E28" s="5" t="n">
        <v>405</v>
      </c>
      <c r="F28" s="5" t="n">
        <v>1206</v>
      </c>
    </row>
    <row r="29">
      <c r="A29" s="3" t="inlineStr">
        <is>
          <t>Current Assets</t>
        </is>
      </c>
      <c r="C29" s="5" t="n">
        <v>2029.989</v>
      </c>
      <c r="D29" s="5" t="n">
        <v>3234.298</v>
      </c>
      <c r="E29" s="5" t="n">
        <v>1533</v>
      </c>
      <c r="F29" s="5" t="n">
        <v>2087</v>
      </c>
    </row>
    <row r="30">
      <c r="A30" s="3" t="inlineStr">
        <is>
          <t>Net PP&amp;E</t>
        </is>
      </c>
      <c r="C30" s="5" t="n">
        <v>4074.136</v>
      </c>
      <c r="D30" s="5" t="n">
        <v>4241.045</v>
      </c>
      <c r="E30" s="5" t="n">
        <v>11213</v>
      </c>
      <c r="F30" s="5" t="n">
        <v>9622</v>
      </c>
    </row>
    <row r="31">
      <c r="A31" s="3" t="inlineStr">
        <is>
          <t>Goodwill</t>
        </is>
      </c>
      <c r="C31" s="5" t="n">
        <v>0</v>
      </c>
      <c r="D31" s="5" t="n">
        <v>0</v>
      </c>
      <c r="E31" s="5" t="n">
        <v>0</v>
      </c>
      <c r="F31" s="5" t="n">
        <v>0</v>
      </c>
    </row>
    <row r="32">
      <c r="A32" s="2" t="inlineStr">
        <is>
          <t>Total Assets</t>
        </is>
      </c>
      <c r="C32" s="5" t="n">
        <v>6124.533</v>
      </c>
      <c r="D32" s="5" t="n">
        <v>7510.909</v>
      </c>
      <c r="E32" s="5" t="n">
        <v>12852</v>
      </c>
      <c r="F32" s="5" t="n">
        <v>11826</v>
      </c>
    </row>
    <row r="34">
      <c r="A34" s="3" t="inlineStr">
        <is>
          <t>Current Liabilities</t>
        </is>
      </c>
      <c r="C34" s="5" t="n">
        <v>1049.792</v>
      </c>
      <c r="D34" s="5" t="n">
        <v>1310.735</v>
      </c>
      <c r="E34" s="5" t="n">
        <v>2148</v>
      </c>
      <c r="F34" s="5" t="n">
        <v>1869</v>
      </c>
    </row>
    <row r="35">
      <c r="A35" s="3" t="inlineStr">
        <is>
          <t>Total Debt</t>
        </is>
      </c>
      <c r="C35" s="5" t="n">
        <v>244.697</v>
      </c>
      <c r="D35" s="5" t="n">
        <v>188.948</v>
      </c>
      <c r="E35" s="5" t="n">
        <v>1891</v>
      </c>
      <c r="F35" s="5" t="n">
        <v>2033</v>
      </c>
    </row>
    <row r="36">
      <c r="A36" s="2" t="inlineStr">
        <is>
          <t>Total Liabilities</t>
        </is>
      </c>
      <c r="C36" s="5" t="n">
        <v>1912.899</v>
      </c>
      <c r="D36" s="5" t="n">
        <v>2250.384</v>
      </c>
      <c r="E36" s="5" t="n">
        <v>7581</v>
      </c>
      <c r="F36" s="5" t="n">
        <v>6125</v>
      </c>
    </row>
    <row r="38">
      <c r="A38" s="2" t="inlineStr">
        <is>
          <t>Total Equity</t>
        </is>
      </c>
      <c r="C38" s="5" t="n">
        <v>4211.634</v>
      </c>
      <c r="D38" s="5" t="n">
        <v>5256.744</v>
      </c>
      <c r="E38" s="5" t="n">
        <v>5271</v>
      </c>
      <c r="F38" s="5" t="n">
        <v>5701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2529.823</v>
      </c>
      <c r="D42" s="5" t="n">
        <v>3583.648</v>
      </c>
      <c r="E42" s="5" t="n">
        <v>327</v>
      </c>
      <c r="F42" s="5" t="n">
        <v>1130</v>
      </c>
    </row>
    <row r="43">
      <c r="A43" s="3" t="inlineStr">
        <is>
          <t>Capital Expenditure</t>
        </is>
      </c>
      <c r="C43" s="5" t="n">
        <v>-157.991</v>
      </c>
      <c r="D43" s="5" t="n">
        <v>-257.775</v>
      </c>
      <c r="E43" s="5" t="n">
        <v>-454</v>
      </c>
      <c r="F43" s="5" t="n">
        <v>-393</v>
      </c>
    </row>
    <row r="44">
      <c r="A44" s="2" t="inlineStr">
        <is>
          <t>Free Cash Flow</t>
        </is>
      </c>
      <c r="C44" s="5" t="n">
        <v>2371.832</v>
      </c>
      <c r="D44" s="5" t="n">
        <v>3325.873</v>
      </c>
      <c r="E44" s="5" t="n">
        <v>-127</v>
      </c>
      <c r="F44" s="5" t="n">
        <v>737</v>
      </c>
    </row>
    <row r="46">
      <c r="A46" s="3" t="inlineStr">
        <is>
          <t>D&amp;A</t>
        </is>
      </c>
      <c r="C46" s="5" t="n">
        <v>0</v>
      </c>
      <c r="D46" s="5" t="n">
        <v>0</v>
      </c>
      <c r="E46" s="5" t="n">
        <v>0</v>
      </c>
      <c r="F46" s="5" t="n">
        <v>0</v>
      </c>
    </row>
    <row r="47">
      <c r="A47" s="3" t="inlineStr">
        <is>
          <t>Stock-Based Compensation</t>
        </is>
      </c>
      <c r="C47" s="5" t="n">
        <v>0</v>
      </c>
      <c r="D47" s="5" t="n">
        <v>0</v>
      </c>
      <c r="E47" s="5" t="n">
        <v>0</v>
      </c>
      <c r="F47" s="5" t="n">
        <v>0</v>
      </c>
    </row>
    <row r="48">
      <c r="A48" s="3" t="inlineStr">
        <is>
          <t>Change in Working Capital</t>
        </is>
      </c>
      <c r="C48" s="5" t="n">
        <v>0</v>
      </c>
      <c r="D48" s="5" t="n">
        <v>0</v>
      </c>
      <c r="E48" s="5" t="n">
        <v>0</v>
      </c>
      <c r="F48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Whitehaven Coal Limited (WHC.AX)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3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Thermal Coal</t>
        </is>
      </c>
      <c r="C8" s="5" t="n">
        <v>4920.102</v>
      </c>
      <c r="D8" s="5" t="n">
        <v>6064.739</v>
      </c>
      <c r="E8" s="5" t="n">
        <v>3824</v>
      </c>
      <c r="F8" s="5" t="n">
        <v>5832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3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3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3" t="inlineStr">
        <is>
          <t>Cost of Goods Sold (COGS)</t>
        </is>
      </c>
      <c r="C16" s="5" t="n">
        <v>0</v>
      </c>
      <c r="D16" s="5" t="n">
        <v>0</v>
      </c>
      <c r="E16" s="5" t="n">
        <v>0</v>
      </c>
      <c r="F16" s="5" t="n">
        <v>3793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3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3" t="inlineStr">
        <is>
          <t>SG&amp;A Expense</t>
        </is>
      </c>
      <c r="C20" s="5" t="n">
        <v>433.515</v>
      </c>
      <c r="D20" s="5" t="n">
        <v>442.103</v>
      </c>
      <c r="E20" s="5" t="n">
        <v>565</v>
      </c>
      <c r="F20" s="5" t="n">
        <v>49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3" t="inlineStr">
        <is>
          <t>R&amp;D Expense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3" t="inlineStr">
        <is>
          <t>Depreciation &amp; Amortization</t>
        </is>
      </c>
      <c r="C22" s="5" t="n">
        <v>238.881</v>
      </c>
      <c r="D22" s="5" t="n">
        <v>226</v>
      </c>
      <c r="E22" s="5" t="n">
        <v>319</v>
      </c>
      <c r="F22" s="5" t="n">
        <v>607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3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3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3" t="inlineStr">
        <is>
          <t>Interest Expense</t>
        </is>
      </c>
      <c r="C29" s="5" t="n">
        <v>47.503</v>
      </c>
      <c r="D29" s="5" t="n">
        <v>32.593</v>
      </c>
      <c r="E29" s="5" t="n">
        <v>48</v>
      </c>
      <c r="F29" s="5" t="n">
        <v>581</v>
      </c>
      <c r="G29" s="5" t="n">
        <v>581</v>
      </c>
      <c r="H29" s="5" t="n">
        <v>581</v>
      </c>
      <c r="I29" s="5" t="n">
        <v>581</v>
      </c>
      <c r="J29" s="5" t="n">
        <v>581</v>
      </c>
      <c r="K29" s="5" t="n">
        <v>581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3" t="inlineStr">
        <is>
          <t>Taxes</t>
        </is>
      </c>
      <c r="C31" s="5" t="n">
        <v>813.928</v>
      </c>
      <c r="D31" s="5" t="n">
        <v>1133.441</v>
      </c>
      <c r="E31" s="5" t="n">
        <v>154</v>
      </c>
      <c r="F31" s="5" t="n">
        <v>282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3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3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3" t="inlineStr">
        <is>
          <t>(+/-) Change in Working Capital</t>
        </is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3" t="inlineStr">
        <is>
          <t>(-) Capital Expenditure</t>
        </is>
      </c>
      <c r="C42" s="5" t="n">
        <v>-157.991</v>
      </c>
      <c r="D42" s="5" t="n">
        <v>-257.775</v>
      </c>
      <c r="E42" s="5" t="n">
        <v>-454</v>
      </c>
      <c r="F42" s="5" t="n">
        <v>-393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Whitehaven Coal Limited (WHC.AX)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7.75</v>
      </c>
    </row>
    <row r="4">
      <c r="A4" s="3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3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3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3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3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3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3" t="inlineStr">
        <is>
          <t>WACC</t>
        </is>
      </c>
      <c r="C15" s="7">
        <f>Assumptions!C42</f>
        <v/>
      </c>
    </row>
    <row r="16">
      <c r="A16" s="3" t="inlineStr">
        <is>
          <t>Terminal Value Multiple</t>
        </is>
      </c>
      <c r="C16" s="10">
        <f>Assumptions!C48</f>
        <v/>
      </c>
    </row>
    <row r="18">
      <c r="A18" s="3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3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K12*$C$16</f>
        <v/>
      </c>
    </row>
    <row r="22">
      <c r="A22" s="3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3" t="inlineStr">
        <is>
          <t>Sum of PV of UFCF ($M)</t>
        </is>
      </c>
      <c r="C25" s="8">
        <f>SUM(G19:K19)</f>
        <v/>
      </c>
    </row>
    <row r="26">
      <c r="A26" s="3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3" t="inlineStr">
        <is>
          <t>(-) Net Debt ($M)</t>
        </is>
      </c>
      <c r="C29" s="18" t="n">
        <v>-0</v>
      </c>
    </row>
    <row r="30">
      <c r="A30" s="2" t="inlineStr">
        <is>
          <t>Equity Value ($M)</t>
        </is>
      </c>
      <c r="C30" s="8">
        <f>C27+C29</f>
        <v/>
      </c>
    </row>
    <row r="32">
      <c r="A32" s="3" t="inlineStr">
        <is>
          <t>Shares Outstanding (M)</t>
        </is>
      </c>
      <c r="C32" s="18" t="n">
        <v>826.094519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C33/7.75-1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3" t="inlineStr">
        <is>
          <t>WACC \ TV Multiple</t>
        </is>
      </c>
      <c r="C38" s="1" t="inlineStr">
        <is>
          <t>2x</t>
        </is>
      </c>
      <c r="D38" s="1" t="inlineStr">
        <is>
          <t>4x</t>
        </is>
      </c>
      <c r="E38" s="1" t="inlineStr">
        <is>
          <t>6x</t>
        </is>
      </c>
      <c r="F38" s="1" t="inlineStr">
        <is>
          <t>8x</t>
        </is>
      </c>
      <c r="G38" s="1" t="inlineStr">
        <is>
          <t>10x</t>
        </is>
      </c>
    </row>
    <row r="39">
      <c r="A39" s="21" t="n">
        <v>0.02</v>
      </c>
      <c r="C39" s="22">
        <f>(G$12/(1+$A$39)^1+H$12/(1+$A$39)^2+I$12/(1+$A$39)^3+J$12/(1+$A$39)^4+K$12/(1+$A$39)^5+K$12*2/(1+$A$39)^5+$C$29)/$C$32</f>
        <v/>
      </c>
      <c r="D39" s="22">
        <f>(G$12/(1+$A$39)^1+H$12/(1+$A$39)^2+I$12/(1+$A$39)^3+J$12/(1+$A$39)^4+K$12/(1+$A$39)^5+K$12*4/(1+$A$39)^5+$C$29)/$C$32</f>
        <v/>
      </c>
      <c r="E39" s="22">
        <f>(G$12/(1+$A$39)^1+H$12/(1+$A$39)^2+I$12/(1+$A$39)^3+J$12/(1+$A$39)^4+K$12/(1+$A$39)^5+K$12*6/(1+$A$39)^5+$C$29)/$C$32</f>
        <v/>
      </c>
      <c r="F39" s="22">
        <f>(G$12/(1+$A$39)^1+H$12/(1+$A$39)^2+I$12/(1+$A$39)^3+J$12/(1+$A$39)^4+K$12/(1+$A$39)^5+K$12*8/(1+$A$39)^5+$C$29)/$C$32</f>
        <v/>
      </c>
      <c r="G39" s="22">
        <f>(G$12/(1+$A$39)^1+H$12/(1+$A$39)^2+I$12/(1+$A$39)^3+J$12/(1+$A$39)^4+K$12/(1+$A$39)^5+K$12*10/(1+$A$39)^5+$C$29)/$C$32</f>
        <v/>
      </c>
    </row>
    <row r="40">
      <c r="A40" s="21" t="n">
        <v>0.03</v>
      </c>
      <c r="C40" s="22">
        <f>(G$12/(1+$A$40)^1+H$12/(1+$A$40)^2+I$12/(1+$A$40)^3+J$12/(1+$A$40)^4+K$12/(1+$A$40)^5+K$12*2/(1+$A$40)^5+$C$29)/$C$32</f>
        <v/>
      </c>
      <c r="D40" s="22">
        <f>(G$12/(1+$A$40)^1+H$12/(1+$A$40)^2+I$12/(1+$A$40)^3+J$12/(1+$A$40)^4+K$12/(1+$A$40)^5+K$12*4/(1+$A$40)^5+$C$29)/$C$32</f>
        <v/>
      </c>
      <c r="E40" s="22">
        <f>(G$12/(1+$A$40)^1+H$12/(1+$A$40)^2+I$12/(1+$A$40)^3+J$12/(1+$A$40)^4+K$12/(1+$A$40)^5+K$12*6/(1+$A$40)^5+$C$29)/$C$32</f>
        <v/>
      </c>
      <c r="F40" s="22">
        <f>(G$12/(1+$A$40)^1+H$12/(1+$A$40)^2+I$12/(1+$A$40)^3+J$12/(1+$A$40)^4+K$12/(1+$A$40)^5+K$12*8/(1+$A$40)^5+$C$29)/$C$32</f>
        <v/>
      </c>
      <c r="G40" s="22">
        <f>(G$12/(1+$A$40)^1+H$12/(1+$A$40)^2+I$12/(1+$A$40)^3+J$12/(1+$A$40)^4+K$12/(1+$A$40)^5+K$12*10/(1+$A$40)^5+$C$29)/$C$32</f>
        <v/>
      </c>
    </row>
    <row r="41">
      <c r="A41" s="21" t="n">
        <v>0.04</v>
      </c>
      <c r="C41" s="22">
        <f>(G$12/(1+$A$41)^1+H$12/(1+$A$41)^2+I$12/(1+$A$41)^3+J$12/(1+$A$41)^4+K$12/(1+$A$41)^5+K$12*2/(1+$A$41)^5+$C$29)/$C$32</f>
        <v/>
      </c>
      <c r="D41" s="22">
        <f>(G$12/(1+$A$41)^1+H$12/(1+$A$41)^2+I$12/(1+$A$41)^3+J$12/(1+$A$41)^4+K$12/(1+$A$41)^5+K$12*4/(1+$A$41)^5+$C$29)/$C$32</f>
        <v/>
      </c>
      <c r="E41" s="22">
        <f>(G$12/(1+$A$41)^1+H$12/(1+$A$41)^2+I$12/(1+$A$41)^3+J$12/(1+$A$41)^4+K$12/(1+$A$41)^5+K$12*6/(1+$A$41)^5+$C$29)/$C$32</f>
        <v/>
      </c>
      <c r="F41" s="22">
        <f>(G$12/(1+$A$41)^1+H$12/(1+$A$41)^2+I$12/(1+$A$41)^3+J$12/(1+$A$41)^4+K$12/(1+$A$41)^5+K$12*8/(1+$A$41)^5+$C$29)/$C$32</f>
        <v/>
      </c>
      <c r="G41" s="22">
        <f>(G$12/(1+$A$41)^1+H$12/(1+$A$41)^2+I$12/(1+$A$41)^3+J$12/(1+$A$41)^4+K$12/(1+$A$41)^5+K$12*10/(1+$A$41)^5+$C$29)/$C$32</f>
        <v/>
      </c>
    </row>
    <row r="42">
      <c r="A42" s="21" t="n">
        <v>0.05</v>
      </c>
      <c r="C42" s="22">
        <f>(G$12/(1+$A$42)^1+H$12/(1+$A$42)^2+I$12/(1+$A$42)^3+J$12/(1+$A$42)^4+K$12/(1+$A$42)^5+K$12*2/(1+$A$42)^5+$C$29)/$C$32</f>
        <v/>
      </c>
      <c r="D42" s="22">
        <f>(G$12/(1+$A$42)^1+H$12/(1+$A$42)^2+I$12/(1+$A$42)^3+J$12/(1+$A$42)^4+K$12/(1+$A$42)^5+K$12*4/(1+$A$42)^5+$C$29)/$C$32</f>
        <v/>
      </c>
      <c r="E42" s="23">
        <f>(G$12/(1+$A$42)^1+H$12/(1+$A$42)^2+I$12/(1+$A$42)^3+J$12/(1+$A$42)^4+K$12/(1+$A$42)^5+K$12*6/(1+$A$42)^5+$C$29)/$C$32</f>
        <v/>
      </c>
      <c r="F42" s="22">
        <f>(G$12/(1+$A$42)^1+H$12/(1+$A$42)^2+I$12/(1+$A$42)^3+J$12/(1+$A$42)^4+K$12/(1+$A$42)^5+K$12*8/(1+$A$42)^5+$C$29)/$C$32</f>
        <v/>
      </c>
      <c r="G42" s="22">
        <f>(G$12/(1+$A$42)^1+H$12/(1+$A$42)^2+I$12/(1+$A$42)^3+J$12/(1+$A$42)^4+K$12/(1+$A$42)^5+K$12*10/(1+$A$42)^5+$C$29)/$C$32</f>
        <v/>
      </c>
    </row>
    <row r="43">
      <c r="A43" s="21" t="n">
        <v>0.06</v>
      </c>
      <c r="C43" s="22">
        <f>(G$12/(1+$A$43)^1+H$12/(1+$A$43)^2+I$12/(1+$A$43)^3+J$12/(1+$A$43)^4+K$12/(1+$A$43)^5+K$12*2/(1+$A$43)^5+$C$29)/$C$32</f>
        <v/>
      </c>
      <c r="D43" s="22">
        <f>(G$12/(1+$A$43)^1+H$12/(1+$A$43)^2+I$12/(1+$A$43)^3+J$12/(1+$A$43)^4+K$12/(1+$A$43)^5+K$12*4/(1+$A$43)^5+$C$29)/$C$32</f>
        <v/>
      </c>
      <c r="E43" s="22">
        <f>(G$12/(1+$A$43)^1+H$12/(1+$A$43)^2+I$12/(1+$A$43)^3+J$12/(1+$A$43)^4+K$12/(1+$A$43)^5+K$12*6/(1+$A$43)^5+$C$29)/$C$32</f>
        <v/>
      </c>
      <c r="F43" s="22">
        <f>(G$12/(1+$A$43)^1+H$12/(1+$A$43)^2+I$12/(1+$A$43)^3+J$12/(1+$A$43)^4+K$12/(1+$A$43)^5+K$12*8/(1+$A$43)^5+$C$29)/$C$32</f>
        <v/>
      </c>
      <c r="G43" s="22">
        <f>(G$12/(1+$A$43)^1+H$12/(1+$A$43)^2+I$12/(1+$A$43)^3+J$12/(1+$A$43)^4+K$12/(1+$A$43)^5+K$12*10/(1+$A$43)^5+$C$29)/$C$32</f>
        <v/>
      </c>
    </row>
    <row r="44">
      <c r="A44" s="21" t="n">
        <v>0.07000000000000001</v>
      </c>
      <c r="C44" s="22">
        <f>(G$12/(1+$A$44)^1+H$12/(1+$A$44)^2+I$12/(1+$A$44)^3+J$12/(1+$A$44)^4+K$12/(1+$A$44)^5+K$12*2/(1+$A$44)^5+$C$29)/$C$32</f>
        <v/>
      </c>
      <c r="D44" s="22">
        <f>(G$12/(1+$A$44)^1+H$12/(1+$A$44)^2+I$12/(1+$A$44)^3+J$12/(1+$A$44)^4+K$12/(1+$A$44)^5+K$12*4/(1+$A$44)^5+$C$29)/$C$32</f>
        <v/>
      </c>
      <c r="E44" s="22">
        <f>(G$12/(1+$A$44)^1+H$12/(1+$A$44)^2+I$12/(1+$A$44)^3+J$12/(1+$A$44)^4+K$12/(1+$A$44)^5+K$12*6/(1+$A$44)^5+$C$29)/$C$32</f>
        <v/>
      </c>
      <c r="F44" s="22">
        <f>(G$12/(1+$A$44)^1+H$12/(1+$A$44)^2+I$12/(1+$A$44)^3+J$12/(1+$A$44)^4+K$12/(1+$A$44)^5+K$12*8/(1+$A$44)^5+$C$29)/$C$32</f>
        <v/>
      </c>
      <c r="G44" s="22">
        <f>(G$12/(1+$A$44)^1+H$12/(1+$A$44)^2+I$12/(1+$A$44)^3+J$12/(1+$A$44)^4+K$12/(1+$A$44)^5+K$12*10/(1+$A$44)^5+$C$29)/$C$32</f>
        <v/>
      </c>
    </row>
    <row r="45">
      <c r="A45" s="21" t="n">
        <v>0.08</v>
      </c>
      <c r="C45" s="22">
        <f>(G$12/(1+$A$45)^1+H$12/(1+$A$45)^2+I$12/(1+$A$45)^3+J$12/(1+$A$45)^4+K$12/(1+$A$45)^5+K$12*2/(1+$A$45)^5+$C$29)/$C$32</f>
        <v/>
      </c>
      <c r="D45" s="22">
        <f>(G$12/(1+$A$45)^1+H$12/(1+$A$45)^2+I$12/(1+$A$45)^3+J$12/(1+$A$45)^4+K$12/(1+$A$45)^5+K$12*4/(1+$A$45)^5+$C$29)/$C$32</f>
        <v/>
      </c>
      <c r="E45" s="22">
        <f>(G$12/(1+$A$45)^1+H$12/(1+$A$45)^2+I$12/(1+$A$45)^3+J$12/(1+$A$45)^4+K$12/(1+$A$45)^5+K$12*6/(1+$A$45)^5+$C$29)/$C$32</f>
        <v/>
      </c>
      <c r="F45" s="22">
        <f>(G$12/(1+$A$45)^1+H$12/(1+$A$45)^2+I$12/(1+$A$45)^3+J$12/(1+$A$45)^4+K$12/(1+$A$45)^5+K$12*8/(1+$A$45)^5+$C$29)/$C$32</f>
        <v/>
      </c>
      <c r="G45" s="22">
        <f>(G$12/(1+$A$45)^1+H$12/(1+$A$45)^2+I$12/(1+$A$45)^3+J$12/(1+$A$45)^4+K$12/(1+$A$45)^5+K$12*10/(1+$A$45)^5+$C$29)/$C$32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2026-02-26T20:35:54Z</dcterms:created>
  <dcterms:modified xmlns:dcterms="http://purl.org/dc/terms/" xmlns:xsi="http://www.w3.org/2001/XMLSchema-instance" xsi:type="dcterms:W3CDTF">2026-02-26T20:35:54Z</dcterms:modified>
</cp:coreProperties>
</file>